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Bureau\Ferrouhi\Finance Comportementale\"/>
    </mc:Choice>
  </mc:AlternateContent>
  <xr:revisionPtr revIDLastSave="0" documentId="13_ncr:1_{6854BD45-0875-4E00-94E3-106FB4F2600B}" xr6:coauthVersionLast="47" xr6:coauthVersionMax="47" xr10:uidLastSave="{00000000-0000-0000-0000-000000000000}"/>
  <bookViews>
    <workbookView xWindow="380" yWindow="0" windowWidth="12030" windowHeight="10080" firstSheet="1" activeTab="4" xr2:uid="{00000000-000D-0000-FFFF-FFFF00000000}"/>
  </bookViews>
  <sheets>
    <sheet name="Prix des actifs" sheetId="1" r:id="rId1"/>
    <sheet name="Rendements et Calculs" sheetId="2" r:id="rId2"/>
    <sheet name="Day Of the Week" sheetId="5" r:id="rId3"/>
    <sheet name="Month Of the Year" sheetId="4" r:id="rId4"/>
    <sheet name="Planing Fallacy" sheetId="7" r:id="rId5"/>
  </sheets>
  <calcPr calcId="191029"/>
</workbook>
</file>

<file path=xl/calcChain.xml><?xml version="1.0" encoding="utf-8"?>
<calcChain xmlns="http://schemas.openxmlformats.org/spreadsheetml/2006/main">
  <c r="E2" i="7" l="1"/>
  <c r="E3" i="7"/>
  <c r="E4" i="7"/>
  <c r="E5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S272" i="2" l="1"/>
  <c r="S553" i="2"/>
  <c r="S463" i="2"/>
  <c r="S207" i="2"/>
  <c r="S118" i="2"/>
  <c r="S541" i="2"/>
  <c r="S580" i="2"/>
  <c r="S388" i="2"/>
  <c r="S627" i="2"/>
  <c r="S499" i="2"/>
  <c r="S115" i="2"/>
  <c r="R746" i="2"/>
  <c r="T746" i="2"/>
  <c r="U747" i="2" s="1"/>
  <c r="R730" i="2"/>
  <c r="T730" i="2"/>
  <c r="U731" i="2" s="1"/>
  <c r="R714" i="2"/>
  <c r="T714" i="2"/>
  <c r="U715" i="2" s="1"/>
  <c r="R698" i="2"/>
  <c r="T698" i="2"/>
  <c r="U699" i="2" s="1"/>
  <c r="R682" i="2"/>
  <c r="T682" i="2"/>
  <c r="U683" i="2" s="1"/>
  <c r="R666" i="2"/>
  <c r="T666" i="2"/>
  <c r="U667" i="2" s="1"/>
  <c r="R658" i="2"/>
  <c r="T658" i="2"/>
  <c r="U659" i="2" s="1"/>
  <c r="R642" i="2"/>
  <c r="T642" i="2"/>
  <c r="U643" i="2" s="1"/>
  <c r="R626" i="2"/>
  <c r="T626" i="2"/>
  <c r="U627" i="2" s="1"/>
  <c r="R610" i="2"/>
  <c r="T610" i="2"/>
  <c r="U611" i="2" s="1"/>
  <c r="R594" i="2"/>
  <c r="T594" i="2"/>
  <c r="U595" i="2" s="1"/>
  <c r="R578" i="2"/>
  <c r="T578" i="2"/>
  <c r="U579" i="2" s="1"/>
  <c r="R562" i="2"/>
  <c r="T562" i="2"/>
  <c r="U563" i="2" s="1"/>
  <c r="R554" i="2"/>
  <c r="T554" i="2"/>
  <c r="U555" i="2" s="1"/>
  <c r="R538" i="2"/>
  <c r="T538" i="2"/>
  <c r="U539" i="2" s="1"/>
  <c r="R522" i="2"/>
  <c r="T522" i="2"/>
  <c r="U523" i="2" s="1"/>
  <c r="R506" i="2"/>
  <c r="T506" i="2"/>
  <c r="U507" i="2" s="1"/>
  <c r="R482" i="2"/>
  <c r="T482" i="2"/>
  <c r="U483" i="2" s="1"/>
  <c r="R458" i="2"/>
  <c r="T458" i="2"/>
  <c r="U459" i="2" s="1"/>
  <c r="R434" i="2"/>
  <c r="T434" i="2"/>
  <c r="U435" i="2" s="1"/>
  <c r="R410" i="2"/>
  <c r="T410" i="2"/>
  <c r="U411" i="2" s="1"/>
  <c r="R378" i="2"/>
  <c r="T378" i="2"/>
  <c r="U379" i="2" s="1"/>
  <c r="R354" i="2"/>
  <c r="T354" i="2"/>
  <c r="U355" i="2" s="1"/>
  <c r="R338" i="2"/>
  <c r="T338" i="2"/>
  <c r="U339" i="2" s="1"/>
  <c r="R322" i="2"/>
  <c r="T322" i="2"/>
  <c r="U323" i="2" s="1"/>
  <c r="R298" i="2"/>
  <c r="T298" i="2"/>
  <c r="U299" i="2" s="1"/>
  <c r="R290" i="2"/>
  <c r="T290" i="2"/>
  <c r="U291" i="2" s="1"/>
  <c r="R282" i="2"/>
  <c r="T282" i="2"/>
  <c r="U283" i="2" s="1"/>
  <c r="R274" i="2"/>
  <c r="T274" i="2"/>
  <c r="U275" i="2" s="1"/>
  <c r="R266" i="2"/>
  <c r="T266" i="2"/>
  <c r="U267" i="2" s="1"/>
  <c r="R258" i="2"/>
  <c r="T258" i="2"/>
  <c r="U259" i="2" s="1"/>
  <c r="R242" i="2"/>
  <c r="T242" i="2"/>
  <c r="U243" i="2" s="1"/>
  <c r="R218" i="2"/>
  <c r="T218" i="2"/>
  <c r="U219" i="2" s="1"/>
  <c r="R210" i="2"/>
  <c r="T210" i="2"/>
  <c r="U211" i="2" s="1"/>
  <c r="R202" i="2"/>
  <c r="T202" i="2"/>
  <c r="U203" i="2" s="1"/>
  <c r="R194" i="2"/>
  <c r="T194" i="2"/>
  <c r="U195" i="2" s="1"/>
  <c r="R186" i="2"/>
  <c r="T186" i="2"/>
  <c r="U187" i="2" s="1"/>
  <c r="R178" i="2"/>
  <c r="T178" i="2"/>
  <c r="U179" i="2" s="1"/>
  <c r="R170" i="2"/>
  <c r="T170" i="2"/>
  <c r="U171" i="2" s="1"/>
  <c r="R162" i="2"/>
  <c r="T162" i="2"/>
  <c r="U163" i="2" s="1"/>
  <c r="R154" i="2"/>
  <c r="T154" i="2"/>
  <c r="U155" i="2" s="1"/>
  <c r="R146" i="2"/>
  <c r="T146" i="2"/>
  <c r="U147" i="2" s="1"/>
  <c r="R138" i="2"/>
  <c r="T138" i="2"/>
  <c r="U139" i="2" s="1"/>
  <c r="R130" i="2"/>
  <c r="T130" i="2"/>
  <c r="U131" i="2" s="1"/>
  <c r="R122" i="2"/>
  <c r="T122" i="2"/>
  <c r="U123" i="2" s="1"/>
  <c r="R114" i="2"/>
  <c r="T114" i="2"/>
  <c r="U115" i="2" s="1"/>
  <c r="R106" i="2"/>
  <c r="T106" i="2"/>
  <c r="U107" i="2" s="1"/>
  <c r="R98" i="2"/>
  <c r="T98" i="2"/>
  <c r="U99" i="2" s="1"/>
  <c r="R90" i="2"/>
  <c r="T90" i="2"/>
  <c r="U91" i="2" s="1"/>
  <c r="R82" i="2"/>
  <c r="T82" i="2"/>
  <c r="U83" i="2" s="1"/>
  <c r="R74" i="2"/>
  <c r="T74" i="2"/>
  <c r="U75" i="2" s="1"/>
  <c r="R66" i="2"/>
  <c r="T66" i="2"/>
  <c r="U67" i="2" s="1"/>
  <c r="R58" i="2"/>
  <c r="T58" i="2"/>
  <c r="U59" i="2" s="1"/>
  <c r="R50" i="2"/>
  <c r="T50" i="2"/>
  <c r="U51" i="2" s="1"/>
  <c r="R42" i="2"/>
  <c r="T42" i="2"/>
  <c r="U43" i="2" s="1"/>
  <c r="R34" i="2"/>
  <c r="T34" i="2"/>
  <c r="U35" i="2" s="1"/>
  <c r="R26" i="2"/>
  <c r="T26" i="2"/>
  <c r="U27" i="2" s="1"/>
  <c r="R18" i="2"/>
  <c r="T18" i="2"/>
  <c r="U19" i="2" s="1"/>
  <c r="R10" i="2"/>
  <c r="T10" i="2"/>
  <c r="U11" i="2" s="1"/>
  <c r="R753" i="2"/>
  <c r="T753" i="2"/>
  <c r="U754" i="2" s="1"/>
  <c r="R745" i="2"/>
  <c r="T745" i="2"/>
  <c r="U746" i="2" s="1"/>
  <c r="R737" i="2"/>
  <c r="T737" i="2"/>
  <c r="U738" i="2" s="1"/>
  <c r="R729" i="2"/>
  <c r="T729" i="2"/>
  <c r="U730" i="2" s="1"/>
  <c r="R721" i="2"/>
  <c r="T721" i="2"/>
  <c r="U722" i="2" s="1"/>
  <c r="R713" i="2"/>
  <c r="T713" i="2"/>
  <c r="U714" i="2" s="1"/>
  <c r="R705" i="2"/>
  <c r="T705" i="2"/>
  <c r="U706" i="2" s="1"/>
  <c r="R697" i="2"/>
  <c r="T697" i="2"/>
  <c r="U698" i="2" s="1"/>
  <c r="R689" i="2"/>
  <c r="T689" i="2"/>
  <c r="U690" i="2" s="1"/>
  <c r="R681" i="2"/>
  <c r="T681" i="2"/>
  <c r="U682" i="2" s="1"/>
  <c r="R673" i="2"/>
  <c r="T673" i="2"/>
  <c r="U674" i="2" s="1"/>
  <c r="R665" i="2"/>
  <c r="T665" i="2"/>
  <c r="U666" i="2" s="1"/>
  <c r="R657" i="2"/>
  <c r="T657" i="2"/>
  <c r="U658" i="2" s="1"/>
  <c r="R649" i="2"/>
  <c r="T649" i="2"/>
  <c r="U650" i="2" s="1"/>
  <c r="R641" i="2"/>
  <c r="T641" i="2"/>
  <c r="U642" i="2" s="1"/>
  <c r="R633" i="2"/>
  <c r="T633" i="2"/>
  <c r="U634" i="2" s="1"/>
  <c r="R625" i="2"/>
  <c r="T625" i="2"/>
  <c r="U626" i="2" s="1"/>
  <c r="R617" i="2"/>
  <c r="T617" i="2"/>
  <c r="U618" i="2" s="1"/>
  <c r="R609" i="2"/>
  <c r="T609" i="2"/>
  <c r="U610" i="2" s="1"/>
  <c r="R601" i="2"/>
  <c r="T601" i="2"/>
  <c r="U602" i="2" s="1"/>
  <c r="R593" i="2"/>
  <c r="T593" i="2"/>
  <c r="U594" i="2" s="1"/>
  <c r="R585" i="2"/>
  <c r="T585" i="2"/>
  <c r="U586" i="2" s="1"/>
  <c r="R577" i="2"/>
  <c r="T577" i="2"/>
  <c r="U578" i="2" s="1"/>
  <c r="R569" i="2"/>
  <c r="T569" i="2"/>
  <c r="U570" i="2" s="1"/>
  <c r="R561" i="2"/>
  <c r="T561" i="2"/>
  <c r="U562" i="2" s="1"/>
  <c r="R553" i="2"/>
  <c r="T553" i="2"/>
  <c r="U554" i="2" s="1"/>
  <c r="R545" i="2"/>
  <c r="T545" i="2"/>
  <c r="U546" i="2" s="1"/>
  <c r="R537" i="2"/>
  <c r="T537" i="2"/>
  <c r="U538" i="2" s="1"/>
  <c r="R529" i="2"/>
  <c r="T529" i="2"/>
  <c r="U530" i="2" s="1"/>
  <c r="R521" i="2"/>
  <c r="T521" i="2"/>
  <c r="U522" i="2" s="1"/>
  <c r="R513" i="2"/>
  <c r="T513" i="2"/>
  <c r="U514" i="2" s="1"/>
  <c r="R505" i="2"/>
  <c r="T505" i="2"/>
  <c r="U506" i="2" s="1"/>
  <c r="R497" i="2"/>
  <c r="T497" i="2"/>
  <c r="U498" i="2" s="1"/>
  <c r="R489" i="2"/>
  <c r="T489" i="2"/>
  <c r="U490" i="2" s="1"/>
  <c r="R481" i="2"/>
  <c r="T481" i="2"/>
  <c r="U482" i="2" s="1"/>
  <c r="R473" i="2"/>
  <c r="T473" i="2"/>
  <c r="U474" i="2" s="1"/>
  <c r="R465" i="2"/>
  <c r="T465" i="2"/>
  <c r="U466" i="2" s="1"/>
  <c r="R457" i="2"/>
  <c r="T457" i="2"/>
  <c r="U458" i="2" s="1"/>
  <c r="R449" i="2"/>
  <c r="T449" i="2"/>
  <c r="U450" i="2" s="1"/>
  <c r="R441" i="2"/>
  <c r="T441" i="2"/>
  <c r="U442" i="2" s="1"/>
  <c r="R433" i="2"/>
  <c r="T433" i="2"/>
  <c r="U434" i="2" s="1"/>
  <c r="R425" i="2"/>
  <c r="T425" i="2"/>
  <c r="U426" i="2" s="1"/>
  <c r="R417" i="2"/>
  <c r="T417" i="2"/>
  <c r="U418" i="2" s="1"/>
  <c r="R409" i="2"/>
  <c r="T409" i="2"/>
  <c r="U410" i="2" s="1"/>
  <c r="R401" i="2"/>
  <c r="T401" i="2"/>
  <c r="U402" i="2" s="1"/>
  <c r="R393" i="2"/>
  <c r="T393" i="2"/>
  <c r="U394" i="2" s="1"/>
  <c r="R385" i="2"/>
  <c r="T385" i="2"/>
  <c r="U386" i="2" s="1"/>
  <c r="R377" i="2"/>
  <c r="T377" i="2"/>
  <c r="U378" i="2" s="1"/>
  <c r="R369" i="2"/>
  <c r="T369" i="2"/>
  <c r="U370" i="2" s="1"/>
  <c r="R361" i="2"/>
  <c r="T361" i="2"/>
  <c r="U362" i="2" s="1"/>
  <c r="R353" i="2"/>
  <c r="T353" i="2"/>
  <c r="U354" i="2" s="1"/>
  <c r="R345" i="2"/>
  <c r="T345" i="2"/>
  <c r="U346" i="2" s="1"/>
  <c r="R337" i="2"/>
  <c r="T337" i="2"/>
  <c r="U338" i="2" s="1"/>
  <c r="R329" i="2"/>
  <c r="T329" i="2"/>
  <c r="U330" i="2" s="1"/>
  <c r="R321" i="2"/>
  <c r="T321" i="2"/>
  <c r="U322" i="2" s="1"/>
  <c r="R313" i="2"/>
  <c r="T313" i="2"/>
  <c r="U314" i="2" s="1"/>
  <c r="R305" i="2"/>
  <c r="T305" i="2"/>
  <c r="U306" i="2" s="1"/>
  <c r="R297" i="2"/>
  <c r="T297" i="2"/>
  <c r="U298" i="2" s="1"/>
  <c r="R289" i="2"/>
  <c r="T289" i="2"/>
  <c r="U290" i="2" s="1"/>
  <c r="R281" i="2"/>
  <c r="T281" i="2"/>
  <c r="U282" i="2" s="1"/>
  <c r="R273" i="2"/>
  <c r="T273" i="2"/>
  <c r="U274" i="2" s="1"/>
  <c r="R265" i="2"/>
  <c r="T265" i="2"/>
  <c r="U266" i="2" s="1"/>
  <c r="R257" i="2"/>
  <c r="T257" i="2"/>
  <c r="U258" i="2" s="1"/>
  <c r="R249" i="2"/>
  <c r="T249" i="2"/>
  <c r="U250" i="2" s="1"/>
  <c r="R241" i="2"/>
  <c r="T241" i="2"/>
  <c r="U242" i="2" s="1"/>
  <c r="R233" i="2"/>
  <c r="T233" i="2"/>
  <c r="U234" i="2" s="1"/>
  <c r="R225" i="2"/>
  <c r="T225" i="2"/>
  <c r="U226" i="2" s="1"/>
  <c r="R217" i="2"/>
  <c r="T217" i="2"/>
  <c r="U218" i="2" s="1"/>
  <c r="R209" i="2"/>
  <c r="T209" i="2"/>
  <c r="U210" i="2" s="1"/>
  <c r="R201" i="2"/>
  <c r="T201" i="2"/>
  <c r="U202" i="2" s="1"/>
  <c r="R193" i="2"/>
  <c r="T193" i="2"/>
  <c r="U194" i="2" s="1"/>
  <c r="R185" i="2"/>
  <c r="T185" i="2"/>
  <c r="U186" i="2" s="1"/>
  <c r="R177" i="2"/>
  <c r="T177" i="2"/>
  <c r="U178" i="2" s="1"/>
  <c r="R169" i="2"/>
  <c r="T169" i="2"/>
  <c r="U170" i="2" s="1"/>
  <c r="R161" i="2"/>
  <c r="T161" i="2"/>
  <c r="U162" i="2" s="1"/>
  <c r="R153" i="2"/>
  <c r="T153" i="2"/>
  <c r="U154" i="2" s="1"/>
  <c r="R145" i="2"/>
  <c r="T145" i="2"/>
  <c r="U146" i="2" s="1"/>
  <c r="R137" i="2"/>
  <c r="T137" i="2"/>
  <c r="U138" i="2" s="1"/>
  <c r="R129" i="2"/>
  <c r="T129" i="2"/>
  <c r="U130" i="2" s="1"/>
  <c r="R121" i="2"/>
  <c r="T121" i="2"/>
  <c r="U122" i="2" s="1"/>
  <c r="R113" i="2"/>
  <c r="T113" i="2"/>
  <c r="U114" i="2" s="1"/>
  <c r="R105" i="2"/>
  <c r="T105" i="2"/>
  <c r="U106" i="2" s="1"/>
  <c r="R97" i="2"/>
  <c r="T97" i="2"/>
  <c r="U98" i="2" s="1"/>
  <c r="R89" i="2"/>
  <c r="T89" i="2"/>
  <c r="U90" i="2" s="1"/>
  <c r="R81" i="2"/>
  <c r="T81" i="2"/>
  <c r="U82" i="2" s="1"/>
  <c r="R73" i="2"/>
  <c r="T73" i="2"/>
  <c r="U74" i="2" s="1"/>
  <c r="R65" i="2"/>
  <c r="T65" i="2"/>
  <c r="U66" i="2" s="1"/>
  <c r="R57" i="2"/>
  <c r="T57" i="2"/>
  <c r="U58" i="2" s="1"/>
  <c r="R49" i="2"/>
  <c r="T49" i="2"/>
  <c r="U50" i="2" s="1"/>
  <c r="R41" i="2"/>
  <c r="T41" i="2"/>
  <c r="U42" i="2" s="1"/>
  <c r="R33" i="2"/>
  <c r="T33" i="2"/>
  <c r="U34" i="2" s="1"/>
  <c r="R25" i="2"/>
  <c r="T25" i="2"/>
  <c r="U26" i="2" s="1"/>
  <c r="R17" i="2"/>
  <c r="T17" i="2"/>
  <c r="U18" i="2" s="1"/>
  <c r="R9" i="2"/>
  <c r="T9" i="2"/>
  <c r="U10" i="2" s="1"/>
  <c r="R490" i="2"/>
  <c r="T490" i="2"/>
  <c r="U491" i="2" s="1"/>
  <c r="R474" i="2"/>
  <c r="T474" i="2"/>
  <c r="U475" i="2" s="1"/>
  <c r="R450" i="2"/>
  <c r="T450" i="2"/>
  <c r="U451" i="2" s="1"/>
  <c r="R426" i="2"/>
  <c r="T426" i="2"/>
  <c r="U427" i="2" s="1"/>
  <c r="R402" i="2"/>
  <c r="T402" i="2"/>
  <c r="U403" i="2" s="1"/>
  <c r="R386" i="2"/>
  <c r="T386" i="2"/>
  <c r="U387" i="2" s="1"/>
  <c r="R362" i="2"/>
  <c r="T362" i="2"/>
  <c r="U363" i="2" s="1"/>
  <c r="R346" i="2"/>
  <c r="T346" i="2"/>
  <c r="U347" i="2" s="1"/>
  <c r="R314" i="2"/>
  <c r="T314" i="2"/>
  <c r="U315" i="2" s="1"/>
  <c r="R250" i="2"/>
  <c r="T250" i="2"/>
  <c r="U251" i="2" s="1"/>
  <c r="R752" i="2"/>
  <c r="T752" i="2"/>
  <c r="U753" i="2" s="1"/>
  <c r="R728" i="2"/>
  <c r="T728" i="2"/>
  <c r="U729" i="2" s="1"/>
  <c r="R712" i="2"/>
  <c r="T712" i="2"/>
  <c r="U713" i="2" s="1"/>
  <c r="R688" i="2"/>
  <c r="T688" i="2"/>
  <c r="U689" i="2" s="1"/>
  <c r="R664" i="2"/>
  <c r="T664" i="2"/>
  <c r="U665" i="2" s="1"/>
  <c r="R640" i="2"/>
  <c r="T640" i="2"/>
  <c r="U641" i="2" s="1"/>
  <c r="R616" i="2"/>
  <c r="T616" i="2"/>
  <c r="U617" i="2" s="1"/>
  <c r="R592" i="2"/>
  <c r="T592" i="2"/>
  <c r="U593" i="2" s="1"/>
  <c r="R568" i="2"/>
  <c r="T568" i="2"/>
  <c r="U569" i="2" s="1"/>
  <c r="R544" i="2"/>
  <c r="T544" i="2"/>
  <c r="U545" i="2" s="1"/>
  <c r="R528" i="2"/>
  <c r="T528" i="2"/>
  <c r="U529" i="2" s="1"/>
  <c r="R504" i="2"/>
  <c r="T504" i="2"/>
  <c r="U505" i="2" s="1"/>
  <c r="R480" i="2"/>
  <c r="T480" i="2"/>
  <c r="U481" i="2" s="1"/>
  <c r="R456" i="2"/>
  <c r="T456" i="2"/>
  <c r="U457" i="2" s="1"/>
  <c r="R432" i="2"/>
  <c r="T432" i="2"/>
  <c r="U433" i="2" s="1"/>
  <c r="R408" i="2"/>
  <c r="T408" i="2"/>
  <c r="U409" i="2" s="1"/>
  <c r="R384" i="2"/>
  <c r="T384" i="2"/>
  <c r="U385" i="2" s="1"/>
  <c r="R360" i="2"/>
  <c r="T360" i="2"/>
  <c r="U361" i="2" s="1"/>
  <c r="R344" i="2"/>
  <c r="T344" i="2"/>
  <c r="U345" i="2" s="1"/>
  <c r="R320" i="2"/>
  <c r="T320" i="2"/>
  <c r="U321" i="2" s="1"/>
  <c r="R288" i="2"/>
  <c r="T288" i="2"/>
  <c r="U289" i="2" s="1"/>
  <c r="R256" i="2"/>
  <c r="T256" i="2"/>
  <c r="U257" i="2" s="1"/>
  <c r="R240" i="2"/>
  <c r="T240" i="2"/>
  <c r="U241" i="2" s="1"/>
  <c r="R208" i="2"/>
  <c r="T208" i="2"/>
  <c r="U209" i="2" s="1"/>
  <c r="R184" i="2"/>
  <c r="T184" i="2"/>
  <c r="U185" i="2" s="1"/>
  <c r="R168" i="2"/>
  <c r="T168" i="2"/>
  <c r="U169" i="2" s="1"/>
  <c r="R144" i="2"/>
  <c r="T144" i="2"/>
  <c r="U145" i="2" s="1"/>
  <c r="R120" i="2"/>
  <c r="T120" i="2"/>
  <c r="U121" i="2" s="1"/>
  <c r="R96" i="2"/>
  <c r="T96" i="2"/>
  <c r="U97" i="2" s="1"/>
  <c r="R80" i="2"/>
  <c r="T80" i="2"/>
  <c r="U81" i="2" s="1"/>
  <c r="R56" i="2"/>
  <c r="T56" i="2"/>
  <c r="U57" i="2" s="1"/>
  <c r="R32" i="2"/>
  <c r="T32" i="2"/>
  <c r="U33" i="2" s="1"/>
  <c r="R8" i="2"/>
  <c r="T8" i="2"/>
  <c r="U9" i="2" s="1"/>
  <c r="R743" i="2"/>
  <c r="T743" i="2"/>
  <c r="U744" i="2" s="1"/>
  <c r="R719" i="2"/>
  <c r="T719" i="2"/>
  <c r="U720" i="2" s="1"/>
  <c r="R703" i="2"/>
  <c r="T703" i="2"/>
  <c r="U704" i="2" s="1"/>
  <c r="R679" i="2"/>
  <c r="T679" i="2"/>
  <c r="U680" i="2" s="1"/>
  <c r="R663" i="2"/>
  <c r="T663" i="2"/>
  <c r="U664" i="2" s="1"/>
  <c r="R655" i="2"/>
  <c r="T655" i="2"/>
  <c r="U656" i="2" s="1"/>
  <c r="R639" i="2"/>
  <c r="T639" i="2"/>
  <c r="U640" i="2" s="1"/>
  <c r="R623" i="2"/>
  <c r="T623" i="2"/>
  <c r="U624" i="2" s="1"/>
  <c r="R599" i="2"/>
  <c r="T599" i="2"/>
  <c r="U600" i="2" s="1"/>
  <c r="R575" i="2"/>
  <c r="T575" i="2"/>
  <c r="U576" i="2" s="1"/>
  <c r="R543" i="2"/>
  <c r="T543" i="2"/>
  <c r="U544" i="2" s="1"/>
  <c r="R519" i="2"/>
  <c r="T519" i="2"/>
  <c r="U520" i="2" s="1"/>
  <c r="R487" i="2"/>
  <c r="T487" i="2"/>
  <c r="U488" i="2" s="1"/>
  <c r="R455" i="2"/>
  <c r="T455" i="2"/>
  <c r="U456" i="2" s="1"/>
  <c r="R431" i="2"/>
  <c r="T431" i="2"/>
  <c r="U432" i="2" s="1"/>
  <c r="R407" i="2"/>
  <c r="T407" i="2"/>
  <c r="U408" i="2" s="1"/>
  <c r="R383" i="2"/>
  <c r="T383" i="2"/>
  <c r="U384" i="2" s="1"/>
  <c r="R359" i="2"/>
  <c r="T359" i="2"/>
  <c r="U360" i="2" s="1"/>
  <c r="R343" i="2"/>
  <c r="T343" i="2"/>
  <c r="U344" i="2" s="1"/>
  <c r="R327" i="2"/>
  <c r="T327" i="2"/>
  <c r="U328" i="2" s="1"/>
  <c r="R319" i="2"/>
  <c r="T319" i="2"/>
  <c r="U320" i="2" s="1"/>
  <c r="R311" i="2"/>
  <c r="T311" i="2"/>
  <c r="U312" i="2" s="1"/>
  <c r="R303" i="2"/>
  <c r="T303" i="2"/>
  <c r="U304" i="2" s="1"/>
  <c r="R279" i="2"/>
  <c r="T279" i="2"/>
  <c r="U280" i="2" s="1"/>
  <c r="R271" i="2"/>
  <c r="T271" i="2"/>
  <c r="U272" i="2" s="1"/>
  <c r="R263" i="2"/>
  <c r="T263" i="2"/>
  <c r="U264" i="2" s="1"/>
  <c r="R255" i="2"/>
  <c r="T255" i="2"/>
  <c r="U256" i="2" s="1"/>
  <c r="R247" i="2"/>
  <c r="T247" i="2"/>
  <c r="U248" i="2" s="1"/>
  <c r="R239" i="2"/>
  <c r="T239" i="2"/>
  <c r="U240" i="2" s="1"/>
  <c r="R231" i="2"/>
  <c r="T231" i="2"/>
  <c r="U232" i="2" s="1"/>
  <c r="R223" i="2"/>
  <c r="T223" i="2"/>
  <c r="U224" i="2" s="1"/>
  <c r="R215" i="2"/>
  <c r="T215" i="2"/>
  <c r="U216" i="2" s="1"/>
  <c r="R207" i="2"/>
  <c r="T207" i="2"/>
  <c r="U208" i="2" s="1"/>
  <c r="R199" i="2"/>
  <c r="T199" i="2"/>
  <c r="U200" i="2" s="1"/>
  <c r="R191" i="2"/>
  <c r="T191" i="2"/>
  <c r="U192" i="2" s="1"/>
  <c r="R183" i="2"/>
  <c r="T183" i="2"/>
  <c r="U184" i="2" s="1"/>
  <c r="R175" i="2"/>
  <c r="T175" i="2"/>
  <c r="U176" i="2" s="1"/>
  <c r="R167" i="2"/>
  <c r="T167" i="2"/>
  <c r="U168" i="2" s="1"/>
  <c r="R159" i="2"/>
  <c r="T159" i="2"/>
  <c r="U160" i="2" s="1"/>
  <c r="R151" i="2"/>
  <c r="T151" i="2"/>
  <c r="U152" i="2" s="1"/>
  <c r="R143" i="2"/>
  <c r="T143" i="2"/>
  <c r="U144" i="2" s="1"/>
  <c r="R135" i="2"/>
  <c r="T135" i="2"/>
  <c r="U136" i="2" s="1"/>
  <c r="R127" i="2"/>
  <c r="T127" i="2"/>
  <c r="U128" i="2" s="1"/>
  <c r="R119" i="2"/>
  <c r="T119" i="2"/>
  <c r="U120" i="2" s="1"/>
  <c r="R111" i="2"/>
  <c r="T111" i="2"/>
  <c r="U112" i="2" s="1"/>
  <c r="R103" i="2"/>
  <c r="T103" i="2"/>
  <c r="U104" i="2" s="1"/>
  <c r="R95" i="2"/>
  <c r="T95" i="2"/>
  <c r="U96" i="2" s="1"/>
  <c r="R87" i="2"/>
  <c r="T87" i="2"/>
  <c r="U88" i="2" s="1"/>
  <c r="R79" i="2"/>
  <c r="T79" i="2"/>
  <c r="U80" i="2" s="1"/>
  <c r="R71" i="2"/>
  <c r="T71" i="2"/>
  <c r="U72" i="2" s="1"/>
  <c r="R63" i="2"/>
  <c r="T63" i="2"/>
  <c r="U64" i="2" s="1"/>
  <c r="R55" i="2"/>
  <c r="T55" i="2"/>
  <c r="U56" i="2" s="1"/>
  <c r="R47" i="2"/>
  <c r="T47" i="2"/>
  <c r="U48" i="2" s="1"/>
  <c r="R39" i="2"/>
  <c r="T39" i="2"/>
  <c r="U40" i="2" s="1"/>
  <c r="R31" i="2"/>
  <c r="T31" i="2"/>
  <c r="U32" i="2" s="1"/>
  <c r="R23" i="2"/>
  <c r="T23" i="2"/>
  <c r="U24" i="2" s="1"/>
  <c r="R15" i="2"/>
  <c r="T15" i="2"/>
  <c r="U16" i="2" s="1"/>
  <c r="R7" i="2"/>
  <c r="T7" i="2"/>
  <c r="U8" i="2" s="1"/>
  <c r="R702" i="2"/>
  <c r="T702" i="2"/>
  <c r="U703" i="2" s="1"/>
  <c r="R686" i="2"/>
  <c r="T686" i="2"/>
  <c r="U687" i="2" s="1"/>
  <c r="R670" i="2"/>
  <c r="T670" i="2"/>
  <c r="U671" i="2" s="1"/>
  <c r="R654" i="2"/>
  <c r="T654" i="2"/>
  <c r="U655" i="2" s="1"/>
  <c r="R638" i="2"/>
  <c r="T638" i="2"/>
  <c r="U639" i="2" s="1"/>
  <c r="R622" i="2"/>
  <c r="T622" i="2"/>
  <c r="U623" i="2" s="1"/>
  <c r="R606" i="2"/>
  <c r="T606" i="2"/>
  <c r="U607" i="2" s="1"/>
  <c r="R590" i="2"/>
  <c r="T590" i="2"/>
  <c r="U591" i="2" s="1"/>
  <c r="R574" i="2"/>
  <c r="T574" i="2"/>
  <c r="U575" i="2" s="1"/>
  <c r="R558" i="2"/>
  <c r="T558" i="2"/>
  <c r="U559" i="2" s="1"/>
  <c r="R550" i="2"/>
  <c r="T550" i="2"/>
  <c r="U551" i="2" s="1"/>
  <c r="R534" i="2"/>
  <c r="T534" i="2"/>
  <c r="U535" i="2" s="1"/>
  <c r="R526" i="2"/>
  <c r="T526" i="2"/>
  <c r="U527" i="2" s="1"/>
  <c r="R518" i="2"/>
  <c r="T518" i="2"/>
  <c r="U519" i="2" s="1"/>
  <c r="R510" i="2"/>
  <c r="T510" i="2"/>
  <c r="U511" i="2" s="1"/>
  <c r="R502" i="2"/>
  <c r="T502" i="2"/>
  <c r="U503" i="2" s="1"/>
  <c r="R494" i="2"/>
  <c r="T494" i="2"/>
  <c r="U495" i="2" s="1"/>
  <c r="R486" i="2"/>
  <c r="T486" i="2"/>
  <c r="U487" i="2" s="1"/>
  <c r="R478" i="2"/>
  <c r="T478" i="2"/>
  <c r="U479" i="2" s="1"/>
  <c r="R470" i="2"/>
  <c r="T470" i="2"/>
  <c r="U471" i="2" s="1"/>
  <c r="R462" i="2"/>
  <c r="T462" i="2"/>
  <c r="U463" i="2" s="1"/>
  <c r="R454" i="2"/>
  <c r="T454" i="2"/>
  <c r="U455" i="2" s="1"/>
  <c r="R446" i="2"/>
  <c r="T446" i="2"/>
  <c r="U447" i="2" s="1"/>
  <c r="R438" i="2"/>
  <c r="T438" i="2"/>
  <c r="U439" i="2" s="1"/>
  <c r="R430" i="2"/>
  <c r="T430" i="2"/>
  <c r="U431" i="2" s="1"/>
  <c r="R422" i="2"/>
  <c r="T422" i="2"/>
  <c r="U423" i="2" s="1"/>
  <c r="R414" i="2"/>
  <c r="T414" i="2"/>
  <c r="U415" i="2" s="1"/>
  <c r="R406" i="2"/>
  <c r="T406" i="2"/>
  <c r="U407" i="2" s="1"/>
  <c r="R398" i="2"/>
  <c r="T398" i="2"/>
  <c r="U399" i="2" s="1"/>
  <c r="R390" i="2"/>
  <c r="T390" i="2"/>
  <c r="U391" i="2" s="1"/>
  <c r="R382" i="2"/>
  <c r="T382" i="2"/>
  <c r="U383" i="2" s="1"/>
  <c r="R374" i="2"/>
  <c r="T374" i="2"/>
  <c r="U375" i="2" s="1"/>
  <c r="R366" i="2"/>
  <c r="T366" i="2"/>
  <c r="U367" i="2" s="1"/>
  <c r="R358" i="2"/>
  <c r="T358" i="2"/>
  <c r="U359" i="2" s="1"/>
  <c r="R350" i="2"/>
  <c r="T350" i="2"/>
  <c r="U351" i="2" s="1"/>
  <c r="R342" i="2"/>
  <c r="T342" i="2"/>
  <c r="U343" i="2" s="1"/>
  <c r="R334" i="2"/>
  <c r="T334" i="2"/>
  <c r="U335" i="2" s="1"/>
  <c r="R326" i="2"/>
  <c r="T326" i="2"/>
  <c r="U327" i="2" s="1"/>
  <c r="R318" i="2"/>
  <c r="T318" i="2"/>
  <c r="U319" i="2" s="1"/>
  <c r="R310" i="2"/>
  <c r="T310" i="2"/>
  <c r="U311" i="2" s="1"/>
  <c r="R302" i="2"/>
  <c r="T302" i="2"/>
  <c r="U303" i="2" s="1"/>
  <c r="R294" i="2"/>
  <c r="T294" i="2"/>
  <c r="U295" i="2" s="1"/>
  <c r="R286" i="2"/>
  <c r="T286" i="2"/>
  <c r="U287" i="2" s="1"/>
  <c r="R278" i="2"/>
  <c r="T278" i="2"/>
  <c r="U279" i="2" s="1"/>
  <c r="R270" i="2"/>
  <c r="T270" i="2"/>
  <c r="U271" i="2" s="1"/>
  <c r="R262" i="2"/>
  <c r="T262" i="2"/>
  <c r="U263" i="2" s="1"/>
  <c r="R254" i="2"/>
  <c r="T254" i="2"/>
  <c r="U255" i="2" s="1"/>
  <c r="R246" i="2"/>
  <c r="T246" i="2"/>
  <c r="U247" i="2" s="1"/>
  <c r="R238" i="2"/>
  <c r="T238" i="2"/>
  <c r="U239" i="2" s="1"/>
  <c r="R230" i="2"/>
  <c r="T230" i="2"/>
  <c r="U231" i="2" s="1"/>
  <c r="R222" i="2"/>
  <c r="T222" i="2"/>
  <c r="U223" i="2" s="1"/>
  <c r="R214" i="2"/>
  <c r="T214" i="2"/>
  <c r="U215" i="2" s="1"/>
  <c r="R206" i="2"/>
  <c r="T206" i="2"/>
  <c r="U207" i="2" s="1"/>
  <c r="R198" i="2"/>
  <c r="T198" i="2"/>
  <c r="U199" i="2" s="1"/>
  <c r="R190" i="2"/>
  <c r="T190" i="2"/>
  <c r="U191" i="2" s="1"/>
  <c r="R182" i="2"/>
  <c r="T182" i="2"/>
  <c r="U183" i="2" s="1"/>
  <c r="R174" i="2"/>
  <c r="T174" i="2"/>
  <c r="U175" i="2" s="1"/>
  <c r="R166" i="2"/>
  <c r="T166" i="2"/>
  <c r="U167" i="2" s="1"/>
  <c r="R158" i="2"/>
  <c r="T158" i="2"/>
  <c r="U159" i="2" s="1"/>
  <c r="R150" i="2"/>
  <c r="T150" i="2"/>
  <c r="U151" i="2" s="1"/>
  <c r="R142" i="2"/>
  <c r="T142" i="2"/>
  <c r="U143" i="2" s="1"/>
  <c r="R134" i="2"/>
  <c r="T134" i="2"/>
  <c r="U135" i="2" s="1"/>
  <c r="R126" i="2"/>
  <c r="T126" i="2"/>
  <c r="U127" i="2" s="1"/>
  <c r="R118" i="2"/>
  <c r="T118" i="2"/>
  <c r="U119" i="2" s="1"/>
  <c r="R110" i="2"/>
  <c r="T110" i="2"/>
  <c r="U111" i="2" s="1"/>
  <c r="R102" i="2"/>
  <c r="T102" i="2"/>
  <c r="U103" i="2" s="1"/>
  <c r="R94" i="2"/>
  <c r="T94" i="2"/>
  <c r="U95" i="2" s="1"/>
  <c r="R86" i="2"/>
  <c r="T86" i="2"/>
  <c r="U87" i="2" s="1"/>
  <c r="R78" i="2"/>
  <c r="T78" i="2"/>
  <c r="U79" i="2" s="1"/>
  <c r="R70" i="2"/>
  <c r="T70" i="2"/>
  <c r="U71" i="2" s="1"/>
  <c r="R62" i="2"/>
  <c r="T62" i="2"/>
  <c r="U63" i="2" s="1"/>
  <c r="R54" i="2"/>
  <c r="T54" i="2"/>
  <c r="U55" i="2" s="1"/>
  <c r="R46" i="2"/>
  <c r="T46" i="2"/>
  <c r="U47" i="2" s="1"/>
  <c r="R38" i="2"/>
  <c r="T38" i="2"/>
  <c r="U39" i="2" s="1"/>
  <c r="R30" i="2"/>
  <c r="T30" i="2"/>
  <c r="U31" i="2" s="1"/>
  <c r="R22" i="2"/>
  <c r="T22" i="2"/>
  <c r="U23" i="2" s="1"/>
  <c r="R14" i="2"/>
  <c r="T14" i="2"/>
  <c r="U15" i="2" s="1"/>
  <c r="R6" i="2"/>
  <c r="T6" i="2"/>
  <c r="U7" i="2" s="1"/>
  <c r="R754" i="2"/>
  <c r="T754" i="2"/>
  <c r="U755" i="2" s="1"/>
  <c r="R304" i="2"/>
  <c r="T304" i="2"/>
  <c r="U305" i="2" s="1"/>
  <c r="R272" i="2"/>
  <c r="T272" i="2"/>
  <c r="U273" i="2" s="1"/>
  <c r="R216" i="2"/>
  <c r="T216" i="2"/>
  <c r="U217" i="2" s="1"/>
  <c r="R160" i="2"/>
  <c r="T160" i="2"/>
  <c r="U161" i="2" s="1"/>
  <c r="R48" i="2"/>
  <c r="T48" i="2"/>
  <c r="U49" i="2" s="1"/>
  <c r="R607" i="2"/>
  <c r="T607" i="2"/>
  <c r="U608" i="2" s="1"/>
  <c r="R583" i="2"/>
  <c r="T583" i="2"/>
  <c r="U584" i="2" s="1"/>
  <c r="R559" i="2"/>
  <c r="T559" i="2"/>
  <c r="U560" i="2" s="1"/>
  <c r="R535" i="2"/>
  <c r="T535" i="2"/>
  <c r="U536" i="2" s="1"/>
  <c r="R511" i="2"/>
  <c r="T511" i="2"/>
  <c r="U512" i="2" s="1"/>
  <c r="R495" i="2"/>
  <c r="T495" i="2"/>
  <c r="U496" i="2" s="1"/>
  <c r="R479" i="2"/>
  <c r="T479" i="2"/>
  <c r="U480" i="2" s="1"/>
  <c r="R463" i="2"/>
  <c r="T463" i="2"/>
  <c r="U464" i="2" s="1"/>
  <c r="R439" i="2"/>
  <c r="T439" i="2"/>
  <c r="U440" i="2" s="1"/>
  <c r="R415" i="2"/>
  <c r="T415" i="2"/>
  <c r="U416" i="2" s="1"/>
  <c r="R391" i="2"/>
  <c r="T391" i="2"/>
  <c r="U392" i="2" s="1"/>
  <c r="R367" i="2"/>
  <c r="T367" i="2"/>
  <c r="U368" i="2" s="1"/>
  <c r="R295" i="2"/>
  <c r="T295" i="2"/>
  <c r="U296" i="2" s="1"/>
  <c r="R597" i="2"/>
  <c r="T597" i="2"/>
  <c r="U598" i="2" s="1"/>
  <c r="R589" i="2"/>
  <c r="T589" i="2"/>
  <c r="U590" i="2" s="1"/>
  <c r="R581" i="2"/>
  <c r="T581" i="2"/>
  <c r="U582" i="2" s="1"/>
  <c r="R573" i="2"/>
  <c r="T573" i="2"/>
  <c r="U574" i="2" s="1"/>
  <c r="R565" i="2"/>
  <c r="T565" i="2"/>
  <c r="U566" i="2" s="1"/>
  <c r="R557" i="2"/>
  <c r="T557" i="2"/>
  <c r="U558" i="2" s="1"/>
  <c r="R549" i="2"/>
  <c r="T549" i="2"/>
  <c r="U550" i="2" s="1"/>
  <c r="R541" i="2"/>
  <c r="T541" i="2"/>
  <c r="U542" i="2" s="1"/>
  <c r="R533" i="2"/>
  <c r="T533" i="2"/>
  <c r="U534" i="2" s="1"/>
  <c r="R525" i="2"/>
  <c r="T525" i="2"/>
  <c r="U526" i="2" s="1"/>
  <c r="R517" i="2"/>
  <c r="T517" i="2"/>
  <c r="U518" i="2" s="1"/>
  <c r="R509" i="2"/>
  <c r="T509" i="2"/>
  <c r="U510" i="2" s="1"/>
  <c r="R501" i="2"/>
  <c r="T501" i="2"/>
  <c r="U502" i="2" s="1"/>
  <c r="R493" i="2"/>
  <c r="T493" i="2"/>
  <c r="U494" i="2" s="1"/>
  <c r="R485" i="2"/>
  <c r="T485" i="2"/>
  <c r="U486" i="2" s="1"/>
  <c r="R477" i="2"/>
  <c r="T477" i="2"/>
  <c r="U478" i="2" s="1"/>
  <c r="R469" i="2"/>
  <c r="T469" i="2"/>
  <c r="U470" i="2" s="1"/>
  <c r="R461" i="2"/>
  <c r="T461" i="2"/>
  <c r="U462" i="2" s="1"/>
  <c r="R453" i="2"/>
  <c r="T453" i="2"/>
  <c r="U454" i="2" s="1"/>
  <c r="R445" i="2"/>
  <c r="T445" i="2"/>
  <c r="U446" i="2" s="1"/>
  <c r="R437" i="2"/>
  <c r="T437" i="2"/>
  <c r="U438" i="2" s="1"/>
  <c r="R429" i="2"/>
  <c r="T429" i="2"/>
  <c r="U430" i="2" s="1"/>
  <c r="R421" i="2"/>
  <c r="T421" i="2"/>
  <c r="U422" i="2" s="1"/>
  <c r="R413" i="2"/>
  <c r="T413" i="2"/>
  <c r="U414" i="2" s="1"/>
  <c r="R405" i="2"/>
  <c r="T405" i="2"/>
  <c r="U406" i="2" s="1"/>
  <c r="R397" i="2"/>
  <c r="T397" i="2"/>
  <c r="U398" i="2" s="1"/>
  <c r="R389" i="2"/>
  <c r="T389" i="2"/>
  <c r="U390" i="2" s="1"/>
  <c r="R381" i="2"/>
  <c r="T381" i="2"/>
  <c r="U382" i="2" s="1"/>
  <c r="R373" i="2"/>
  <c r="T373" i="2"/>
  <c r="U374" i="2" s="1"/>
  <c r="R365" i="2"/>
  <c r="T365" i="2"/>
  <c r="U366" i="2" s="1"/>
  <c r="R357" i="2"/>
  <c r="T357" i="2"/>
  <c r="U358" i="2" s="1"/>
  <c r="R349" i="2"/>
  <c r="T349" i="2"/>
  <c r="U350" i="2" s="1"/>
  <c r="R341" i="2"/>
  <c r="T341" i="2"/>
  <c r="U342" i="2" s="1"/>
  <c r="R333" i="2"/>
  <c r="T333" i="2"/>
  <c r="U334" i="2" s="1"/>
  <c r="R325" i="2"/>
  <c r="T325" i="2"/>
  <c r="U326" i="2" s="1"/>
  <c r="R317" i="2"/>
  <c r="T317" i="2"/>
  <c r="U318" i="2" s="1"/>
  <c r="R309" i="2"/>
  <c r="T309" i="2"/>
  <c r="U310" i="2" s="1"/>
  <c r="R301" i="2"/>
  <c r="T301" i="2"/>
  <c r="U302" i="2" s="1"/>
  <c r="R293" i="2"/>
  <c r="T293" i="2"/>
  <c r="U294" i="2" s="1"/>
  <c r="R285" i="2"/>
  <c r="T285" i="2"/>
  <c r="U286" i="2" s="1"/>
  <c r="R277" i="2"/>
  <c r="T277" i="2"/>
  <c r="U278" i="2" s="1"/>
  <c r="R269" i="2"/>
  <c r="T269" i="2"/>
  <c r="U270" i="2" s="1"/>
  <c r="R261" i="2"/>
  <c r="T261" i="2"/>
  <c r="U262" i="2" s="1"/>
  <c r="R253" i="2"/>
  <c r="T253" i="2"/>
  <c r="U254" i="2" s="1"/>
  <c r="R245" i="2"/>
  <c r="T245" i="2"/>
  <c r="U246" i="2" s="1"/>
  <c r="R237" i="2"/>
  <c r="T237" i="2"/>
  <c r="U238" i="2" s="1"/>
  <c r="R229" i="2"/>
  <c r="T229" i="2"/>
  <c r="U230" i="2" s="1"/>
  <c r="R221" i="2"/>
  <c r="T221" i="2"/>
  <c r="U222" i="2" s="1"/>
  <c r="R213" i="2"/>
  <c r="T213" i="2"/>
  <c r="U214" i="2" s="1"/>
  <c r="R205" i="2"/>
  <c r="T205" i="2"/>
  <c r="U206" i="2" s="1"/>
  <c r="R197" i="2"/>
  <c r="T197" i="2"/>
  <c r="U198" i="2" s="1"/>
  <c r="R189" i="2"/>
  <c r="T189" i="2"/>
  <c r="U190" i="2" s="1"/>
  <c r="R181" i="2"/>
  <c r="T181" i="2"/>
  <c r="U182" i="2" s="1"/>
  <c r="R173" i="2"/>
  <c r="T173" i="2"/>
  <c r="U174" i="2" s="1"/>
  <c r="R165" i="2"/>
  <c r="T165" i="2"/>
  <c r="U166" i="2" s="1"/>
  <c r="R157" i="2"/>
  <c r="T157" i="2"/>
  <c r="U158" i="2" s="1"/>
  <c r="R149" i="2"/>
  <c r="T149" i="2"/>
  <c r="U150" i="2" s="1"/>
  <c r="R141" i="2"/>
  <c r="T141" i="2"/>
  <c r="U142" i="2" s="1"/>
  <c r="R133" i="2"/>
  <c r="T133" i="2"/>
  <c r="U134" i="2" s="1"/>
  <c r="R125" i="2"/>
  <c r="T125" i="2"/>
  <c r="U126" i="2" s="1"/>
  <c r="R117" i="2"/>
  <c r="T117" i="2"/>
  <c r="U118" i="2" s="1"/>
  <c r="R109" i="2"/>
  <c r="T109" i="2"/>
  <c r="U110" i="2" s="1"/>
  <c r="R101" i="2"/>
  <c r="T101" i="2"/>
  <c r="U102" i="2" s="1"/>
  <c r="R93" i="2"/>
  <c r="T93" i="2"/>
  <c r="U94" i="2" s="1"/>
  <c r="R85" i="2"/>
  <c r="T85" i="2"/>
  <c r="U86" i="2" s="1"/>
  <c r="R77" i="2"/>
  <c r="T77" i="2"/>
  <c r="U78" i="2" s="1"/>
  <c r="R69" i="2"/>
  <c r="T69" i="2"/>
  <c r="U70" i="2" s="1"/>
  <c r="R61" i="2"/>
  <c r="T61" i="2"/>
  <c r="U62" i="2" s="1"/>
  <c r="R53" i="2"/>
  <c r="T53" i="2"/>
  <c r="U54" i="2" s="1"/>
  <c r="R45" i="2"/>
  <c r="T45" i="2"/>
  <c r="U46" i="2" s="1"/>
  <c r="R37" i="2"/>
  <c r="T37" i="2"/>
  <c r="U38" i="2" s="1"/>
  <c r="R29" i="2"/>
  <c r="T29" i="2"/>
  <c r="U30" i="2" s="1"/>
  <c r="R21" i="2"/>
  <c r="T21" i="2"/>
  <c r="U22" i="2" s="1"/>
  <c r="R13" i="2"/>
  <c r="T13" i="2"/>
  <c r="U14" i="2" s="1"/>
  <c r="R5" i="2"/>
  <c r="T5" i="2"/>
  <c r="U6" i="2" s="1"/>
  <c r="R738" i="2"/>
  <c r="T738" i="2"/>
  <c r="U739" i="2" s="1"/>
  <c r="R722" i="2"/>
  <c r="T722" i="2"/>
  <c r="U723" i="2" s="1"/>
  <c r="R706" i="2"/>
  <c r="T706" i="2"/>
  <c r="U707" i="2" s="1"/>
  <c r="R690" i="2"/>
  <c r="T690" i="2"/>
  <c r="U691" i="2" s="1"/>
  <c r="R674" i="2"/>
  <c r="T674" i="2"/>
  <c r="U675" i="2" s="1"/>
  <c r="R650" i="2"/>
  <c r="T650" i="2"/>
  <c r="U651" i="2" s="1"/>
  <c r="R634" i="2"/>
  <c r="T634" i="2"/>
  <c r="U635" i="2" s="1"/>
  <c r="R618" i="2"/>
  <c r="T618" i="2"/>
  <c r="U619" i="2" s="1"/>
  <c r="R602" i="2"/>
  <c r="T602" i="2"/>
  <c r="U603" i="2" s="1"/>
  <c r="R586" i="2"/>
  <c r="T586" i="2"/>
  <c r="U587" i="2" s="1"/>
  <c r="R570" i="2"/>
  <c r="T570" i="2"/>
  <c r="U571" i="2" s="1"/>
  <c r="R546" i="2"/>
  <c r="T546" i="2"/>
  <c r="U547" i="2" s="1"/>
  <c r="R530" i="2"/>
  <c r="T530" i="2"/>
  <c r="U531" i="2" s="1"/>
  <c r="R514" i="2"/>
  <c r="T514" i="2"/>
  <c r="U515" i="2" s="1"/>
  <c r="R498" i="2"/>
  <c r="T498" i="2"/>
  <c r="U499" i="2" s="1"/>
  <c r="R466" i="2"/>
  <c r="T466" i="2"/>
  <c r="U467" i="2" s="1"/>
  <c r="R442" i="2"/>
  <c r="T442" i="2"/>
  <c r="U443" i="2" s="1"/>
  <c r="R418" i="2"/>
  <c r="T418" i="2"/>
  <c r="U419" i="2" s="1"/>
  <c r="R394" i="2"/>
  <c r="T394" i="2"/>
  <c r="U395" i="2" s="1"/>
  <c r="R370" i="2"/>
  <c r="T370" i="2"/>
  <c r="U371" i="2" s="1"/>
  <c r="R330" i="2"/>
  <c r="T330" i="2"/>
  <c r="U331" i="2" s="1"/>
  <c r="R306" i="2"/>
  <c r="T306" i="2"/>
  <c r="U307" i="2" s="1"/>
  <c r="R234" i="2"/>
  <c r="T234" i="2"/>
  <c r="U235" i="2" s="1"/>
  <c r="R736" i="2"/>
  <c r="T736" i="2"/>
  <c r="U737" i="2" s="1"/>
  <c r="R704" i="2"/>
  <c r="T704" i="2"/>
  <c r="U705" i="2" s="1"/>
  <c r="R680" i="2"/>
  <c r="T680" i="2"/>
  <c r="U681" i="2" s="1"/>
  <c r="R656" i="2"/>
  <c r="T656" i="2"/>
  <c r="U657" i="2" s="1"/>
  <c r="R632" i="2"/>
  <c r="T632" i="2"/>
  <c r="U633" i="2" s="1"/>
  <c r="R608" i="2"/>
  <c r="T608" i="2"/>
  <c r="U609" i="2" s="1"/>
  <c r="R584" i="2"/>
  <c r="T584" i="2"/>
  <c r="U585" i="2" s="1"/>
  <c r="R552" i="2"/>
  <c r="T552" i="2"/>
  <c r="U553" i="2" s="1"/>
  <c r="R520" i="2"/>
  <c r="T520" i="2"/>
  <c r="U521" i="2" s="1"/>
  <c r="R496" i="2"/>
  <c r="T496" i="2"/>
  <c r="U497" i="2" s="1"/>
  <c r="R472" i="2"/>
  <c r="T472" i="2"/>
  <c r="U473" i="2" s="1"/>
  <c r="R448" i="2"/>
  <c r="T448" i="2"/>
  <c r="U449" i="2" s="1"/>
  <c r="R424" i="2"/>
  <c r="T424" i="2"/>
  <c r="U425" i="2" s="1"/>
  <c r="R400" i="2"/>
  <c r="T400" i="2"/>
  <c r="U401" i="2" s="1"/>
  <c r="R376" i="2"/>
  <c r="T376" i="2"/>
  <c r="U377" i="2" s="1"/>
  <c r="R352" i="2"/>
  <c r="T352" i="2"/>
  <c r="U353" i="2" s="1"/>
  <c r="R328" i="2"/>
  <c r="T328" i="2"/>
  <c r="U329" i="2" s="1"/>
  <c r="R296" i="2"/>
  <c r="T296" i="2"/>
  <c r="U297" i="2" s="1"/>
  <c r="R264" i="2"/>
  <c r="T264" i="2"/>
  <c r="U265" i="2" s="1"/>
  <c r="R224" i="2"/>
  <c r="T224" i="2"/>
  <c r="U225" i="2" s="1"/>
  <c r="R192" i="2"/>
  <c r="T192" i="2"/>
  <c r="U193" i="2" s="1"/>
  <c r="R176" i="2"/>
  <c r="T176" i="2"/>
  <c r="U177" i="2" s="1"/>
  <c r="R136" i="2"/>
  <c r="T136" i="2"/>
  <c r="U137" i="2" s="1"/>
  <c r="R104" i="2"/>
  <c r="T104" i="2"/>
  <c r="U105" i="2" s="1"/>
  <c r="R72" i="2"/>
  <c r="T72" i="2"/>
  <c r="U73" i="2" s="1"/>
  <c r="R24" i="2"/>
  <c r="T24" i="2"/>
  <c r="U25" i="2" s="1"/>
  <c r="R751" i="2"/>
  <c r="T751" i="2"/>
  <c r="U752" i="2" s="1"/>
  <c r="R735" i="2"/>
  <c r="T735" i="2"/>
  <c r="U736" i="2" s="1"/>
  <c r="R711" i="2"/>
  <c r="T711" i="2"/>
  <c r="U712" i="2" s="1"/>
  <c r="R687" i="2"/>
  <c r="T687" i="2"/>
  <c r="U688" i="2" s="1"/>
  <c r="R671" i="2"/>
  <c r="T671" i="2"/>
  <c r="U672" i="2" s="1"/>
  <c r="R647" i="2"/>
  <c r="T647" i="2"/>
  <c r="U648" i="2" s="1"/>
  <c r="R631" i="2"/>
  <c r="T631" i="2"/>
  <c r="U632" i="2" s="1"/>
  <c r="R615" i="2"/>
  <c r="T615" i="2"/>
  <c r="U616" i="2" s="1"/>
  <c r="R591" i="2"/>
  <c r="T591" i="2"/>
  <c r="U592" i="2" s="1"/>
  <c r="R567" i="2"/>
  <c r="T567" i="2"/>
  <c r="U568" i="2" s="1"/>
  <c r="R551" i="2"/>
  <c r="T551" i="2"/>
  <c r="U552" i="2" s="1"/>
  <c r="R527" i="2"/>
  <c r="T527" i="2"/>
  <c r="U528" i="2" s="1"/>
  <c r="R503" i="2"/>
  <c r="T503" i="2"/>
  <c r="U504" i="2" s="1"/>
  <c r="R471" i="2"/>
  <c r="T471" i="2"/>
  <c r="U472" i="2" s="1"/>
  <c r="R447" i="2"/>
  <c r="T447" i="2"/>
  <c r="U448" i="2" s="1"/>
  <c r="R423" i="2"/>
  <c r="T423" i="2"/>
  <c r="U424" i="2" s="1"/>
  <c r="R399" i="2"/>
  <c r="T399" i="2"/>
  <c r="U400" i="2" s="1"/>
  <c r="R375" i="2"/>
  <c r="T375" i="2"/>
  <c r="U376" i="2" s="1"/>
  <c r="R351" i="2"/>
  <c r="T351" i="2"/>
  <c r="U352" i="2" s="1"/>
  <c r="R335" i="2"/>
  <c r="T335" i="2"/>
  <c r="U336" i="2" s="1"/>
  <c r="R287" i="2"/>
  <c r="T287" i="2"/>
  <c r="U288" i="2" s="1"/>
  <c r="R758" i="2"/>
  <c r="T758" i="2"/>
  <c r="U759" i="2" s="1"/>
  <c r="R750" i="2"/>
  <c r="T750" i="2"/>
  <c r="U751" i="2" s="1"/>
  <c r="R742" i="2"/>
  <c r="T742" i="2"/>
  <c r="U743" i="2" s="1"/>
  <c r="R734" i="2"/>
  <c r="T734" i="2"/>
  <c r="U735" i="2" s="1"/>
  <c r="R726" i="2"/>
  <c r="T726" i="2"/>
  <c r="U727" i="2" s="1"/>
  <c r="R718" i="2"/>
  <c r="T718" i="2"/>
  <c r="U719" i="2" s="1"/>
  <c r="R710" i="2"/>
  <c r="T710" i="2"/>
  <c r="U711" i="2" s="1"/>
  <c r="R694" i="2"/>
  <c r="T694" i="2"/>
  <c r="U695" i="2" s="1"/>
  <c r="R678" i="2"/>
  <c r="T678" i="2"/>
  <c r="U679" i="2" s="1"/>
  <c r="R662" i="2"/>
  <c r="T662" i="2"/>
  <c r="U663" i="2" s="1"/>
  <c r="R646" i="2"/>
  <c r="T646" i="2"/>
  <c r="U647" i="2" s="1"/>
  <c r="R630" i="2"/>
  <c r="T630" i="2"/>
  <c r="U631" i="2" s="1"/>
  <c r="R614" i="2"/>
  <c r="T614" i="2"/>
  <c r="U615" i="2" s="1"/>
  <c r="R598" i="2"/>
  <c r="T598" i="2"/>
  <c r="U599" i="2" s="1"/>
  <c r="R582" i="2"/>
  <c r="T582" i="2"/>
  <c r="U583" i="2" s="1"/>
  <c r="R566" i="2"/>
  <c r="T566" i="2"/>
  <c r="U567" i="2" s="1"/>
  <c r="R542" i="2"/>
  <c r="T542" i="2"/>
  <c r="U543" i="2" s="1"/>
  <c r="R757" i="2"/>
  <c r="T757" i="2"/>
  <c r="U758" i="2" s="1"/>
  <c r="R749" i="2"/>
  <c r="T749" i="2"/>
  <c r="U750" i="2" s="1"/>
  <c r="R733" i="2"/>
  <c r="T733" i="2"/>
  <c r="U734" i="2" s="1"/>
  <c r="R717" i="2"/>
  <c r="T717" i="2"/>
  <c r="U718" i="2" s="1"/>
  <c r="R701" i="2"/>
  <c r="T701" i="2"/>
  <c r="U702" i="2" s="1"/>
  <c r="R685" i="2"/>
  <c r="T685" i="2"/>
  <c r="U686" i="2" s="1"/>
  <c r="R677" i="2"/>
  <c r="T677" i="2"/>
  <c r="U678" i="2" s="1"/>
  <c r="R669" i="2"/>
  <c r="T669" i="2"/>
  <c r="U670" i="2" s="1"/>
  <c r="R661" i="2"/>
  <c r="T661" i="2"/>
  <c r="U662" i="2" s="1"/>
  <c r="R653" i="2"/>
  <c r="T653" i="2"/>
  <c r="U654" i="2" s="1"/>
  <c r="R645" i="2"/>
  <c r="T645" i="2"/>
  <c r="U646" i="2" s="1"/>
  <c r="R637" i="2"/>
  <c r="T637" i="2"/>
  <c r="U638" i="2" s="1"/>
  <c r="R629" i="2"/>
  <c r="T629" i="2"/>
  <c r="U630" i="2" s="1"/>
  <c r="R621" i="2"/>
  <c r="T621" i="2"/>
  <c r="U622" i="2" s="1"/>
  <c r="R613" i="2"/>
  <c r="T613" i="2"/>
  <c r="U614" i="2" s="1"/>
  <c r="R605" i="2"/>
  <c r="T605" i="2"/>
  <c r="U606" i="2" s="1"/>
  <c r="R756" i="2"/>
  <c r="T756" i="2"/>
  <c r="U757" i="2" s="1"/>
  <c r="R748" i="2"/>
  <c r="T748" i="2"/>
  <c r="U749" i="2" s="1"/>
  <c r="R740" i="2"/>
  <c r="T740" i="2"/>
  <c r="U741" i="2" s="1"/>
  <c r="R732" i="2"/>
  <c r="T732" i="2"/>
  <c r="U733" i="2" s="1"/>
  <c r="R724" i="2"/>
  <c r="T724" i="2"/>
  <c r="U725" i="2" s="1"/>
  <c r="R716" i="2"/>
  <c r="T716" i="2"/>
  <c r="U717" i="2" s="1"/>
  <c r="R708" i="2"/>
  <c r="T708" i="2"/>
  <c r="U709" i="2" s="1"/>
  <c r="R700" i="2"/>
  <c r="T700" i="2"/>
  <c r="U701" i="2" s="1"/>
  <c r="R692" i="2"/>
  <c r="T692" i="2"/>
  <c r="U693" i="2" s="1"/>
  <c r="R684" i="2"/>
  <c r="T684" i="2"/>
  <c r="U685" i="2" s="1"/>
  <c r="R676" i="2"/>
  <c r="T676" i="2"/>
  <c r="U677" i="2" s="1"/>
  <c r="R668" i="2"/>
  <c r="T668" i="2"/>
  <c r="U669" i="2" s="1"/>
  <c r="R660" i="2"/>
  <c r="T660" i="2"/>
  <c r="U661" i="2" s="1"/>
  <c r="R652" i="2"/>
  <c r="T652" i="2"/>
  <c r="U653" i="2" s="1"/>
  <c r="R644" i="2"/>
  <c r="T644" i="2"/>
  <c r="U645" i="2" s="1"/>
  <c r="R636" i="2"/>
  <c r="T636" i="2"/>
  <c r="U637" i="2" s="1"/>
  <c r="R628" i="2"/>
  <c r="T628" i="2"/>
  <c r="U629" i="2" s="1"/>
  <c r="R620" i="2"/>
  <c r="T620" i="2"/>
  <c r="U621" i="2" s="1"/>
  <c r="R612" i="2"/>
  <c r="T612" i="2"/>
  <c r="U613" i="2" s="1"/>
  <c r="R604" i="2"/>
  <c r="T604" i="2"/>
  <c r="U605" i="2" s="1"/>
  <c r="R596" i="2"/>
  <c r="T596" i="2"/>
  <c r="U597" i="2" s="1"/>
  <c r="R588" i="2"/>
  <c r="T588" i="2"/>
  <c r="U589" i="2" s="1"/>
  <c r="R580" i="2"/>
  <c r="T580" i="2"/>
  <c r="U581" i="2" s="1"/>
  <c r="R572" i="2"/>
  <c r="T572" i="2"/>
  <c r="U573" i="2" s="1"/>
  <c r="R564" i="2"/>
  <c r="T564" i="2"/>
  <c r="U565" i="2" s="1"/>
  <c r="R556" i="2"/>
  <c r="T556" i="2"/>
  <c r="U557" i="2" s="1"/>
  <c r="R548" i="2"/>
  <c r="T548" i="2"/>
  <c r="U549" i="2" s="1"/>
  <c r="R540" i="2"/>
  <c r="T540" i="2"/>
  <c r="U541" i="2" s="1"/>
  <c r="R524" i="2"/>
  <c r="T524" i="2"/>
  <c r="U525" i="2" s="1"/>
  <c r="R516" i="2"/>
  <c r="T516" i="2"/>
  <c r="U517" i="2" s="1"/>
  <c r="R508" i="2"/>
  <c r="T508" i="2"/>
  <c r="U509" i="2" s="1"/>
  <c r="R492" i="2"/>
  <c r="T492" i="2"/>
  <c r="U493" i="2" s="1"/>
  <c r="R484" i="2"/>
  <c r="T484" i="2"/>
  <c r="U485" i="2" s="1"/>
  <c r="R476" i="2"/>
  <c r="T476" i="2"/>
  <c r="U477" i="2" s="1"/>
  <c r="R468" i="2"/>
  <c r="T468" i="2"/>
  <c r="U469" i="2" s="1"/>
  <c r="R460" i="2"/>
  <c r="T460" i="2"/>
  <c r="U461" i="2" s="1"/>
  <c r="R452" i="2"/>
  <c r="T452" i="2"/>
  <c r="U453" i="2" s="1"/>
  <c r="R444" i="2"/>
  <c r="T444" i="2"/>
  <c r="U445" i="2" s="1"/>
  <c r="R436" i="2"/>
  <c r="T436" i="2"/>
  <c r="U437" i="2" s="1"/>
  <c r="R428" i="2"/>
  <c r="T428" i="2"/>
  <c r="U429" i="2" s="1"/>
  <c r="R420" i="2"/>
  <c r="T420" i="2"/>
  <c r="U421" i="2" s="1"/>
  <c r="R412" i="2"/>
  <c r="T412" i="2"/>
  <c r="U413" i="2" s="1"/>
  <c r="R404" i="2"/>
  <c r="T404" i="2"/>
  <c r="U405" i="2" s="1"/>
  <c r="R396" i="2"/>
  <c r="T396" i="2"/>
  <c r="U397" i="2" s="1"/>
  <c r="R388" i="2"/>
  <c r="T388" i="2"/>
  <c r="U389" i="2" s="1"/>
  <c r="R380" i="2"/>
  <c r="T380" i="2"/>
  <c r="U381" i="2" s="1"/>
  <c r="R372" i="2"/>
  <c r="T372" i="2"/>
  <c r="U373" i="2" s="1"/>
  <c r="R364" i="2"/>
  <c r="T364" i="2"/>
  <c r="U365" i="2" s="1"/>
  <c r="R356" i="2"/>
  <c r="T356" i="2"/>
  <c r="U357" i="2" s="1"/>
  <c r="R348" i="2"/>
  <c r="T348" i="2"/>
  <c r="U349" i="2" s="1"/>
  <c r="R340" i="2"/>
  <c r="T340" i="2"/>
  <c r="U341" i="2" s="1"/>
  <c r="R332" i="2"/>
  <c r="T332" i="2"/>
  <c r="U333" i="2" s="1"/>
  <c r="R324" i="2"/>
  <c r="T324" i="2"/>
  <c r="U325" i="2" s="1"/>
  <c r="R316" i="2"/>
  <c r="T316" i="2"/>
  <c r="U317" i="2" s="1"/>
  <c r="R308" i="2"/>
  <c r="T308" i="2"/>
  <c r="U309" i="2" s="1"/>
  <c r="R300" i="2"/>
  <c r="T300" i="2"/>
  <c r="U301" i="2" s="1"/>
  <c r="R292" i="2"/>
  <c r="T292" i="2"/>
  <c r="U293" i="2" s="1"/>
  <c r="R284" i="2"/>
  <c r="T284" i="2"/>
  <c r="U285" i="2" s="1"/>
  <c r="R276" i="2"/>
  <c r="T276" i="2"/>
  <c r="U277" i="2" s="1"/>
  <c r="R268" i="2"/>
  <c r="T268" i="2"/>
  <c r="U269" i="2" s="1"/>
  <c r="R260" i="2"/>
  <c r="T260" i="2"/>
  <c r="U261" i="2" s="1"/>
  <c r="R252" i="2"/>
  <c r="T252" i="2"/>
  <c r="U253" i="2" s="1"/>
  <c r="R244" i="2"/>
  <c r="T244" i="2"/>
  <c r="U245" i="2" s="1"/>
  <c r="R236" i="2"/>
  <c r="T236" i="2"/>
  <c r="U237" i="2" s="1"/>
  <c r="R228" i="2"/>
  <c r="T228" i="2"/>
  <c r="U229" i="2" s="1"/>
  <c r="R220" i="2"/>
  <c r="T220" i="2"/>
  <c r="U221" i="2" s="1"/>
  <c r="R212" i="2"/>
  <c r="T212" i="2"/>
  <c r="U213" i="2" s="1"/>
  <c r="R204" i="2"/>
  <c r="T204" i="2"/>
  <c r="U205" i="2" s="1"/>
  <c r="R196" i="2"/>
  <c r="T196" i="2"/>
  <c r="U197" i="2" s="1"/>
  <c r="R188" i="2"/>
  <c r="T188" i="2"/>
  <c r="U189" i="2" s="1"/>
  <c r="R180" i="2"/>
  <c r="T180" i="2"/>
  <c r="U181" i="2" s="1"/>
  <c r="R172" i="2"/>
  <c r="T172" i="2"/>
  <c r="U173" i="2" s="1"/>
  <c r="R164" i="2"/>
  <c r="T164" i="2"/>
  <c r="U165" i="2" s="1"/>
  <c r="R156" i="2"/>
  <c r="T156" i="2"/>
  <c r="U157" i="2" s="1"/>
  <c r="R148" i="2"/>
  <c r="T148" i="2"/>
  <c r="U149" i="2" s="1"/>
  <c r="R140" i="2"/>
  <c r="T140" i="2"/>
  <c r="U141" i="2" s="1"/>
  <c r="R132" i="2"/>
  <c r="T132" i="2"/>
  <c r="U133" i="2" s="1"/>
  <c r="R124" i="2"/>
  <c r="T124" i="2"/>
  <c r="U125" i="2" s="1"/>
  <c r="R116" i="2"/>
  <c r="T116" i="2"/>
  <c r="U117" i="2" s="1"/>
  <c r="R108" i="2"/>
  <c r="T108" i="2"/>
  <c r="U109" i="2" s="1"/>
  <c r="R100" i="2"/>
  <c r="T100" i="2"/>
  <c r="U101" i="2" s="1"/>
  <c r="R92" i="2"/>
  <c r="T92" i="2"/>
  <c r="U93" i="2" s="1"/>
  <c r="R84" i="2"/>
  <c r="T84" i="2"/>
  <c r="U85" i="2" s="1"/>
  <c r="R76" i="2"/>
  <c r="T76" i="2"/>
  <c r="U77" i="2" s="1"/>
  <c r="R68" i="2"/>
  <c r="T68" i="2"/>
  <c r="U69" i="2" s="1"/>
  <c r="R60" i="2"/>
  <c r="T60" i="2"/>
  <c r="U61" i="2" s="1"/>
  <c r="R52" i="2"/>
  <c r="T52" i="2"/>
  <c r="U53" i="2" s="1"/>
  <c r="R44" i="2"/>
  <c r="T44" i="2"/>
  <c r="U45" i="2" s="1"/>
  <c r="R36" i="2"/>
  <c r="T36" i="2"/>
  <c r="U37" i="2" s="1"/>
  <c r="R28" i="2"/>
  <c r="T28" i="2"/>
  <c r="U29" i="2" s="1"/>
  <c r="R20" i="2"/>
  <c r="T20" i="2"/>
  <c r="U21" i="2" s="1"/>
  <c r="R12" i="2"/>
  <c r="T12" i="2"/>
  <c r="U13" i="2" s="1"/>
  <c r="R4" i="2"/>
  <c r="T4" i="2"/>
  <c r="U5" i="2" s="1"/>
  <c r="R226" i="2"/>
  <c r="T226" i="2"/>
  <c r="U227" i="2" s="1"/>
  <c r="R744" i="2"/>
  <c r="T744" i="2"/>
  <c r="U745" i="2" s="1"/>
  <c r="R720" i="2"/>
  <c r="T720" i="2"/>
  <c r="U721" i="2" s="1"/>
  <c r="R696" i="2"/>
  <c r="T696" i="2"/>
  <c r="U697" i="2" s="1"/>
  <c r="R672" i="2"/>
  <c r="T672" i="2"/>
  <c r="U673" i="2" s="1"/>
  <c r="R648" i="2"/>
  <c r="T648" i="2"/>
  <c r="U649" i="2" s="1"/>
  <c r="R624" i="2"/>
  <c r="T624" i="2"/>
  <c r="U625" i="2" s="1"/>
  <c r="R600" i="2"/>
  <c r="T600" i="2"/>
  <c r="U601" i="2" s="1"/>
  <c r="R576" i="2"/>
  <c r="T576" i="2"/>
  <c r="U577" i="2" s="1"/>
  <c r="R560" i="2"/>
  <c r="T560" i="2"/>
  <c r="U561" i="2" s="1"/>
  <c r="R536" i="2"/>
  <c r="T536" i="2"/>
  <c r="U537" i="2" s="1"/>
  <c r="R512" i="2"/>
  <c r="T512" i="2"/>
  <c r="U513" i="2" s="1"/>
  <c r="R488" i="2"/>
  <c r="T488" i="2"/>
  <c r="U489" i="2" s="1"/>
  <c r="R464" i="2"/>
  <c r="T464" i="2"/>
  <c r="U465" i="2" s="1"/>
  <c r="R440" i="2"/>
  <c r="T440" i="2"/>
  <c r="U441" i="2" s="1"/>
  <c r="R416" i="2"/>
  <c r="T416" i="2"/>
  <c r="U417" i="2" s="1"/>
  <c r="R392" i="2"/>
  <c r="T392" i="2"/>
  <c r="U393" i="2" s="1"/>
  <c r="R368" i="2"/>
  <c r="T368" i="2"/>
  <c r="U369" i="2" s="1"/>
  <c r="R336" i="2"/>
  <c r="T336" i="2"/>
  <c r="U337" i="2" s="1"/>
  <c r="R312" i="2"/>
  <c r="T312" i="2"/>
  <c r="U313" i="2" s="1"/>
  <c r="R280" i="2"/>
  <c r="T280" i="2"/>
  <c r="U281" i="2" s="1"/>
  <c r="R248" i="2"/>
  <c r="T248" i="2"/>
  <c r="U249" i="2" s="1"/>
  <c r="R232" i="2"/>
  <c r="T232" i="2"/>
  <c r="U233" i="2" s="1"/>
  <c r="R200" i="2"/>
  <c r="T200" i="2"/>
  <c r="U201" i="2" s="1"/>
  <c r="R152" i="2"/>
  <c r="T152" i="2"/>
  <c r="U153" i="2" s="1"/>
  <c r="R128" i="2"/>
  <c r="T128" i="2"/>
  <c r="U129" i="2" s="1"/>
  <c r="R112" i="2"/>
  <c r="T112" i="2"/>
  <c r="U113" i="2" s="1"/>
  <c r="R88" i="2"/>
  <c r="T88" i="2"/>
  <c r="U89" i="2" s="1"/>
  <c r="R64" i="2"/>
  <c r="T64" i="2"/>
  <c r="U65" i="2" s="1"/>
  <c r="R40" i="2"/>
  <c r="T40" i="2"/>
  <c r="U41" i="2" s="1"/>
  <c r="R16" i="2"/>
  <c r="T16" i="2"/>
  <c r="U17" i="2" s="1"/>
  <c r="R759" i="2"/>
  <c r="T759" i="2"/>
  <c r="R727" i="2"/>
  <c r="T727" i="2"/>
  <c r="U728" i="2" s="1"/>
  <c r="R695" i="2"/>
  <c r="T695" i="2"/>
  <c r="U696" i="2" s="1"/>
  <c r="R741" i="2"/>
  <c r="T741" i="2"/>
  <c r="U742" i="2" s="1"/>
  <c r="R725" i="2"/>
  <c r="T725" i="2"/>
  <c r="U726" i="2" s="1"/>
  <c r="R709" i="2"/>
  <c r="T709" i="2"/>
  <c r="U710" i="2" s="1"/>
  <c r="R693" i="2"/>
  <c r="T693" i="2"/>
  <c r="U694" i="2" s="1"/>
  <c r="R532" i="2"/>
  <c r="T532" i="2"/>
  <c r="U533" i="2" s="1"/>
  <c r="R500" i="2"/>
  <c r="T500" i="2"/>
  <c r="U501" i="2" s="1"/>
  <c r="R755" i="2"/>
  <c r="T755" i="2"/>
  <c r="U756" i="2" s="1"/>
  <c r="R747" i="2"/>
  <c r="T747" i="2"/>
  <c r="U748" i="2" s="1"/>
  <c r="R739" i="2"/>
  <c r="T739" i="2"/>
  <c r="U740" i="2" s="1"/>
  <c r="R731" i="2"/>
  <c r="T731" i="2"/>
  <c r="U732" i="2" s="1"/>
  <c r="R723" i="2"/>
  <c r="T723" i="2"/>
  <c r="U724" i="2" s="1"/>
  <c r="R715" i="2"/>
  <c r="T715" i="2"/>
  <c r="U716" i="2" s="1"/>
  <c r="R707" i="2"/>
  <c r="T707" i="2"/>
  <c r="U708" i="2" s="1"/>
  <c r="R699" i="2"/>
  <c r="T699" i="2"/>
  <c r="U700" i="2" s="1"/>
  <c r="R691" i="2"/>
  <c r="T691" i="2"/>
  <c r="U692" i="2" s="1"/>
  <c r="R683" i="2"/>
  <c r="T683" i="2"/>
  <c r="U684" i="2" s="1"/>
  <c r="R675" i="2"/>
  <c r="T675" i="2"/>
  <c r="U676" i="2" s="1"/>
  <c r="R667" i="2"/>
  <c r="T667" i="2"/>
  <c r="U668" i="2" s="1"/>
  <c r="R659" i="2"/>
  <c r="T659" i="2"/>
  <c r="U660" i="2" s="1"/>
  <c r="R651" i="2"/>
  <c r="T651" i="2"/>
  <c r="U652" i="2" s="1"/>
  <c r="R643" i="2"/>
  <c r="T643" i="2"/>
  <c r="U644" i="2" s="1"/>
  <c r="R635" i="2"/>
  <c r="T635" i="2"/>
  <c r="U636" i="2" s="1"/>
  <c r="R627" i="2"/>
  <c r="T627" i="2"/>
  <c r="U628" i="2" s="1"/>
  <c r="R619" i="2"/>
  <c r="T619" i="2"/>
  <c r="U620" i="2" s="1"/>
  <c r="R611" i="2"/>
  <c r="T611" i="2"/>
  <c r="U612" i="2" s="1"/>
  <c r="R603" i="2"/>
  <c r="T603" i="2"/>
  <c r="U604" i="2" s="1"/>
  <c r="R595" i="2"/>
  <c r="T595" i="2"/>
  <c r="U596" i="2" s="1"/>
  <c r="R587" i="2"/>
  <c r="T587" i="2"/>
  <c r="U588" i="2" s="1"/>
  <c r="R579" i="2"/>
  <c r="T579" i="2"/>
  <c r="U580" i="2" s="1"/>
  <c r="R571" i="2"/>
  <c r="T571" i="2"/>
  <c r="U572" i="2" s="1"/>
  <c r="R563" i="2"/>
  <c r="T563" i="2"/>
  <c r="U564" i="2" s="1"/>
  <c r="R555" i="2"/>
  <c r="T555" i="2"/>
  <c r="U556" i="2" s="1"/>
  <c r="R547" i="2"/>
  <c r="T547" i="2"/>
  <c r="U548" i="2" s="1"/>
  <c r="R539" i="2"/>
  <c r="T539" i="2"/>
  <c r="U540" i="2" s="1"/>
  <c r="R531" i="2"/>
  <c r="T531" i="2"/>
  <c r="U532" i="2" s="1"/>
  <c r="R523" i="2"/>
  <c r="T523" i="2"/>
  <c r="U524" i="2" s="1"/>
  <c r="R515" i="2"/>
  <c r="T515" i="2"/>
  <c r="U516" i="2" s="1"/>
  <c r="R507" i="2"/>
  <c r="T507" i="2"/>
  <c r="U508" i="2" s="1"/>
  <c r="R499" i="2"/>
  <c r="T499" i="2"/>
  <c r="U500" i="2" s="1"/>
  <c r="R491" i="2"/>
  <c r="T491" i="2"/>
  <c r="U492" i="2" s="1"/>
  <c r="R483" i="2"/>
  <c r="T483" i="2"/>
  <c r="U484" i="2" s="1"/>
  <c r="R475" i="2"/>
  <c r="T475" i="2"/>
  <c r="U476" i="2" s="1"/>
  <c r="R467" i="2"/>
  <c r="T467" i="2"/>
  <c r="U468" i="2" s="1"/>
  <c r="R459" i="2"/>
  <c r="T459" i="2"/>
  <c r="U460" i="2" s="1"/>
  <c r="R451" i="2"/>
  <c r="T451" i="2"/>
  <c r="U452" i="2" s="1"/>
  <c r="R443" i="2"/>
  <c r="T443" i="2"/>
  <c r="U444" i="2" s="1"/>
  <c r="R435" i="2"/>
  <c r="T435" i="2"/>
  <c r="U436" i="2" s="1"/>
  <c r="R427" i="2"/>
  <c r="T427" i="2"/>
  <c r="U428" i="2" s="1"/>
  <c r="R419" i="2"/>
  <c r="T419" i="2"/>
  <c r="U420" i="2" s="1"/>
  <c r="R411" i="2"/>
  <c r="T411" i="2"/>
  <c r="U412" i="2" s="1"/>
  <c r="R403" i="2"/>
  <c r="T403" i="2"/>
  <c r="U404" i="2" s="1"/>
  <c r="R395" i="2"/>
  <c r="T395" i="2"/>
  <c r="U396" i="2" s="1"/>
  <c r="R387" i="2"/>
  <c r="T387" i="2"/>
  <c r="U388" i="2" s="1"/>
  <c r="R379" i="2"/>
  <c r="T379" i="2"/>
  <c r="U380" i="2" s="1"/>
  <c r="R371" i="2"/>
  <c r="T371" i="2"/>
  <c r="U372" i="2" s="1"/>
  <c r="R363" i="2"/>
  <c r="T363" i="2"/>
  <c r="U364" i="2" s="1"/>
  <c r="R355" i="2"/>
  <c r="T355" i="2"/>
  <c r="U356" i="2" s="1"/>
  <c r="R347" i="2"/>
  <c r="T347" i="2"/>
  <c r="U348" i="2" s="1"/>
  <c r="R339" i="2"/>
  <c r="T339" i="2"/>
  <c r="U340" i="2" s="1"/>
  <c r="R331" i="2"/>
  <c r="T331" i="2"/>
  <c r="U332" i="2" s="1"/>
  <c r="R323" i="2"/>
  <c r="T323" i="2"/>
  <c r="U324" i="2" s="1"/>
  <c r="R315" i="2"/>
  <c r="T315" i="2"/>
  <c r="U316" i="2" s="1"/>
  <c r="R307" i="2"/>
  <c r="T307" i="2"/>
  <c r="U308" i="2" s="1"/>
  <c r="R299" i="2"/>
  <c r="T299" i="2"/>
  <c r="U300" i="2" s="1"/>
  <c r="R291" i="2"/>
  <c r="T291" i="2"/>
  <c r="U292" i="2" s="1"/>
  <c r="R283" i="2"/>
  <c r="T283" i="2"/>
  <c r="U284" i="2" s="1"/>
  <c r="R275" i="2"/>
  <c r="T275" i="2"/>
  <c r="U276" i="2" s="1"/>
  <c r="R267" i="2"/>
  <c r="T267" i="2"/>
  <c r="U268" i="2" s="1"/>
  <c r="R259" i="2"/>
  <c r="T259" i="2"/>
  <c r="U260" i="2" s="1"/>
  <c r="R251" i="2"/>
  <c r="T251" i="2"/>
  <c r="U252" i="2" s="1"/>
  <c r="R243" i="2"/>
  <c r="T243" i="2"/>
  <c r="U244" i="2" s="1"/>
  <c r="R235" i="2"/>
  <c r="T235" i="2"/>
  <c r="U236" i="2" s="1"/>
  <c r="R227" i="2"/>
  <c r="T227" i="2"/>
  <c r="U228" i="2" s="1"/>
  <c r="R219" i="2"/>
  <c r="T219" i="2"/>
  <c r="U220" i="2" s="1"/>
  <c r="R211" i="2"/>
  <c r="T211" i="2"/>
  <c r="U212" i="2" s="1"/>
  <c r="R203" i="2"/>
  <c r="T203" i="2"/>
  <c r="U204" i="2" s="1"/>
  <c r="R195" i="2"/>
  <c r="T195" i="2"/>
  <c r="U196" i="2" s="1"/>
  <c r="R187" i="2"/>
  <c r="T187" i="2"/>
  <c r="U188" i="2" s="1"/>
  <c r="R179" i="2"/>
  <c r="T179" i="2"/>
  <c r="U180" i="2" s="1"/>
  <c r="R171" i="2"/>
  <c r="T171" i="2"/>
  <c r="U172" i="2" s="1"/>
  <c r="R163" i="2"/>
  <c r="T163" i="2"/>
  <c r="U164" i="2" s="1"/>
  <c r="R155" i="2"/>
  <c r="T155" i="2"/>
  <c r="U156" i="2" s="1"/>
  <c r="R147" i="2"/>
  <c r="T147" i="2"/>
  <c r="U148" i="2" s="1"/>
  <c r="R139" i="2"/>
  <c r="T139" i="2"/>
  <c r="U140" i="2" s="1"/>
  <c r="R131" i="2"/>
  <c r="T131" i="2"/>
  <c r="U132" i="2" s="1"/>
  <c r="R123" i="2"/>
  <c r="T123" i="2"/>
  <c r="U124" i="2" s="1"/>
  <c r="R115" i="2"/>
  <c r="T115" i="2"/>
  <c r="U116" i="2" s="1"/>
  <c r="R107" i="2"/>
  <c r="T107" i="2"/>
  <c r="U108" i="2" s="1"/>
  <c r="R99" i="2"/>
  <c r="T99" i="2"/>
  <c r="U100" i="2" s="1"/>
  <c r="R91" i="2"/>
  <c r="T91" i="2"/>
  <c r="U92" i="2" s="1"/>
  <c r="R83" i="2"/>
  <c r="T83" i="2"/>
  <c r="U84" i="2" s="1"/>
  <c r="R75" i="2"/>
  <c r="T75" i="2"/>
  <c r="U76" i="2" s="1"/>
  <c r="R67" i="2"/>
  <c r="T67" i="2"/>
  <c r="U68" i="2" s="1"/>
  <c r="R59" i="2"/>
  <c r="T59" i="2"/>
  <c r="U60" i="2" s="1"/>
  <c r="R51" i="2"/>
  <c r="T51" i="2"/>
  <c r="U52" i="2" s="1"/>
  <c r="R43" i="2"/>
  <c r="T43" i="2"/>
  <c r="U44" i="2" s="1"/>
  <c r="R35" i="2"/>
  <c r="T35" i="2"/>
  <c r="U36" i="2" s="1"/>
  <c r="R27" i="2"/>
  <c r="T27" i="2"/>
  <c r="U28" i="2" s="1"/>
  <c r="R19" i="2"/>
  <c r="T19" i="2"/>
  <c r="U20" i="2" s="1"/>
  <c r="R11" i="2"/>
  <c r="T11" i="2"/>
  <c r="U12" i="2" s="1"/>
  <c r="R3" i="2"/>
  <c r="T3" i="2"/>
  <c r="U4" i="2" s="1"/>
  <c r="Q760" i="2"/>
  <c r="S122" i="2" s="1"/>
  <c r="S51" i="2" l="1"/>
  <c r="S563" i="2"/>
  <c r="S476" i="2"/>
  <c r="S669" i="2"/>
  <c r="S335" i="2"/>
  <c r="S731" i="2"/>
  <c r="S179" i="2"/>
  <c r="S12" i="2"/>
  <c r="S5" i="2"/>
  <c r="S246" i="2"/>
  <c r="S591" i="2"/>
  <c r="S708" i="2"/>
  <c r="S243" i="2"/>
  <c r="S84" i="2"/>
  <c r="S117" i="2"/>
  <c r="S374" i="2"/>
  <c r="S41" i="2"/>
  <c r="S584" i="2"/>
  <c r="S307" i="2"/>
  <c r="S156" i="2"/>
  <c r="S221" i="2"/>
  <c r="S502" i="2"/>
  <c r="S169" i="2"/>
  <c r="S722" i="2"/>
  <c r="S371" i="2"/>
  <c r="S228" i="2"/>
  <c r="S317" i="2"/>
  <c r="S630" i="2"/>
  <c r="S297" i="2"/>
  <c r="S194" i="2"/>
  <c r="S435" i="2"/>
  <c r="S308" i="2"/>
  <c r="S421" i="2"/>
  <c r="S79" i="2"/>
  <c r="S425" i="2"/>
  <c r="S687" i="2"/>
  <c r="S59" i="2"/>
  <c r="S123" i="2"/>
  <c r="S187" i="2"/>
  <c r="S251" i="2"/>
  <c r="S315" i="2"/>
  <c r="S379" i="2"/>
  <c r="S443" i="2"/>
  <c r="S507" i="2"/>
  <c r="S571" i="2"/>
  <c r="S635" i="2"/>
  <c r="S20" i="2"/>
  <c r="S92" i="2"/>
  <c r="S164" i="2"/>
  <c r="S244" i="2"/>
  <c r="S316" i="2"/>
  <c r="S396" i="2"/>
  <c r="S484" i="2"/>
  <c r="S596" i="2"/>
  <c r="S29" i="2"/>
  <c r="S125" i="2"/>
  <c r="S229" i="2"/>
  <c r="S325" i="2"/>
  <c r="S437" i="2"/>
  <c r="S549" i="2"/>
  <c r="S677" i="2"/>
  <c r="S126" i="2"/>
  <c r="S254" i="2"/>
  <c r="S382" i="2"/>
  <c r="S510" i="2"/>
  <c r="S638" i="2"/>
  <c r="S87" i="2"/>
  <c r="S215" i="2"/>
  <c r="S343" i="2"/>
  <c r="S471" i="2"/>
  <c r="S599" i="2"/>
  <c r="S49" i="2"/>
  <c r="S177" i="2"/>
  <c r="S305" i="2"/>
  <c r="S433" i="2"/>
  <c r="S561" i="2"/>
  <c r="S739" i="2"/>
  <c r="S432" i="2"/>
  <c r="S716" i="2"/>
  <c r="S696" i="2"/>
  <c r="S746" i="2"/>
  <c r="S586" i="2"/>
  <c r="S64" i="2"/>
  <c r="S3" i="2"/>
  <c r="S67" i="2"/>
  <c r="S131" i="2"/>
  <c r="S195" i="2"/>
  <c r="S259" i="2"/>
  <c r="S323" i="2"/>
  <c r="S387" i="2"/>
  <c r="S451" i="2"/>
  <c r="S515" i="2"/>
  <c r="S579" i="2"/>
  <c r="S643" i="2"/>
  <c r="S28" i="2"/>
  <c r="S100" i="2"/>
  <c r="S180" i="2"/>
  <c r="S252" i="2"/>
  <c r="S324" i="2"/>
  <c r="S404" i="2"/>
  <c r="S508" i="2"/>
  <c r="S604" i="2"/>
  <c r="S37" i="2"/>
  <c r="S133" i="2"/>
  <c r="S245" i="2"/>
  <c r="S349" i="2"/>
  <c r="S445" i="2"/>
  <c r="S565" i="2"/>
  <c r="S14" i="2"/>
  <c r="S142" i="2"/>
  <c r="S270" i="2"/>
  <c r="S398" i="2"/>
  <c r="S526" i="2"/>
  <c r="S654" i="2"/>
  <c r="S103" i="2"/>
  <c r="S231" i="2"/>
  <c r="S359" i="2"/>
  <c r="S487" i="2"/>
  <c r="S615" i="2"/>
  <c r="S65" i="2"/>
  <c r="S193" i="2"/>
  <c r="S321" i="2"/>
  <c r="S449" i="2"/>
  <c r="S577" i="2"/>
  <c r="S755" i="2"/>
  <c r="S536" i="2"/>
  <c r="S734" i="2"/>
  <c r="S728" i="2"/>
  <c r="S749" i="2"/>
  <c r="S718" i="2"/>
  <c r="S352" i="2"/>
  <c r="S11" i="2"/>
  <c r="S75" i="2"/>
  <c r="S139" i="2"/>
  <c r="S203" i="2"/>
  <c r="S267" i="2"/>
  <c r="S331" i="2"/>
  <c r="S395" i="2"/>
  <c r="S459" i="2"/>
  <c r="S523" i="2"/>
  <c r="S587" i="2"/>
  <c r="S651" i="2"/>
  <c r="S36" i="2"/>
  <c r="S116" i="2"/>
  <c r="S188" i="2"/>
  <c r="S260" i="2"/>
  <c r="S332" i="2"/>
  <c r="S412" i="2"/>
  <c r="S516" i="2"/>
  <c r="S612" i="2"/>
  <c r="S53" i="2"/>
  <c r="S157" i="2"/>
  <c r="S253" i="2"/>
  <c r="S357" i="2"/>
  <c r="S453" i="2"/>
  <c r="S581" i="2"/>
  <c r="S30" i="2"/>
  <c r="S158" i="2"/>
  <c r="S286" i="2"/>
  <c r="S414" i="2"/>
  <c r="S542" i="2"/>
  <c r="S670" i="2"/>
  <c r="S119" i="2"/>
  <c r="S247" i="2"/>
  <c r="S375" i="2"/>
  <c r="S503" i="2"/>
  <c r="S631" i="2"/>
  <c r="S81" i="2"/>
  <c r="S209" i="2"/>
  <c r="S337" i="2"/>
  <c r="S465" i="2"/>
  <c r="S593" i="2"/>
  <c r="S740" i="2"/>
  <c r="S568" i="2"/>
  <c r="S96" i="2"/>
  <c r="S290" i="2"/>
  <c r="S742" i="2"/>
  <c r="S224" i="2"/>
  <c r="S673" i="2"/>
  <c r="S19" i="2"/>
  <c r="S83" i="2"/>
  <c r="S147" i="2"/>
  <c r="S211" i="2"/>
  <c r="S275" i="2"/>
  <c r="S339" i="2"/>
  <c r="S403" i="2"/>
  <c r="S467" i="2"/>
  <c r="S531" i="2"/>
  <c r="S595" i="2"/>
  <c r="S659" i="2"/>
  <c r="S52" i="2"/>
  <c r="S124" i="2"/>
  <c r="S196" i="2"/>
  <c r="S268" i="2"/>
  <c r="S340" i="2"/>
  <c r="S420" i="2"/>
  <c r="S532" i="2"/>
  <c r="S636" i="2"/>
  <c r="S61" i="2"/>
  <c r="S165" i="2"/>
  <c r="S261" i="2"/>
  <c r="S373" i="2"/>
  <c r="S477" i="2"/>
  <c r="S605" i="2"/>
  <c r="S54" i="2"/>
  <c r="S182" i="2"/>
  <c r="S310" i="2"/>
  <c r="S438" i="2"/>
  <c r="S566" i="2"/>
  <c r="S15" i="2"/>
  <c r="S143" i="2"/>
  <c r="S271" i="2"/>
  <c r="S399" i="2"/>
  <c r="S527" i="2"/>
  <c r="S655" i="2"/>
  <c r="S105" i="2"/>
  <c r="S233" i="2"/>
  <c r="S361" i="2"/>
  <c r="S489" i="2"/>
  <c r="S617" i="2"/>
  <c r="S757" i="2"/>
  <c r="S704" i="2"/>
  <c r="S144" i="2"/>
  <c r="S370" i="2"/>
  <c r="S248" i="2"/>
  <c r="S528" i="2"/>
  <c r="S737" i="2"/>
  <c r="S27" i="2"/>
  <c r="S91" i="2"/>
  <c r="S155" i="2"/>
  <c r="S219" i="2"/>
  <c r="S283" i="2"/>
  <c r="S347" i="2"/>
  <c r="S411" i="2"/>
  <c r="S475" i="2"/>
  <c r="S539" i="2"/>
  <c r="S603" i="2"/>
  <c r="S675" i="2"/>
  <c r="S60" i="2"/>
  <c r="S132" i="2"/>
  <c r="S204" i="2"/>
  <c r="S276" i="2"/>
  <c r="S348" i="2"/>
  <c r="S444" i="2"/>
  <c r="S540" i="2"/>
  <c r="S644" i="2"/>
  <c r="S69" i="2"/>
  <c r="S181" i="2"/>
  <c r="S285" i="2"/>
  <c r="S381" i="2"/>
  <c r="S485" i="2"/>
  <c r="S613" i="2"/>
  <c r="S62" i="2"/>
  <c r="S190" i="2"/>
  <c r="S318" i="2"/>
  <c r="S446" i="2"/>
  <c r="S574" i="2"/>
  <c r="S23" i="2"/>
  <c r="S151" i="2"/>
  <c r="S279" i="2"/>
  <c r="S407" i="2"/>
  <c r="S535" i="2"/>
  <c r="S663" i="2"/>
  <c r="S113" i="2"/>
  <c r="S241" i="2"/>
  <c r="S369" i="2"/>
  <c r="S497" i="2"/>
  <c r="S625" i="2"/>
  <c r="S758" i="2"/>
  <c r="S602" i="2"/>
  <c r="S296" i="2"/>
  <c r="S402" i="2"/>
  <c r="S288" i="2"/>
  <c r="S202" i="2"/>
  <c r="S58" i="2"/>
  <c r="S35" i="2"/>
  <c r="S99" i="2"/>
  <c r="S163" i="2"/>
  <c r="S227" i="2"/>
  <c r="S291" i="2"/>
  <c r="S355" i="2"/>
  <c r="S419" i="2"/>
  <c r="S483" i="2"/>
  <c r="S547" i="2"/>
  <c r="S611" i="2"/>
  <c r="S683" i="2"/>
  <c r="S68" i="2"/>
  <c r="S140" i="2"/>
  <c r="S212" i="2"/>
  <c r="S284" i="2"/>
  <c r="S356" i="2"/>
  <c r="S452" i="2"/>
  <c r="S548" i="2"/>
  <c r="S660" i="2"/>
  <c r="S93" i="2"/>
  <c r="S189" i="2"/>
  <c r="S293" i="2"/>
  <c r="S389" i="2"/>
  <c r="S501" i="2"/>
  <c r="S629" i="2"/>
  <c r="S78" i="2"/>
  <c r="S206" i="2"/>
  <c r="S334" i="2"/>
  <c r="S462" i="2"/>
  <c r="S590" i="2"/>
  <c r="S39" i="2"/>
  <c r="S167" i="2"/>
  <c r="S295" i="2"/>
  <c r="S423" i="2"/>
  <c r="S551" i="2"/>
  <c r="S679" i="2"/>
  <c r="S129" i="2"/>
  <c r="S257" i="2"/>
  <c r="S385" i="2"/>
  <c r="S513" i="2"/>
  <c r="S691" i="2"/>
  <c r="S128" i="2"/>
  <c r="S618" i="2"/>
  <c r="S416" i="2"/>
  <c r="S538" i="2"/>
  <c r="S544" i="2"/>
  <c r="S418" i="2"/>
  <c r="S10" i="2"/>
  <c r="S178" i="2"/>
  <c r="S114" i="2"/>
  <c r="S50" i="2"/>
  <c r="S729" i="2"/>
  <c r="S665" i="2"/>
  <c r="S312" i="2"/>
  <c r="S40" i="2"/>
  <c r="S738" i="2"/>
  <c r="S530" i="2"/>
  <c r="S394" i="2"/>
  <c r="S744" i="2"/>
  <c r="S496" i="2"/>
  <c r="S176" i="2"/>
  <c r="S710" i="2"/>
  <c r="S410" i="2"/>
  <c r="S736" i="2"/>
  <c r="S512" i="2"/>
  <c r="S208" i="2"/>
  <c r="S725" i="2"/>
  <c r="S698" i="2"/>
  <c r="S514" i="2"/>
  <c r="S346" i="2"/>
  <c r="S656" i="2"/>
  <c r="S376" i="2"/>
  <c r="S24" i="2"/>
  <c r="S700" i="2"/>
  <c r="S562" i="2"/>
  <c r="S504" i="2"/>
  <c r="S200" i="2"/>
  <c r="S733" i="2"/>
  <c r="S723" i="2"/>
  <c r="S609" i="2"/>
  <c r="S545" i="2"/>
  <c r="S481" i="2"/>
  <c r="S417" i="2"/>
  <c r="S353" i="2"/>
  <c r="S289" i="2"/>
  <c r="S225" i="2"/>
  <c r="S161" i="2"/>
  <c r="S97" i="2"/>
  <c r="S33" i="2"/>
  <c r="S647" i="2"/>
  <c r="S583" i="2"/>
  <c r="S519" i="2"/>
  <c r="S455" i="2"/>
  <c r="S391" i="2"/>
  <c r="S327" i="2"/>
  <c r="S263" i="2"/>
  <c r="S199" i="2"/>
  <c r="S135" i="2"/>
  <c r="S71" i="2"/>
  <c r="S7" i="2"/>
  <c r="S622" i="2"/>
  <c r="S558" i="2"/>
  <c r="S494" i="2"/>
  <c r="S430" i="2"/>
  <c r="S366" i="2"/>
  <c r="S302" i="2"/>
  <c r="S238" i="2"/>
  <c r="S174" i="2"/>
  <c r="S110" i="2"/>
  <c r="S46" i="2"/>
  <c r="S661" i="2"/>
  <c r="S597" i="2"/>
  <c r="S533" i="2"/>
  <c r="S469" i="2"/>
  <c r="S405" i="2"/>
  <c r="S341" i="2"/>
  <c r="S277" i="2"/>
  <c r="S213" i="2"/>
  <c r="S149" i="2"/>
  <c r="S85" i="2"/>
  <c r="S21" i="2"/>
  <c r="S628" i="2"/>
  <c r="S564" i="2"/>
  <c r="S500" i="2"/>
  <c r="S436" i="2"/>
  <c r="S372" i="2"/>
  <c r="S706" i="2"/>
  <c r="S170" i="2"/>
  <c r="S106" i="2"/>
  <c r="S42" i="2"/>
  <c r="S721" i="2"/>
  <c r="S657" i="2"/>
  <c r="S280" i="2"/>
  <c r="S759" i="2"/>
  <c r="S714" i="2"/>
  <c r="S506" i="2"/>
  <c r="S378" i="2"/>
  <c r="S720" i="2"/>
  <c r="S464" i="2"/>
  <c r="S136" i="2"/>
  <c r="S702" i="2"/>
  <c r="S386" i="2"/>
  <c r="S712" i="2"/>
  <c r="S480" i="2"/>
  <c r="S168" i="2"/>
  <c r="S717" i="2"/>
  <c r="S674" i="2"/>
  <c r="S490" i="2"/>
  <c r="S322" i="2"/>
  <c r="S616" i="2"/>
  <c r="S336" i="2"/>
  <c r="S735" i="2"/>
  <c r="S692" i="2"/>
  <c r="S522" i="2"/>
  <c r="S472" i="2"/>
  <c r="S160" i="2"/>
  <c r="S756" i="2"/>
  <c r="S715" i="2"/>
  <c r="S601" i="2"/>
  <c r="S537" i="2"/>
  <c r="S473" i="2"/>
  <c r="S409" i="2"/>
  <c r="S345" i="2"/>
  <c r="S281" i="2"/>
  <c r="S217" i="2"/>
  <c r="S153" i="2"/>
  <c r="S89" i="2"/>
  <c r="S25" i="2"/>
  <c r="S639" i="2"/>
  <c r="S575" i="2"/>
  <c r="S511" i="2"/>
  <c r="S447" i="2"/>
  <c r="S383" i="2"/>
  <c r="S319" i="2"/>
  <c r="S255" i="2"/>
  <c r="S191" i="2"/>
  <c r="S127" i="2"/>
  <c r="S63" i="2"/>
  <c r="S678" i="2"/>
  <c r="S614" i="2"/>
  <c r="S550" i="2"/>
  <c r="S486" i="2"/>
  <c r="S422" i="2"/>
  <c r="S358" i="2"/>
  <c r="S294" i="2"/>
  <c r="S230" i="2"/>
  <c r="S166" i="2"/>
  <c r="S102" i="2"/>
  <c r="S38" i="2"/>
  <c r="S653" i="2"/>
  <c r="S589" i="2"/>
  <c r="S525" i="2"/>
  <c r="S461" i="2"/>
  <c r="S397" i="2"/>
  <c r="S333" i="2"/>
  <c r="S269" i="2"/>
  <c r="S205" i="2"/>
  <c r="S141" i="2"/>
  <c r="S77" i="2"/>
  <c r="S13" i="2"/>
  <c r="S620" i="2"/>
  <c r="S556" i="2"/>
  <c r="S492" i="2"/>
  <c r="S428" i="2"/>
  <c r="S364" i="2"/>
  <c r="S300" i="2"/>
  <c r="S236" i="2"/>
  <c r="S172" i="2"/>
  <c r="S108" i="2"/>
  <c r="S44" i="2"/>
  <c r="S667" i="2"/>
  <c r="S298" i="2"/>
  <c r="S162" i="2"/>
  <c r="S98" i="2"/>
  <c r="S34" i="2"/>
  <c r="S713" i="2"/>
  <c r="S649" i="2"/>
  <c r="S232" i="2"/>
  <c r="S727" i="2"/>
  <c r="S682" i="2"/>
  <c r="S498" i="2"/>
  <c r="S354" i="2"/>
  <c r="S688" i="2"/>
  <c r="S424" i="2"/>
  <c r="S80" i="2"/>
  <c r="S694" i="2"/>
  <c r="S362" i="2"/>
  <c r="S680" i="2"/>
  <c r="S448" i="2"/>
  <c r="S120" i="2"/>
  <c r="S709" i="2"/>
  <c r="S650" i="2"/>
  <c r="S474" i="2"/>
  <c r="S266" i="2"/>
  <c r="S154" i="2"/>
  <c r="S90" i="2"/>
  <c r="S26" i="2"/>
  <c r="S705" i="2"/>
  <c r="S641" i="2"/>
  <c r="S192" i="2"/>
  <c r="S719" i="2"/>
  <c r="S658" i="2"/>
  <c r="S482" i="2"/>
  <c r="S330" i="2"/>
  <c r="S664" i="2"/>
  <c r="S384" i="2"/>
  <c r="S32" i="2"/>
  <c r="S686" i="2"/>
  <c r="S338" i="2"/>
  <c r="S648" i="2"/>
  <c r="S408" i="2"/>
  <c r="S72" i="2"/>
  <c r="S701" i="2"/>
  <c r="S626" i="2"/>
  <c r="S458" i="2"/>
  <c r="S258" i="2"/>
  <c r="S552" i="2"/>
  <c r="S256" i="2"/>
  <c r="S741" i="2"/>
  <c r="S676" i="2"/>
  <c r="S672" i="2"/>
  <c r="S392" i="2"/>
  <c r="S104" i="2"/>
  <c r="S724" i="2"/>
  <c r="S699" i="2"/>
  <c r="S585" i="2"/>
  <c r="S521" i="2"/>
  <c r="S457" i="2"/>
  <c r="S393" i="2"/>
  <c r="S329" i="2"/>
  <c r="S265" i="2"/>
  <c r="S201" i="2"/>
  <c r="S137" i="2"/>
  <c r="S73" i="2"/>
  <c r="S9" i="2"/>
  <c r="S623" i="2"/>
  <c r="S559" i="2"/>
  <c r="S495" i="2"/>
  <c r="S431" i="2"/>
  <c r="S367" i="2"/>
  <c r="S303" i="2"/>
  <c r="S239" i="2"/>
  <c r="S175" i="2"/>
  <c r="S111" i="2"/>
  <c r="S47" i="2"/>
  <c r="S662" i="2"/>
  <c r="S598" i="2"/>
  <c r="S534" i="2"/>
  <c r="S470" i="2"/>
  <c r="S406" i="2"/>
  <c r="S342" i="2"/>
  <c r="S278" i="2"/>
  <c r="S214" i="2"/>
  <c r="S150" i="2"/>
  <c r="S86" i="2"/>
  <c r="S22" i="2"/>
  <c r="S637" i="2"/>
  <c r="S573" i="2"/>
  <c r="S509" i="2"/>
  <c r="S234" i="2"/>
  <c r="S146" i="2"/>
  <c r="S82" i="2"/>
  <c r="S18" i="2"/>
  <c r="S697" i="2"/>
  <c r="S8" i="2"/>
  <c r="S152" i="2"/>
  <c r="S711" i="2"/>
  <c r="S634" i="2"/>
  <c r="S466" i="2"/>
  <c r="S306" i="2"/>
  <c r="S624" i="2"/>
  <c r="S344" i="2"/>
  <c r="S751" i="2"/>
  <c r="S754" i="2"/>
  <c r="S314" i="2"/>
  <c r="S632" i="2"/>
  <c r="S368" i="2"/>
  <c r="S48" i="2"/>
  <c r="S693" i="2"/>
  <c r="S610" i="2"/>
  <c r="S442" i="2"/>
  <c r="S210" i="2"/>
  <c r="S520" i="2"/>
  <c r="S216" i="2"/>
  <c r="S748" i="2"/>
  <c r="S666" i="2"/>
  <c r="S640" i="2"/>
  <c r="S360" i="2"/>
  <c r="S56" i="2"/>
  <c r="S226" i="2"/>
  <c r="S138" i="2"/>
  <c r="S74" i="2"/>
  <c r="S753" i="2"/>
  <c r="S689" i="2"/>
  <c r="S440" i="2"/>
  <c r="S112" i="2"/>
  <c r="S703" i="2"/>
  <c r="S594" i="2"/>
  <c r="S450" i="2"/>
  <c r="S274" i="2"/>
  <c r="S592" i="2"/>
  <c r="S304" i="2"/>
  <c r="S750" i="2"/>
  <c r="S730" i="2"/>
  <c r="S282" i="2"/>
  <c r="S608" i="2"/>
  <c r="S328" i="2"/>
  <c r="S743" i="2"/>
  <c r="S685" i="2"/>
  <c r="S578" i="2"/>
  <c r="S426" i="2"/>
  <c r="S752" i="2"/>
  <c r="S488" i="2"/>
  <c r="S184" i="2"/>
  <c r="S732" i="2"/>
  <c r="S642" i="2"/>
  <c r="S600" i="2"/>
  <c r="S320" i="2"/>
  <c r="S16" i="2"/>
  <c r="S747" i="2"/>
  <c r="S633" i="2"/>
  <c r="S569" i="2"/>
  <c r="S505" i="2"/>
  <c r="S441" i="2"/>
  <c r="S377" i="2"/>
  <c r="S313" i="2"/>
  <c r="S249" i="2"/>
  <c r="S185" i="2"/>
  <c r="S121" i="2"/>
  <c r="S57" i="2"/>
  <c r="S671" i="2"/>
  <c r="S607" i="2"/>
  <c r="S543" i="2"/>
  <c r="S479" i="2"/>
  <c r="S415" i="2"/>
  <c r="S351" i="2"/>
  <c r="S287" i="2"/>
  <c r="S223" i="2"/>
  <c r="S159" i="2"/>
  <c r="S95" i="2"/>
  <c r="S31" i="2"/>
  <c r="S646" i="2"/>
  <c r="S582" i="2"/>
  <c r="S518" i="2"/>
  <c r="S454" i="2"/>
  <c r="S390" i="2"/>
  <c r="S326" i="2"/>
  <c r="S262" i="2"/>
  <c r="S198" i="2"/>
  <c r="S134" i="2"/>
  <c r="S70" i="2"/>
  <c r="S6" i="2"/>
  <c r="S621" i="2"/>
  <c r="S557" i="2"/>
  <c r="S493" i="2"/>
  <c r="S429" i="2"/>
  <c r="S365" i="2"/>
  <c r="S301" i="2"/>
  <c r="S237" i="2"/>
  <c r="S173" i="2"/>
  <c r="S109" i="2"/>
  <c r="S45" i="2"/>
  <c r="S652" i="2"/>
  <c r="S588" i="2"/>
  <c r="S524" i="2"/>
  <c r="S460" i="2"/>
  <c r="S218" i="2"/>
  <c r="S130" i="2"/>
  <c r="S66" i="2"/>
  <c r="S745" i="2"/>
  <c r="S681" i="2"/>
  <c r="S400" i="2"/>
  <c r="S88" i="2"/>
  <c r="S695" i="2"/>
  <c r="S570" i="2"/>
  <c r="S434" i="2"/>
  <c r="S242" i="2"/>
  <c r="S560" i="2"/>
  <c r="S264" i="2"/>
  <c r="S726" i="2"/>
  <c r="S690" i="2"/>
  <c r="S250" i="2"/>
  <c r="S43" i="2"/>
  <c r="S107" i="2"/>
  <c r="S171" i="2"/>
  <c r="S235" i="2"/>
  <c r="S299" i="2"/>
  <c r="S363" i="2"/>
  <c r="S427" i="2"/>
  <c r="S491" i="2"/>
  <c r="S555" i="2"/>
  <c r="S619" i="2"/>
  <c r="S4" i="2"/>
  <c r="S76" i="2"/>
  <c r="S148" i="2"/>
  <c r="S220" i="2"/>
  <c r="S292" i="2"/>
  <c r="S380" i="2"/>
  <c r="S468" i="2"/>
  <c r="S572" i="2"/>
  <c r="S668" i="2"/>
  <c r="S101" i="2"/>
  <c r="S197" i="2"/>
  <c r="S309" i="2"/>
  <c r="S413" i="2"/>
  <c r="S517" i="2"/>
  <c r="S645" i="2"/>
  <c r="S94" i="2"/>
  <c r="S222" i="2"/>
  <c r="S350" i="2"/>
  <c r="S478" i="2"/>
  <c r="S606" i="2"/>
  <c r="S55" i="2"/>
  <c r="S183" i="2"/>
  <c r="S311" i="2"/>
  <c r="S439" i="2"/>
  <c r="S567" i="2"/>
  <c r="S17" i="2"/>
  <c r="S145" i="2"/>
  <c r="S273" i="2"/>
  <c r="S401" i="2"/>
  <c r="S529" i="2"/>
  <c r="S707" i="2"/>
  <c r="S240" i="2"/>
  <c r="S684" i="2"/>
  <c r="S456" i="2"/>
  <c r="S554" i="2"/>
  <c r="S576" i="2"/>
  <c r="S546" i="2"/>
  <c r="S186" i="2"/>
</calcChain>
</file>

<file path=xl/sharedStrings.xml><?xml version="1.0" encoding="utf-8"?>
<sst xmlns="http://schemas.openxmlformats.org/spreadsheetml/2006/main" count="71" uniqueCount="53">
  <si>
    <t>Date</t>
  </si>
  <si>
    <t>ATW</t>
  </si>
  <si>
    <t>BCP</t>
  </si>
  <si>
    <t>BOA</t>
  </si>
  <si>
    <t>CIH</t>
  </si>
  <si>
    <t>RDS</t>
  </si>
  <si>
    <t>IAM</t>
  </si>
  <si>
    <t>ADI</t>
  </si>
  <si>
    <t>MNG</t>
  </si>
  <si>
    <t>ADH</t>
  </si>
  <si>
    <t>CSR</t>
  </si>
  <si>
    <t>LHM</t>
  </si>
  <si>
    <t>CMA</t>
  </si>
  <si>
    <t>TQM</t>
  </si>
  <si>
    <t>WAA</t>
  </si>
  <si>
    <t>ATL</t>
  </si>
  <si>
    <t xml:space="preserve">Rm </t>
  </si>
  <si>
    <t>|Rm|</t>
  </si>
  <si>
    <t>CSAD</t>
  </si>
  <si>
    <t>CSAD(-1)</t>
  </si>
  <si>
    <t>(Rm − Rm̅)²</t>
  </si>
  <si>
    <t>AWB</t>
  </si>
  <si>
    <t>Rm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</si>
  <si>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</si>
  <si>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</si>
  <si>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</si>
  <si>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</si>
  <si>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</si>
  <si>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</si>
  <si>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</si>
  <si>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</si>
  <si>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</si>
  <si>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</si>
  <si>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</si>
  <si>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</si>
  <si>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Friday</t>
  </si>
  <si>
    <t>Thursday</t>
  </si>
  <si>
    <t>Wednesday</t>
  </si>
  <si>
    <t>Tuesday</t>
  </si>
  <si>
    <t>Monday</t>
  </si>
  <si>
    <t>Rapport BAM</t>
  </si>
  <si>
    <t>Date du Conseil</t>
  </si>
  <si>
    <t>Prévision PIB 2024</t>
  </si>
  <si>
    <t>RPM T1</t>
  </si>
  <si>
    <t>RPM T2</t>
  </si>
  <si>
    <t>RPM T3</t>
  </si>
  <si>
    <t>RPM T4</t>
  </si>
  <si>
    <t>19/03/2024</t>
  </si>
  <si>
    <t>25/06/2024</t>
  </si>
  <si>
    <t>24/09/2024</t>
  </si>
  <si>
    <t>17/12/2024</t>
  </si>
  <si>
    <t>Réalisation PIB 2024</t>
  </si>
  <si>
    <t>Erreur en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</si>
</sst>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/>
      <right/>
      <top/>
      <bottom style="medium">
        <color rgb="FFA8D08D"/>
      </bottom>
      <diagonal/>
    </border>
    <border>
      <left/>
      <right style="medium">
        <color rgb="FFA8D08D"/>
      </right>
      <top/>
      <bottom style="thick">
        <color rgb="FFA8D08D"/>
      </bottom>
      <diagonal/>
    </border>
    <border>
      <left/>
      <right/>
      <top/>
      <bottom style="thick">
        <color rgb="FFA8D08D"/>
      </bottom>
      <diagonal/>
    </border>
    <border>
      <left/>
      <right style="medium">
        <color rgb="FFA8D08D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4" fontId="0" fillId="2" borderId="0" xfId="0" applyNumberFormat="1" applyFill="1" applyAlignment="1">
      <alignment horizontal="left"/>
    </xf>
    <xf numFmtId="14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4" fontId="3" fillId="2" borderId="0" xfId="0" applyNumberFormat="1" applyFont="1" applyFill="1"/>
    <xf numFmtId="14" fontId="3" fillId="3" borderId="0" xfId="0" applyNumberFormat="1" applyFont="1" applyFill="1"/>
    <xf numFmtId="0" fontId="0" fillId="3" borderId="0" xfId="0" applyFill="1" applyAlignment="1">
      <alignment horizontal="right" vertical="center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 applyAlignment="1">
      <alignment horizontal="right" vertical="center"/>
    </xf>
    <xf numFmtId="0" fontId="0" fillId="4" borderId="0" xfId="0" applyFill="1"/>
    <xf numFmtId="14" fontId="1" fillId="4" borderId="1" xfId="0" applyNumberFormat="1" applyFont="1" applyFill="1" applyBorder="1" applyAlignment="1">
      <alignment horizontal="center" vertical="top"/>
    </xf>
    <xf numFmtId="14" fontId="3" fillId="4" borderId="0" xfId="0" applyNumberFormat="1" applyFont="1" applyFill="1"/>
    <xf numFmtId="14" fontId="3" fillId="0" borderId="0" xfId="0" applyNumberFormat="1" applyFont="1"/>
    <xf numFmtId="0" fontId="0" fillId="0" borderId="0" xfId="0" applyAlignment="1">
      <alignment horizontal="right" vertical="center"/>
    </xf>
    <xf numFmtId="0" fontId="5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5" fillId="6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5" fillId="6" borderId="3" xfId="0" applyNumberFormat="1" applyFont="1" applyFill="1" applyBorder="1" applyAlignment="1">
      <alignment horizontal="center" vertical="center" wrapText="1"/>
    </xf>
    <xf numFmtId="10" fontId="5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0.59999389629810485"/>
        </patternFill>
      </fill>
    </dxf>
    <dxf>
      <fill>
        <patternFill>
          <fgColor indexed="64"/>
          <bgColor theme="8" tint="0.59999389629810485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0.59999389629810485"/>
        </patternFill>
      </fill>
    </dxf>
    <dxf>
      <fill>
        <patternFill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indexed="64"/>
          <bgColor theme="5" tint="0.59999389629810485"/>
        </patternFill>
      </fill>
    </dxf>
    <dxf>
      <font>
        <b/>
      </font>
      <numFmt numFmtId="19" formatCode="m/d/yyyy"/>
      <fill>
        <patternFill patternType="solid">
          <fgColor indexed="64"/>
          <bgColor theme="5" tint="0.5999938962981048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m/d/yyyy"/>
      <fill>
        <patternFill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8D08D"/>
        </left>
        <right/>
        <top/>
        <bottom style="medium">
          <color rgb="FFA8D08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8D08D"/>
        </left>
        <right/>
        <top/>
        <bottom style="medium">
          <color rgb="FFA8D08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A8D08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A8D08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5E0B3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8D08D"/>
        </right>
        <top/>
        <bottom style="medium">
          <color rgb="FFA8D08D"/>
        </bottom>
        <vertical/>
        <horizontal/>
      </border>
    </dxf>
    <dxf>
      <border outline="0">
        <left style="medium">
          <color rgb="FFA8D08D"/>
        </left>
        <right style="medium">
          <color rgb="FFA8D08D"/>
        </right>
        <top style="medium">
          <color rgb="FFA8D08D"/>
        </top>
        <bottom style="medium">
          <color rgb="FFA8D08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ck">
          <color rgb="FFA8D08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5E0B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8D08D"/>
        </left>
        <right style="medium">
          <color rgb="FFA8D08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25D2E-5637-48EE-98C4-7F43C5A02694}" name="Tableau1" displayName="Tableau1" ref="A1:P759" totalsRowShown="0" headerRowDxfId="80" headerRowBorderDxfId="79" tableBorderDxfId="78">
  <autoFilter ref="A1:P759" xr:uid="{33E25D2E-5637-48EE-98C4-7F43C5A026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427EB8F4-9A0F-4A1F-AF64-D6F2960E15C7}" name="Date" dataDxfId="77"/>
    <tableColumn id="3" xr3:uid="{166E17F8-E1B5-41CF-AE32-379832F63C34}" name="ATW" dataDxfId="76"/>
    <tableColumn id="4" xr3:uid="{E8D0F5FB-D3EA-4B60-9460-D26CAA6F511A}" name="BCP" dataDxfId="75"/>
    <tableColumn id="5" xr3:uid="{40E3EE7D-D15C-44F4-93FA-4B1C5C1431A6}" name="BOA" dataDxfId="74"/>
    <tableColumn id="6" xr3:uid="{AB1C689D-87AF-40AA-871B-487049F68A99}" name="CIH" dataDxfId="73"/>
    <tableColumn id="28" xr3:uid="{1F60B7FF-8B8F-4275-9F92-A81A52EB46F3}" name="IAM" dataDxfId="72"/>
    <tableColumn id="29" xr3:uid="{8D3FA2F3-69D8-4636-B0F3-2D5022228BE1}" name="CSR" dataDxfId="71"/>
    <tableColumn id="30" xr3:uid="{8B39C7E6-87B4-4606-BB6A-8E40BC1C1DAE}" name="LHM" dataDxfId="70"/>
    <tableColumn id="31" xr3:uid="{E592396D-A13B-4BA9-A018-BFB522186F20}" name="CMA" dataDxfId="69"/>
    <tableColumn id="32" xr3:uid="{D34FD84D-0AC0-4FCF-9CE0-E3E84D112019}" name="TQM" dataDxfId="68"/>
    <tableColumn id="34" xr3:uid="{826B0110-F087-48C7-BB04-B4A6A373ADF9}" name="WAA" dataDxfId="67"/>
    <tableColumn id="35" xr3:uid="{8E5DC9D7-DF9D-40FE-B3D4-93133983BFC7}" name="ATL" dataDxfId="66"/>
    <tableColumn id="36" xr3:uid="{B2360B4F-6DA2-4CDA-839D-68A14C5200F6}" name="ADH" dataDxfId="65"/>
    <tableColumn id="37" xr3:uid="{9B196EBC-79FD-4E25-A531-28A2A41360E5}" name="ADI" dataDxfId="64"/>
    <tableColumn id="38" xr3:uid="{8E51CF8A-78E5-4FF1-90E5-7C32843F684A}" name="RDS" dataDxfId="63"/>
    <tableColumn id="7" xr3:uid="{ACCDC510-D2D6-4AB4-96B1-959CC1A82850}" name="MNG" dataDxfId="6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642C4-3BE8-4DA1-97B0-04F5B2E9BE50}" name="Tableau2" displayName="Tableau2" ref="A1:U760" totalsRowCount="1" headerRowDxfId="61" headerRowBorderDxfId="60" tableBorderDxfId="59">
  <autoFilter ref="A1:U759" xr:uid="{0FC642C4-3BE8-4DA1-97B0-04F5B2E9BE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sortState xmlns:xlrd2="http://schemas.microsoft.com/office/spreadsheetml/2017/richdata2" ref="A2:U759">
    <sortCondition ref="A2:A759"/>
  </sortState>
  <tableColumns count="21">
    <tableColumn id="1" xr3:uid="{A32AFD47-A5AF-4147-8BE7-EDB240B87072}" name="Date" dataDxfId="58" totalsRowDxfId="57"/>
    <tableColumn id="3" xr3:uid="{8DA4A786-4358-4E8E-A34A-3D304ECD1405}" name="AWB" dataDxfId="56" totalsRowDxfId="55"/>
    <tableColumn id="4" xr3:uid="{16C5DCF5-2441-4C6C-9EA6-2F4814C6AC60}" name="BCP" dataDxfId="54" totalsRowDxfId="53"/>
    <tableColumn id="5" xr3:uid="{4C6C1964-78BD-4160-B3F4-E6F6ABF02DC3}" name="BOA" dataDxfId="52" totalsRowDxfId="51"/>
    <tableColumn id="6" xr3:uid="{ED448BCD-4D6B-499F-951D-11A4F17EEAE5}" name="CIH" dataDxfId="50" totalsRowDxfId="49"/>
    <tableColumn id="7" xr3:uid="{110E6791-465D-416B-85B9-E1CE3212B1B3}" name="MNG" dataDxfId="48" totalsRowDxfId="47"/>
    <tableColumn id="8" xr3:uid="{15330ACB-BD07-4C16-8F5F-D6BE41DCEAD2}" name="RDS" dataDxfId="46" totalsRowDxfId="45"/>
    <tableColumn id="9" xr3:uid="{3D5A0C5E-6658-4C91-AB00-98D23A6AF65A}" name="ADI" dataDxfId="44" totalsRowDxfId="43"/>
    <tableColumn id="10" xr3:uid="{A3E9EEB1-EF14-4FB8-B2A7-6D606FF64C99}" name="ADH" dataDxfId="42" totalsRowDxfId="41"/>
    <tableColumn id="11" xr3:uid="{4C847928-F965-4992-9E2E-B7DCDBB76776}" name="ATL" dataDxfId="40" totalsRowDxfId="39"/>
    <tableColumn id="12" xr3:uid="{89D1B996-E2B5-46A5-9DDD-888BCBACFAA9}" name="WAA" dataDxfId="38" totalsRowDxfId="37"/>
    <tableColumn id="13" xr3:uid="{DF5112FC-2711-4BD8-B82D-0794BE0550DB}" name="TQM" dataDxfId="36" totalsRowDxfId="35"/>
    <tableColumn id="14" xr3:uid="{F2BD2CBB-CD3C-4AE6-8173-237F551B62AF}" name="CMA" dataDxfId="34" totalsRowDxfId="33"/>
    <tableColumn id="15" xr3:uid="{9B863728-16E1-4B58-B797-A35CC2DBE751}" name="LHM" dataDxfId="32" totalsRowDxfId="31"/>
    <tableColumn id="16" xr3:uid="{65FB3FD1-DA3A-4451-B058-88F9605AAD0A}" name="CSR" dataDxfId="30" totalsRowDxfId="29"/>
    <tableColumn id="17" xr3:uid="{311CC0E7-DA89-4823-AECA-3D178E2FC6B8}" name="IAM" dataDxfId="28" totalsRowDxfId="27"/>
    <tableColumn id="2" xr3:uid="{3F6D1E9F-B4C1-46F2-A1ED-23BD610C0C61}" name="Rm " totalsRowFunction="custom" dataDxfId="26" totalsRowDxfId="25">
      <calculatedColumnFormula>AVERAGE(Tableau2[[#This Row],[AWB]:[IAM]])</calculatedColumnFormula>
      <totalsRowFormula>AVERAGE(Q3:Q759)</totalsRowFormula>
    </tableColumn>
    <tableColumn id="18" xr3:uid="{2519627F-4EB4-42E6-BEB8-6BF4E6C77AF2}" name="|Rm|" dataDxfId="24" totalsRowDxfId="23">
      <calculatedColumnFormula>ABS(Tableau2[[#This Row],[Rm ]])</calculatedColumnFormula>
    </tableColumn>
    <tableColumn id="22" xr3:uid="{35FB8FBF-2C25-46A8-9DDA-EBEAEFF64D76}" name="(Rm − Rm̅)²" dataDxfId="22" totalsRowDxfId="21">
      <calculatedColumnFormula>(Tableau2[[#This Row],[Rm ]]-Tableau2[[#Totals],[Rm ]])^2</calculatedColumnFormula>
    </tableColumn>
    <tableColumn id="19" xr3:uid="{52CACBD5-BF1E-4D3B-B58D-93D2F9CFFB96}" name="CSAD" dataDxfId="20" totalsRowDxfId="19">
      <calculatedColumnFormula>(ABS(B2-$Q2)+ABS(C2-$Q2)+ABS(D2-$Q2)+ABS(E2-$Q2)+ABS(F2-$Q2)+ABS(G2-$Q2)+ABS(H2-$Q2)+ABS(I2-$Q2)+ABS(J2-$Q2)+ABS(K2-$Q2)+ABS(L2-$Q2)+ABS(M2-$Q2)+ABS(N2-$Q2)+ABS(O2-$Q2)+ABS(P2-$Q2)/15)</calculatedColumnFormula>
    </tableColumn>
    <tableColumn id="20" xr3:uid="{27AA7D78-B696-4E9C-91EA-4FC82192F90A}" name="CSAD(-1)" dataDxfId="18">
      <calculatedColumnFormula>T1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76ED9C-287A-43AD-8772-634FF8210613}" name="Tableau4" displayName="Tableau4" ref="A1:G759" totalsRowShown="0" headerRowDxfId="17">
  <autoFilter ref="A1:G759" xr:uid="{7C0385D5-31C2-4D9D-BEA1-12E819605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72BA55C-B2AA-4BDA-9D9A-8FCC91D322DE}" name="Date" dataDxfId="16"/>
    <tableColumn id="2" xr3:uid="{765EC3AF-4216-43E0-B473-0AB14E7DADF2}" name="Rm" dataDxfId="15"/>
    <tableColumn id="3" xr3:uid="{33604F0E-C74F-4E44-999F-749F3E6374B5}" name="Monday"/>
    <tableColumn id="4" xr3:uid="{3DA234C4-4AF4-45C3-B7C0-04D98365FE80}" name="Tuesday"/>
    <tableColumn id="5" xr3:uid="{D96B6971-6B97-4DDB-BCC4-B04BFD6DBC2B}" name="Wednesday"/>
    <tableColumn id="6" xr3:uid="{B6102167-B19E-42FF-ADD1-7555218FC169}" name="Thursday"/>
    <tableColumn id="7" xr3:uid="{41D90A36-C057-4A7C-A841-AF82C148427A}" name="Friday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635E47-720B-48D1-ADDD-3C4F36E25829}" name="Tableau46" displayName="Tableau46" ref="A1:N759" totalsRowShown="0" headerRowDxfId="14">
  <autoFilter ref="A1:N759" xr:uid="{E3635E47-720B-48D1-ADDD-3C4F36E258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8EFF6F2-11CA-49D1-A0FF-7FBCCA1D3886}" name="Date" dataDxfId="13"/>
    <tableColumn id="2" xr3:uid="{7B8B5B31-76CA-4F38-A6D4-0E89C9D34FEF}" name="Rm" dataDxfId="12"/>
    <tableColumn id="8" xr3:uid="{79858487-055B-4281-B121-27B7FB20F110}" name="Janvier" dataDxfId="11">
      <calculatedColumnFormula>IF(MONTH(A2)=1,1,0)</calculatedColumnFormula>
    </tableColumn>
    <tableColumn id="4" xr3:uid="{E08133C6-46E9-4999-A2C9-8B9B5B6FC58C}" name="Février" dataDxfId="10">
      <calculatedColumnFormula>IF(MONTH(A2)=2,1,0)</calculatedColumnFormula>
    </tableColumn>
    <tableColumn id="5" xr3:uid="{EB8D7230-041D-4739-BA84-F88C302C380E}" name="Mars" dataDxfId="9">
      <calculatedColumnFormula>IF(MONTH(A2)=3,1,0)</calculatedColumnFormula>
    </tableColumn>
    <tableColumn id="6" xr3:uid="{F5ED3CD4-22A1-4B7E-AA46-0681F7E302E0}" name="Avril" dataDxfId="8">
      <calculatedColumnFormula>IF(MONTH(A2)=4,1,0)</calculatedColumnFormula>
    </tableColumn>
    <tableColumn id="7" xr3:uid="{0A5D6062-C1BF-41C7-9567-2CCD8EBB510D}" name="Mai" dataDxfId="7">
      <calculatedColumnFormula>IF(MONTH(A2)=5,1,0)</calculatedColumnFormula>
    </tableColumn>
    <tableColumn id="9" xr3:uid="{10F6924F-A366-4935-B696-7BE247D1C2CE}" name="Juin" dataDxfId="6">
      <calculatedColumnFormula>IF(MONTH(A2)=6,1,0)</calculatedColumnFormula>
    </tableColumn>
    <tableColumn id="10" xr3:uid="{2A3B75FF-33A2-42FF-A9EA-309F2757F16B}" name="Juillet" dataDxfId="5">
      <calculatedColumnFormula>IF(MONTH(A2)=7,1,0)</calculatedColumnFormula>
    </tableColumn>
    <tableColumn id="11" xr3:uid="{817BC917-E7A4-49BC-9CF4-EAB2562AF80A}" name="Août" dataDxfId="4">
      <calculatedColumnFormula>IF(MONTH(A2)=8,1,0)</calculatedColumnFormula>
    </tableColumn>
    <tableColumn id="12" xr3:uid="{590672C2-BECE-4F91-8F72-7EC5F051018A}" name="Septembre" dataDxfId="3">
      <calculatedColumnFormula>IF(MONTH(A2)=9,1,0)</calculatedColumnFormula>
    </tableColumn>
    <tableColumn id="13" xr3:uid="{2351234E-6753-408D-A946-7B181649BEA9}" name="Octobre" dataDxfId="2">
      <calculatedColumnFormula>IF(MONTH(A2)=10,1,0)</calculatedColumnFormula>
    </tableColumn>
    <tableColumn id="14" xr3:uid="{39FDD8BA-C2B8-48DB-97DF-CEA97B88A7D0}" name="Novembre" dataDxfId="1">
      <calculatedColumnFormula>IF(MONTH(A2)=11,1,0)</calculatedColumnFormula>
    </tableColumn>
    <tableColumn id="15" xr3:uid="{1FFC6FA7-99D2-4473-8A02-09A5D45B45E2}" name="Décembre" dataDxfId="0">
      <calculatedColumnFormula>IF(MONTH(A2)=12,1,0)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F0C95A-6B92-4813-8206-42E8171CBF1D}" name="Tableau5" displayName="Tableau5" ref="A1:E5" totalsRowShown="0" headerRowDxfId="89" dataDxfId="87" headerRowBorderDxfId="88" tableBorderDxfId="86">
  <autoFilter ref="A1:E5" xr:uid="{EAF0C95A-6B92-4813-8206-42E8171CBF1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B137623-A438-4732-9EF7-CBB0E46EFEE4}" name="Rapport BAM" dataDxfId="85"/>
    <tableColumn id="2" xr3:uid="{2AA147EB-1528-4871-ABB2-F5E21C7551B7}" name="Date du Conseil" dataDxfId="84"/>
    <tableColumn id="3" xr3:uid="{D9DEC91B-443D-4846-A4C8-D7066C4C3EC7}" name="Prévision PIB 2024" dataDxfId="83"/>
    <tableColumn id="4" xr3:uid="{C3357C7E-3B7A-44AA-92CC-E3B650B41869}" name="Réalisation PIB 2024" dataDxfId="82"/>
    <tableColumn id="5" xr3:uid="{9F1C4EE2-30A8-40D9-8254-06B8134281D1}" name="Erreur en (%)" dataDxfId="81">
      <calculatedColumnFormula>(D2-C2)/C2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MH759"/>
  <sheetViews>
    <sheetView workbookViewId="0">
      <selection activeCell="S1" sqref="S1"/>
    </sheetView>
  </sheetViews>
  <sheetFormatPr baseColWidth="10" defaultColWidth="8.7265625" defaultRowHeight="14.5" x14ac:dyDescent="0.35"/>
  <cols>
    <col min="1" max="1" width="10.6328125" style="1" customWidth="1"/>
    <col min="5" max="7" width="9.08984375" customWidth="1"/>
    <col min="8" max="8" width="9" customWidth="1"/>
    <col min="9" max="9" width="9.1796875" customWidth="1"/>
    <col min="10" max="10" width="8.90625" customWidth="1"/>
  </cols>
  <sheetData>
    <row r="1" spans="1:346" s="7" customFormat="1" x14ac:dyDescent="0.3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9</v>
      </c>
      <c r="N1" s="3" t="s">
        <v>7</v>
      </c>
      <c r="O1" s="3" t="s">
        <v>5</v>
      </c>
      <c r="P1" s="3" t="s">
        <v>8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</row>
    <row r="2" spans="1:346" x14ac:dyDescent="0.35">
      <c r="A2" s="5">
        <v>43839</v>
      </c>
      <c r="B2" s="2">
        <v>498.95</v>
      </c>
      <c r="C2" s="2">
        <v>276.10000000000002</v>
      </c>
      <c r="D2" s="2">
        <v>192.05</v>
      </c>
      <c r="E2" s="2">
        <v>300</v>
      </c>
      <c r="F2" s="2">
        <v>14.6</v>
      </c>
      <c r="G2" s="2">
        <v>224</v>
      </c>
      <c r="H2" s="2">
        <v>1875</v>
      </c>
      <c r="I2" s="2">
        <v>1670</v>
      </c>
      <c r="J2" s="2">
        <v>944</v>
      </c>
      <c r="K2" s="2">
        <v>4088</v>
      </c>
      <c r="L2" s="2">
        <v>73</v>
      </c>
      <c r="M2" s="2">
        <v>9.41</v>
      </c>
      <c r="N2" s="2">
        <v>54</v>
      </c>
      <c r="O2" s="2">
        <v>52.89</v>
      </c>
      <c r="P2" s="2">
        <v>850</v>
      </c>
    </row>
    <row r="3" spans="1:346" x14ac:dyDescent="0.35">
      <c r="A3" s="5">
        <v>43840</v>
      </c>
      <c r="B3" s="2">
        <v>496.5</v>
      </c>
      <c r="C3" s="2">
        <v>276</v>
      </c>
      <c r="D3" s="2">
        <v>189.09</v>
      </c>
      <c r="E3" s="2">
        <v>304</v>
      </c>
      <c r="F3" s="2">
        <v>14.35</v>
      </c>
      <c r="G3" s="2">
        <v>221</v>
      </c>
      <c r="H3" s="2">
        <v>1870</v>
      </c>
      <c r="I3" s="2">
        <v>1670</v>
      </c>
      <c r="J3" s="2">
        <v>944</v>
      </c>
      <c r="K3" s="2">
        <v>3970</v>
      </c>
      <c r="L3" s="2">
        <v>75</v>
      </c>
      <c r="M3" s="2">
        <v>9.23</v>
      </c>
      <c r="N3" s="2">
        <v>54</v>
      </c>
      <c r="O3" s="2">
        <v>52</v>
      </c>
      <c r="P3" s="2">
        <v>850</v>
      </c>
    </row>
    <row r="4" spans="1:346" x14ac:dyDescent="0.35">
      <c r="A4" s="5">
        <v>43844</v>
      </c>
      <c r="B4" s="2">
        <v>496.55</v>
      </c>
      <c r="C4" s="2">
        <v>274</v>
      </c>
      <c r="D4" s="2">
        <v>191.55</v>
      </c>
      <c r="E4" s="2">
        <v>300</v>
      </c>
      <c r="F4" s="2">
        <v>14.6</v>
      </c>
      <c r="G4" s="2">
        <v>221.35</v>
      </c>
      <c r="H4" s="2">
        <v>1870</v>
      </c>
      <c r="I4" s="2">
        <v>1660</v>
      </c>
      <c r="J4" s="2">
        <v>915.5</v>
      </c>
      <c r="K4" s="2">
        <v>4150</v>
      </c>
      <c r="L4" s="2">
        <v>73.010000000000005</v>
      </c>
      <c r="M4" s="2">
        <v>9.18</v>
      </c>
      <c r="N4" s="2">
        <v>52</v>
      </c>
      <c r="O4" s="2">
        <v>50.25</v>
      </c>
      <c r="P4" s="2">
        <v>850</v>
      </c>
    </row>
    <row r="5" spans="1:346" x14ac:dyDescent="0.35">
      <c r="A5" s="5">
        <v>43847</v>
      </c>
      <c r="B5" s="2">
        <v>499</v>
      </c>
      <c r="C5" s="2">
        <v>277</v>
      </c>
      <c r="D5" s="2">
        <v>188.11</v>
      </c>
      <c r="E5" s="2">
        <v>308.75</v>
      </c>
      <c r="F5" s="2">
        <v>14.55</v>
      </c>
      <c r="G5" s="2">
        <v>227</v>
      </c>
      <c r="H5" s="2">
        <v>1900</v>
      </c>
      <c r="I5" s="2">
        <v>1698</v>
      </c>
      <c r="J5" s="2">
        <v>930</v>
      </c>
      <c r="K5" s="2">
        <v>4260</v>
      </c>
      <c r="L5" s="2">
        <v>80</v>
      </c>
      <c r="M5" s="2">
        <v>10</v>
      </c>
      <c r="N5" s="2">
        <v>51.76</v>
      </c>
      <c r="O5" s="2">
        <v>51.55</v>
      </c>
      <c r="P5" s="2">
        <v>831</v>
      </c>
    </row>
    <row r="6" spans="1:346" x14ac:dyDescent="0.35">
      <c r="A6" s="5">
        <v>43852</v>
      </c>
      <c r="B6" s="2">
        <v>507</v>
      </c>
      <c r="C6" s="2">
        <v>276.95</v>
      </c>
      <c r="D6" s="2">
        <v>189.09</v>
      </c>
      <c r="E6" s="2">
        <v>317</v>
      </c>
      <c r="F6" s="2">
        <v>14.4</v>
      </c>
      <c r="G6" s="2">
        <v>229.8</v>
      </c>
      <c r="H6" s="2">
        <v>1951</v>
      </c>
      <c r="I6" s="2">
        <v>1715</v>
      </c>
      <c r="J6" s="2">
        <v>937</v>
      </c>
      <c r="K6" s="2">
        <v>4600</v>
      </c>
      <c r="L6" s="2">
        <v>78.5</v>
      </c>
      <c r="M6" s="2">
        <v>9.8000000000000007</v>
      </c>
      <c r="N6" s="2">
        <v>49.11</v>
      </c>
      <c r="O6" s="2">
        <v>51.27</v>
      </c>
      <c r="P6" s="2">
        <v>835</v>
      </c>
    </row>
    <row r="7" spans="1:346" x14ac:dyDescent="0.35">
      <c r="A7" s="5">
        <v>43853</v>
      </c>
      <c r="B7" s="2">
        <v>505</v>
      </c>
      <c r="C7" s="2">
        <v>276</v>
      </c>
      <c r="D7" s="2">
        <v>189.09</v>
      </c>
      <c r="E7" s="2">
        <v>318</v>
      </c>
      <c r="F7" s="2">
        <v>14.3</v>
      </c>
      <c r="G7" s="2">
        <v>224</v>
      </c>
      <c r="H7" s="2">
        <v>1920</v>
      </c>
      <c r="I7" s="2">
        <v>1723</v>
      </c>
      <c r="J7" s="2">
        <v>937</v>
      </c>
      <c r="K7" s="2">
        <v>4470</v>
      </c>
      <c r="L7" s="2">
        <v>79.95</v>
      </c>
      <c r="M7" s="2">
        <v>9.5</v>
      </c>
      <c r="N7" s="2">
        <v>48.7</v>
      </c>
      <c r="O7" s="2">
        <v>50</v>
      </c>
      <c r="P7" s="2">
        <v>849.5</v>
      </c>
    </row>
    <row r="8" spans="1:346" x14ac:dyDescent="0.35">
      <c r="A8" s="5">
        <v>43858</v>
      </c>
      <c r="B8" s="2">
        <v>503</v>
      </c>
      <c r="C8" s="2">
        <v>274.5</v>
      </c>
      <c r="D8" s="2">
        <v>196.97</v>
      </c>
      <c r="E8" s="2">
        <v>319.8</v>
      </c>
      <c r="F8" s="2">
        <v>14.3</v>
      </c>
      <c r="G8" s="2">
        <v>220.05</v>
      </c>
      <c r="H8" s="2">
        <v>1949</v>
      </c>
      <c r="I8" s="2">
        <v>1680</v>
      </c>
      <c r="J8" s="2">
        <v>971</v>
      </c>
      <c r="K8" s="2">
        <v>4450</v>
      </c>
      <c r="L8" s="2">
        <v>78.400000000000006</v>
      </c>
      <c r="M8" s="2">
        <v>9.15</v>
      </c>
      <c r="N8" s="2">
        <v>47.65</v>
      </c>
      <c r="O8" s="2">
        <v>48.52</v>
      </c>
      <c r="P8" s="2">
        <v>842</v>
      </c>
    </row>
    <row r="9" spans="1:346" x14ac:dyDescent="0.35">
      <c r="A9" s="5">
        <v>43861</v>
      </c>
      <c r="B9" s="2">
        <v>504</v>
      </c>
      <c r="C9" s="2">
        <v>274.39999999999998</v>
      </c>
      <c r="D9" s="2">
        <v>195</v>
      </c>
      <c r="E9" s="2">
        <v>315</v>
      </c>
      <c r="F9" s="2">
        <v>14.2</v>
      </c>
      <c r="G9" s="2">
        <v>221.1</v>
      </c>
      <c r="H9" s="2">
        <v>1925</v>
      </c>
      <c r="I9" s="2">
        <v>1690</v>
      </c>
      <c r="J9" s="2">
        <v>970</v>
      </c>
      <c r="K9" s="2">
        <v>4300</v>
      </c>
      <c r="L9" s="2">
        <v>79</v>
      </c>
      <c r="M9" s="2">
        <v>9.2899999999999991</v>
      </c>
      <c r="N9" s="2">
        <v>47.5</v>
      </c>
      <c r="O9" s="2">
        <v>49.02</v>
      </c>
      <c r="P9" s="2">
        <v>855</v>
      </c>
    </row>
    <row r="10" spans="1:346" x14ac:dyDescent="0.35">
      <c r="A10" s="5">
        <v>43864</v>
      </c>
      <c r="B10" s="2">
        <v>494</v>
      </c>
      <c r="C10" s="2">
        <v>270.3</v>
      </c>
      <c r="D10" s="2">
        <v>195</v>
      </c>
      <c r="E10" s="2">
        <v>315</v>
      </c>
      <c r="F10" s="2">
        <v>13.5</v>
      </c>
      <c r="G10" s="2">
        <v>218</v>
      </c>
      <c r="H10" s="2">
        <v>1914</v>
      </c>
      <c r="I10" s="2">
        <v>1713</v>
      </c>
      <c r="J10" s="2">
        <v>953.3</v>
      </c>
      <c r="K10" s="2">
        <v>4475</v>
      </c>
      <c r="L10" s="2">
        <v>78</v>
      </c>
      <c r="M10" s="2">
        <v>9.31</v>
      </c>
      <c r="N10" s="2">
        <v>49.13</v>
      </c>
      <c r="O10" s="2">
        <v>49.1</v>
      </c>
      <c r="P10" s="2">
        <v>860</v>
      </c>
    </row>
    <row r="11" spans="1:346" x14ac:dyDescent="0.35">
      <c r="A11" s="5">
        <v>43875</v>
      </c>
      <c r="B11" s="2">
        <v>500.1</v>
      </c>
      <c r="C11" s="2">
        <v>274</v>
      </c>
      <c r="D11" s="2">
        <v>194.02</v>
      </c>
      <c r="E11" s="2">
        <v>319</v>
      </c>
      <c r="F11" s="2">
        <v>13.65</v>
      </c>
      <c r="G11" s="2">
        <v>220</v>
      </c>
      <c r="H11" s="2">
        <v>1935</v>
      </c>
      <c r="I11" s="2">
        <v>1726</v>
      </c>
      <c r="J11" s="2">
        <v>964</v>
      </c>
      <c r="K11" s="2">
        <v>4475</v>
      </c>
      <c r="L11" s="2">
        <v>83</v>
      </c>
      <c r="M11" s="2">
        <v>9</v>
      </c>
      <c r="N11" s="2">
        <v>48.5</v>
      </c>
      <c r="O11" s="2">
        <v>46.37</v>
      </c>
      <c r="P11" s="2">
        <v>840</v>
      </c>
    </row>
    <row r="12" spans="1:346" x14ac:dyDescent="0.35">
      <c r="A12" s="5">
        <v>43882</v>
      </c>
      <c r="B12" s="2">
        <v>510</v>
      </c>
      <c r="C12" s="2">
        <v>275</v>
      </c>
      <c r="D12" s="2">
        <v>194.02</v>
      </c>
      <c r="E12" s="2">
        <v>324.5</v>
      </c>
      <c r="F12" s="2">
        <v>13.9</v>
      </c>
      <c r="G12" s="2">
        <v>225</v>
      </c>
      <c r="H12" s="2">
        <v>1947</v>
      </c>
      <c r="I12" s="2">
        <v>1725</v>
      </c>
      <c r="J12" s="2">
        <v>960</v>
      </c>
      <c r="K12" s="2">
        <v>4555</v>
      </c>
      <c r="L12" s="2">
        <v>82.5</v>
      </c>
      <c r="M12" s="2">
        <v>9.02</v>
      </c>
      <c r="N12" s="2">
        <v>47.2</v>
      </c>
      <c r="O12" s="2">
        <v>48</v>
      </c>
      <c r="P12" s="2">
        <v>860</v>
      </c>
    </row>
    <row r="13" spans="1:346" x14ac:dyDescent="0.35">
      <c r="A13" s="5">
        <v>43889</v>
      </c>
      <c r="B13" s="2">
        <v>495</v>
      </c>
      <c r="C13" s="2">
        <v>271</v>
      </c>
      <c r="D13" s="2">
        <v>188.16</v>
      </c>
      <c r="E13" s="2">
        <v>323</v>
      </c>
      <c r="F13" s="2">
        <v>13.35</v>
      </c>
      <c r="G13" s="2">
        <v>220</v>
      </c>
      <c r="H13" s="2">
        <v>1935</v>
      </c>
      <c r="I13" s="2">
        <v>1700</v>
      </c>
      <c r="J13" s="2">
        <v>944</v>
      </c>
      <c r="K13" s="2">
        <v>4310</v>
      </c>
      <c r="L13" s="2">
        <v>82.5</v>
      </c>
      <c r="M13" s="2">
        <v>8.4</v>
      </c>
      <c r="N13" s="2">
        <v>46.35</v>
      </c>
      <c r="O13" s="2">
        <v>41.41</v>
      </c>
      <c r="P13" s="2">
        <v>770</v>
      </c>
    </row>
    <row r="14" spans="1:346" x14ac:dyDescent="0.35">
      <c r="A14" s="5">
        <v>43893</v>
      </c>
      <c r="B14" s="2">
        <v>483.8</v>
      </c>
      <c r="C14" s="2">
        <v>267</v>
      </c>
      <c r="D14" s="2">
        <v>183.28</v>
      </c>
      <c r="E14" s="2">
        <v>310</v>
      </c>
      <c r="F14" s="2">
        <v>13.4</v>
      </c>
      <c r="G14" s="2">
        <v>211.65</v>
      </c>
      <c r="H14" s="2">
        <v>1812</v>
      </c>
      <c r="I14" s="2">
        <v>1700</v>
      </c>
      <c r="J14" s="2">
        <v>931</v>
      </c>
      <c r="K14" s="2">
        <v>4302</v>
      </c>
      <c r="L14" s="2">
        <v>77</v>
      </c>
      <c r="M14" s="2">
        <v>8.34</v>
      </c>
      <c r="N14" s="2">
        <v>42.5</v>
      </c>
      <c r="O14" s="2">
        <v>38.549999999999997</v>
      </c>
      <c r="P14" s="2">
        <v>730</v>
      </c>
    </row>
    <row r="15" spans="1:346" x14ac:dyDescent="0.35">
      <c r="A15" s="5">
        <v>43895</v>
      </c>
      <c r="B15" s="2">
        <v>476</v>
      </c>
      <c r="C15" s="2">
        <v>269.89999999999998</v>
      </c>
      <c r="D15" s="2">
        <v>182.2</v>
      </c>
      <c r="E15" s="2">
        <v>306</v>
      </c>
      <c r="F15" s="2">
        <v>13.25</v>
      </c>
      <c r="G15" s="2">
        <v>205.5</v>
      </c>
      <c r="H15" s="2">
        <v>1796</v>
      </c>
      <c r="I15" s="2">
        <v>1650</v>
      </c>
      <c r="J15" s="2">
        <v>900</v>
      </c>
      <c r="K15" s="2">
        <v>4300</v>
      </c>
      <c r="L15" s="2">
        <v>77</v>
      </c>
      <c r="M15" s="2">
        <v>8.16</v>
      </c>
      <c r="N15" s="2">
        <v>43.65</v>
      </c>
      <c r="O15" s="2">
        <v>39.130000000000003</v>
      </c>
      <c r="P15" s="2">
        <v>710</v>
      </c>
    </row>
    <row r="16" spans="1:346" x14ac:dyDescent="0.35">
      <c r="A16" s="5">
        <v>43896</v>
      </c>
      <c r="B16" s="2">
        <v>458</v>
      </c>
      <c r="C16" s="2">
        <v>264</v>
      </c>
      <c r="D16" s="2">
        <v>177.37</v>
      </c>
      <c r="E16" s="2">
        <v>300</v>
      </c>
      <c r="F16" s="2">
        <v>12.95</v>
      </c>
      <c r="G16" s="2">
        <v>195</v>
      </c>
      <c r="H16" s="2">
        <v>1710</v>
      </c>
      <c r="I16" s="2">
        <v>1599</v>
      </c>
      <c r="J16" s="2">
        <v>900</v>
      </c>
      <c r="K16" s="2">
        <v>4120</v>
      </c>
      <c r="L16" s="2">
        <v>69.5</v>
      </c>
      <c r="M16" s="2">
        <v>8.1</v>
      </c>
      <c r="N16" s="2">
        <v>43</v>
      </c>
      <c r="O16" s="2">
        <v>40</v>
      </c>
      <c r="P16" s="2">
        <v>700</v>
      </c>
    </row>
    <row r="17" spans="1:16" x14ac:dyDescent="0.35">
      <c r="A17" s="5">
        <v>43899</v>
      </c>
      <c r="B17" s="2">
        <v>430.2</v>
      </c>
      <c r="C17" s="2">
        <v>242</v>
      </c>
      <c r="D17" s="2">
        <v>164.47</v>
      </c>
      <c r="E17" s="2">
        <v>275</v>
      </c>
      <c r="F17" s="2">
        <v>12.7</v>
      </c>
      <c r="G17" s="2">
        <v>188.05</v>
      </c>
      <c r="H17" s="2">
        <v>1607</v>
      </c>
      <c r="I17" s="2">
        <v>1500</v>
      </c>
      <c r="J17" s="2">
        <v>873</v>
      </c>
      <c r="K17" s="2">
        <v>3800</v>
      </c>
      <c r="L17" s="2">
        <v>68</v>
      </c>
      <c r="M17" s="2">
        <v>7.51</v>
      </c>
      <c r="N17" s="2">
        <v>38.71</v>
      </c>
      <c r="O17" s="2">
        <v>36.04</v>
      </c>
      <c r="P17" s="2">
        <v>631</v>
      </c>
    </row>
    <row r="18" spans="1:16" x14ac:dyDescent="0.35">
      <c r="A18" s="5">
        <v>43902</v>
      </c>
      <c r="B18" s="2">
        <v>420</v>
      </c>
      <c r="C18" s="2">
        <v>240</v>
      </c>
      <c r="D18" s="2">
        <v>160.53</v>
      </c>
      <c r="E18" s="2">
        <v>277</v>
      </c>
      <c r="F18" s="2">
        <v>12.75</v>
      </c>
      <c r="G18" s="2">
        <v>182</v>
      </c>
      <c r="H18" s="2">
        <v>1534</v>
      </c>
      <c r="I18" s="2">
        <v>1480</v>
      </c>
      <c r="J18" s="2">
        <v>830</v>
      </c>
      <c r="K18" s="2">
        <v>3730</v>
      </c>
      <c r="L18" s="2">
        <v>66</v>
      </c>
      <c r="M18" s="2">
        <v>7.7</v>
      </c>
      <c r="N18" s="2">
        <v>39.450000000000003</v>
      </c>
      <c r="O18" s="2">
        <v>36.99</v>
      </c>
      <c r="P18" s="2">
        <v>645</v>
      </c>
    </row>
    <row r="19" spans="1:16" x14ac:dyDescent="0.35">
      <c r="A19" s="5">
        <v>43903</v>
      </c>
      <c r="B19" s="2">
        <v>425</v>
      </c>
      <c r="C19" s="2">
        <v>240</v>
      </c>
      <c r="D19" s="2">
        <v>159.55000000000001</v>
      </c>
      <c r="E19" s="2">
        <v>273.05</v>
      </c>
      <c r="F19" s="2">
        <v>12.65</v>
      </c>
      <c r="G19" s="2">
        <v>180</v>
      </c>
      <c r="H19" s="2">
        <v>1500</v>
      </c>
      <c r="I19" s="2">
        <v>1490</v>
      </c>
      <c r="J19" s="2">
        <v>810</v>
      </c>
      <c r="K19" s="2">
        <v>3451</v>
      </c>
      <c r="L19" s="2">
        <v>69</v>
      </c>
      <c r="M19" s="2">
        <v>7.8</v>
      </c>
      <c r="N19" s="2">
        <v>38</v>
      </c>
      <c r="O19" s="2">
        <v>34.85</v>
      </c>
      <c r="P19" s="2">
        <v>648</v>
      </c>
    </row>
    <row r="20" spans="1:16" x14ac:dyDescent="0.35">
      <c r="A20" s="5">
        <v>43906</v>
      </c>
      <c r="B20" s="2">
        <v>382.55</v>
      </c>
      <c r="C20" s="2">
        <v>216.05</v>
      </c>
      <c r="D20" s="2">
        <v>143.74</v>
      </c>
      <c r="E20" s="2">
        <v>245.85</v>
      </c>
      <c r="F20" s="2">
        <v>12</v>
      </c>
      <c r="G20" s="2">
        <v>162.05000000000001</v>
      </c>
      <c r="H20" s="2">
        <v>1352</v>
      </c>
      <c r="I20" s="2">
        <v>1342</v>
      </c>
      <c r="J20" s="2">
        <v>740</v>
      </c>
      <c r="K20" s="2">
        <v>3106</v>
      </c>
      <c r="L20" s="2">
        <v>62.11</v>
      </c>
      <c r="M20" s="2">
        <v>7.03</v>
      </c>
      <c r="N20" s="2">
        <v>34.21</v>
      </c>
      <c r="O20" s="2">
        <v>31.4</v>
      </c>
      <c r="P20" s="2">
        <v>584</v>
      </c>
    </row>
    <row r="21" spans="1:16" x14ac:dyDescent="0.35">
      <c r="A21" s="5">
        <v>43908</v>
      </c>
      <c r="B21" s="2">
        <v>352.6</v>
      </c>
      <c r="C21" s="2">
        <v>199.2</v>
      </c>
      <c r="D21" s="2">
        <v>137.97999999999999</v>
      </c>
      <c r="E21" s="2">
        <v>227.7</v>
      </c>
      <c r="F21" s="2">
        <v>11.4</v>
      </c>
      <c r="G21" s="2">
        <v>151.6</v>
      </c>
      <c r="H21" s="2">
        <v>1247</v>
      </c>
      <c r="I21" s="2">
        <v>1238</v>
      </c>
      <c r="J21" s="2">
        <v>705.1</v>
      </c>
      <c r="K21" s="2">
        <v>3106</v>
      </c>
      <c r="L21" s="2">
        <v>57.32</v>
      </c>
      <c r="M21" s="2">
        <v>6.49</v>
      </c>
      <c r="N21" s="2">
        <v>31.54</v>
      </c>
      <c r="O21" s="2">
        <v>28.95</v>
      </c>
      <c r="P21" s="2">
        <v>557</v>
      </c>
    </row>
    <row r="22" spans="1:16" x14ac:dyDescent="0.35">
      <c r="A22" s="5">
        <v>43909</v>
      </c>
      <c r="B22" s="2">
        <v>366.7</v>
      </c>
      <c r="C22" s="2">
        <v>207.15</v>
      </c>
      <c r="D22" s="2">
        <v>143.49</v>
      </c>
      <c r="E22" s="2">
        <v>236.8</v>
      </c>
      <c r="F22" s="2">
        <v>11.4</v>
      </c>
      <c r="G22" s="2">
        <v>157.65</v>
      </c>
      <c r="H22" s="2">
        <v>1296</v>
      </c>
      <c r="I22" s="2">
        <v>1287</v>
      </c>
      <c r="J22" s="2">
        <v>733.3</v>
      </c>
      <c r="K22" s="2">
        <v>3230</v>
      </c>
      <c r="L22" s="2">
        <v>58</v>
      </c>
      <c r="M22" s="2">
        <v>6.74</v>
      </c>
      <c r="N22" s="2">
        <v>32.799999999999997</v>
      </c>
      <c r="O22" s="2">
        <v>29.97</v>
      </c>
      <c r="P22" s="2">
        <v>575</v>
      </c>
    </row>
    <row r="23" spans="1:16" x14ac:dyDescent="0.35">
      <c r="A23" s="5">
        <v>43913</v>
      </c>
      <c r="B23" s="2">
        <v>396.6</v>
      </c>
      <c r="C23" s="2">
        <v>224</v>
      </c>
      <c r="D23" s="2">
        <v>155.11000000000001</v>
      </c>
      <c r="E23" s="2">
        <v>246.25</v>
      </c>
      <c r="F23" s="2">
        <v>11.9</v>
      </c>
      <c r="G23" s="2">
        <v>170.5</v>
      </c>
      <c r="H23" s="2">
        <v>1400</v>
      </c>
      <c r="I23" s="2">
        <v>1391</v>
      </c>
      <c r="J23" s="2">
        <v>793.1</v>
      </c>
      <c r="K23" s="2">
        <v>3493</v>
      </c>
      <c r="L23" s="2">
        <v>62.71</v>
      </c>
      <c r="M23" s="2">
        <v>7.27</v>
      </c>
      <c r="N23" s="2">
        <v>35.47</v>
      </c>
      <c r="O23" s="2">
        <v>32.4</v>
      </c>
      <c r="P23" s="2">
        <v>584</v>
      </c>
    </row>
    <row r="24" spans="1:16" x14ac:dyDescent="0.35">
      <c r="A24" s="5">
        <v>43914</v>
      </c>
      <c r="B24" s="2">
        <v>399</v>
      </c>
      <c r="C24" s="2">
        <v>226</v>
      </c>
      <c r="D24" s="2">
        <v>161.27000000000001</v>
      </c>
      <c r="E24" s="2">
        <v>256.05</v>
      </c>
      <c r="F24" s="2">
        <v>12.3</v>
      </c>
      <c r="G24" s="2">
        <v>177.3</v>
      </c>
      <c r="H24" s="2">
        <v>1430</v>
      </c>
      <c r="I24" s="2">
        <v>1401</v>
      </c>
      <c r="J24" s="2">
        <v>823</v>
      </c>
      <c r="K24" s="2">
        <v>3562</v>
      </c>
      <c r="L24" s="2">
        <v>63.5</v>
      </c>
      <c r="M24" s="2">
        <v>7.3</v>
      </c>
      <c r="N24" s="2">
        <v>36.880000000000003</v>
      </c>
      <c r="O24" s="2">
        <v>33.69</v>
      </c>
      <c r="P24" s="2">
        <v>560.70000000000005</v>
      </c>
    </row>
    <row r="25" spans="1:16" x14ac:dyDescent="0.35">
      <c r="A25" s="5">
        <v>43915</v>
      </c>
      <c r="B25" s="2">
        <v>387.95</v>
      </c>
      <c r="C25" s="2">
        <v>217</v>
      </c>
      <c r="D25" s="2">
        <v>154.91999999999999</v>
      </c>
      <c r="E25" s="2">
        <v>256.05</v>
      </c>
      <c r="F25" s="2">
        <v>12.2</v>
      </c>
      <c r="G25" s="2">
        <v>173.15</v>
      </c>
      <c r="H25" s="2">
        <v>1377</v>
      </c>
      <c r="I25" s="2">
        <v>1355</v>
      </c>
      <c r="J25" s="2">
        <v>790.5</v>
      </c>
      <c r="K25" s="2">
        <v>3498</v>
      </c>
      <c r="L25" s="2">
        <v>62.71</v>
      </c>
      <c r="M25" s="2">
        <v>7.01</v>
      </c>
      <c r="N25" s="2">
        <v>35.53</v>
      </c>
      <c r="O25" s="2">
        <v>33</v>
      </c>
      <c r="P25" s="2">
        <v>538.6</v>
      </c>
    </row>
    <row r="26" spans="1:16" x14ac:dyDescent="0.35">
      <c r="A26" s="5">
        <v>43916</v>
      </c>
      <c r="B26" s="2">
        <v>378</v>
      </c>
      <c r="C26" s="2">
        <v>216.8</v>
      </c>
      <c r="D26" s="2">
        <v>157.97</v>
      </c>
      <c r="E26" s="2">
        <v>266</v>
      </c>
      <c r="F26" s="2">
        <v>12</v>
      </c>
      <c r="G26" s="2">
        <v>174</v>
      </c>
      <c r="H26" s="2">
        <v>1375</v>
      </c>
      <c r="I26" s="2">
        <v>1335</v>
      </c>
      <c r="J26" s="2">
        <v>795</v>
      </c>
      <c r="K26" s="2">
        <v>3449</v>
      </c>
      <c r="L26" s="2">
        <v>60.22</v>
      </c>
      <c r="M26" s="2">
        <v>6.77</v>
      </c>
      <c r="N26" s="2">
        <v>34.5</v>
      </c>
      <c r="O26" s="2">
        <v>32.450000000000003</v>
      </c>
      <c r="P26" s="2">
        <v>530</v>
      </c>
    </row>
    <row r="27" spans="1:16" x14ac:dyDescent="0.35">
      <c r="A27" s="5">
        <v>43917</v>
      </c>
      <c r="B27" s="2">
        <v>371.9</v>
      </c>
      <c r="C27" s="2">
        <v>217</v>
      </c>
      <c r="D27" s="2">
        <v>151.77000000000001</v>
      </c>
      <c r="E27" s="2">
        <v>255.4</v>
      </c>
      <c r="F27" s="2">
        <v>11.75</v>
      </c>
      <c r="G27" s="2">
        <v>178</v>
      </c>
      <c r="H27" s="2">
        <v>1350</v>
      </c>
      <c r="I27" s="2">
        <v>1310</v>
      </c>
      <c r="J27" s="2">
        <v>795</v>
      </c>
      <c r="K27" s="2">
        <v>3315</v>
      </c>
      <c r="L27" s="2">
        <v>62.5</v>
      </c>
      <c r="M27" s="2">
        <v>6.7</v>
      </c>
      <c r="N27" s="2">
        <v>35.79</v>
      </c>
      <c r="O27" s="2">
        <v>31.16</v>
      </c>
      <c r="P27" s="2">
        <v>508.9</v>
      </c>
    </row>
    <row r="28" spans="1:16" x14ac:dyDescent="0.35">
      <c r="A28" s="5">
        <v>43923</v>
      </c>
      <c r="B28" s="2">
        <v>362</v>
      </c>
      <c r="C28" s="2">
        <v>215</v>
      </c>
      <c r="D28" s="2">
        <v>147.72999999999999</v>
      </c>
      <c r="E28" s="2">
        <v>243.5</v>
      </c>
      <c r="F28" s="2">
        <v>11</v>
      </c>
      <c r="G28" s="2">
        <v>177</v>
      </c>
      <c r="H28" s="2">
        <v>1300</v>
      </c>
      <c r="I28" s="2">
        <v>1279</v>
      </c>
      <c r="J28" s="2">
        <v>786</v>
      </c>
      <c r="K28" s="2">
        <v>3350</v>
      </c>
      <c r="L28" s="2">
        <v>61</v>
      </c>
      <c r="M28" s="2">
        <v>6.46</v>
      </c>
      <c r="N28" s="2">
        <v>30.8</v>
      </c>
      <c r="O28" s="2">
        <v>29.95</v>
      </c>
      <c r="P28" s="2">
        <v>433</v>
      </c>
    </row>
    <row r="29" spans="1:16" x14ac:dyDescent="0.35">
      <c r="A29" s="5">
        <v>43924</v>
      </c>
      <c r="B29" s="2">
        <v>354</v>
      </c>
      <c r="C29" s="2">
        <v>210</v>
      </c>
      <c r="D29" s="2">
        <v>141.87</v>
      </c>
      <c r="E29" s="2">
        <v>233.8</v>
      </c>
      <c r="F29" s="2">
        <v>11.2</v>
      </c>
      <c r="G29" s="2">
        <v>175</v>
      </c>
      <c r="H29" s="2">
        <v>1255</v>
      </c>
      <c r="I29" s="2">
        <v>1240</v>
      </c>
      <c r="J29" s="2">
        <v>800</v>
      </c>
      <c r="K29" s="2">
        <v>3350</v>
      </c>
      <c r="L29" s="2">
        <v>58.6</v>
      </c>
      <c r="M29" s="2">
        <v>6.55</v>
      </c>
      <c r="N29" s="2">
        <v>29.57</v>
      </c>
      <c r="O29" s="2">
        <v>30</v>
      </c>
      <c r="P29" s="2">
        <v>440</v>
      </c>
    </row>
    <row r="30" spans="1:16" x14ac:dyDescent="0.35">
      <c r="A30" s="5">
        <v>43927</v>
      </c>
      <c r="B30" s="2">
        <v>339.85</v>
      </c>
      <c r="C30" s="2">
        <v>208</v>
      </c>
      <c r="D30" s="2">
        <v>141.82</v>
      </c>
      <c r="E30" s="2">
        <v>233.8</v>
      </c>
      <c r="F30" s="2">
        <v>11</v>
      </c>
      <c r="G30" s="2">
        <v>175.05</v>
      </c>
      <c r="H30" s="2">
        <v>1220</v>
      </c>
      <c r="I30" s="2">
        <v>1196</v>
      </c>
      <c r="J30" s="2">
        <v>789</v>
      </c>
      <c r="K30" s="2">
        <v>3350</v>
      </c>
      <c r="L30" s="2">
        <v>58.5</v>
      </c>
      <c r="M30" s="2">
        <v>6.39</v>
      </c>
      <c r="N30" s="2">
        <v>28.39</v>
      </c>
      <c r="O30" s="2">
        <v>28.81</v>
      </c>
      <c r="P30" s="2">
        <v>430</v>
      </c>
    </row>
    <row r="31" spans="1:16" x14ac:dyDescent="0.35">
      <c r="A31" s="5">
        <v>43928</v>
      </c>
      <c r="B31" s="2">
        <v>326.3</v>
      </c>
      <c r="C31" s="2">
        <v>199.7</v>
      </c>
      <c r="D31" s="2">
        <v>136.16</v>
      </c>
      <c r="E31" s="2">
        <v>227</v>
      </c>
      <c r="F31" s="2">
        <v>11</v>
      </c>
      <c r="G31" s="2">
        <v>172</v>
      </c>
      <c r="H31" s="2">
        <v>1174</v>
      </c>
      <c r="I31" s="2">
        <v>1240</v>
      </c>
      <c r="J31" s="2">
        <v>790</v>
      </c>
      <c r="K31" s="2">
        <v>3300</v>
      </c>
      <c r="L31" s="2">
        <v>59</v>
      </c>
      <c r="M31" s="2">
        <v>6.44</v>
      </c>
      <c r="N31" s="2">
        <v>29.48</v>
      </c>
      <c r="O31" s="2">
        <v>28</v>
      </c>
      <c r="P31" s="2">
        <v>412.9</v>
      </c>
    </row>
    <row r="32" spans="1:16" x14ac:dyDescent="0.35">
      <c r="A32" s="5">
        <v>43929</v>
      </c>
      <c r="B32" s="2">
        <v>339</v>
      </c>
      <c r="C32" s="2">
        <v>201</v>
      </c>
      <c r="D32" s="2">
        <v>137.88</v>
      </c>
      <c r="E32" s="2">
        <v>227</v>
      </c>
      <c r="F32" s="2">
        <v>11.4</v>
      </c>
      <c r="G32" s="2">
        <v>174.9</v>
      </c>
      <c r="H32" s="2">
        <v>1151</v>
      </c>
      <c r="I32" s="2">
        <v>1192</v>
      </c>
      <c r="J32" s="2">
        <v>801</v>
      </c>
      <c r="K32" s="2">
        <v>3350</v>
      </c>
      <c r="L32" s="2">
        <v>60.99</v>
      </c>
      <c r="M32" s="2">
        <v>6.51</v>
      </c>
      <c r="N32" s="2">
        <v>29.8</v>
      </c>
      <c r="O32" s="2">
        <v>28.8</v>
      </c>
      <c r="P32" s="2">
        <v>396.4</v>
      </c>
    </row>
    <row r="33" spans="1:16" x14ac:dyDescent="0.35">
      <c r="A33" s="5">
        <v>43930</v>
      </c>
      <c r="B33" s="2">
        <v>343</v>
      </c>
      <c r="C33" s="2">
        <v>199</v>
      </c>
      <c r="D33" s="2">
        <v>137.88</v>
      </c>
      <c r="E33" s="2">
        <v>227</v>
      </c>
      <c r="F33" s="2">
        <v>11.4</v>
      </c>
      <c r="G33" s="2">
        <v>173</v>
      </c>
      <c r="H33" s="2">
        <v>1189</v>
      </c>
      <c r="I33" s="2">
        <v>1192</v>
      </c>
      <c r="J33" s="2">
        <v>815</v>
      </c>
      <c r="K33" s="2">
        <v>3350</v>
      </c>
      <c r="L33" s="2">
        <v>61.3</v>
      </c>
      <c r="M33" s="2">
        <v>6.62</v>
      </c>
      <c r="N33" s="2">
        <v>29</v>
      </c>
      <c r="O33" s="2">
        <v>28</v>
      </c>
      <c r="P33" s="2">
        <v>400</v>
      </c>
    </row>
    <row r="34" spans="1:16" x14ac:dyDescent="0.35">
      <c r="A34" s="5">
        <v>43935</v>
      </c>
      <c r="B34" s="2">
        <v>341</v>
      </c>
      <c r="C34" s="2">
        <v>207</v>
      </c>
      <c r="D34" s="2">
        <v>137.88</v>
      </c>
      <c r="E34" s="2">
        <v>230</v>
      </c>
      <c r="F34" s="2">
        <v>11.4</v>
      </c>
      <c r="G34" s="2">
        <v>175</v>
      </c>
      <c r="H34" s="2">
        <v>1205</v>
      </c>
      <c r="I34" s="2">
        <v>1200</v>
      </c>
      <c r="J34" s="2">
        <v>830</v>
      </c>
      <c r="K34" s="2">
        <v>3350</v>
      </c>
      <c r="L34" s="2">
        <v>57.5</v>
      </c>
      <c r="M34" s="2">
        <v>6.61</v>
      </c>
      <c r="N34" s="2">
        <v>28.69</v>
      </c>
      <c r="O34" s="2">
        <v>28</v>
      </c>
      <c r="P34" s="2">
        <v>415</v>
      </c>
    </row>
    <row r="35" spans="1:16" x14ac:dyDescent="0.35">
      <c r="A35" s="5">
        <v>43938</v>
      </c>
      <c r="B35" s="2">
        <v>331.25</v>
      </c>
      <c r="C35" s="2">
        <v>198.95</v>
      </c>
      <c r="D35" s="2">
        <v>132.94999999999999</v>
      </c>
      <c r="E35" s="2">
        <v>229</v>
      </c>
      <c r="F35" s="2">
        <v>11.3</v>
      </c>
      <c r="G35" s="2">
        <v>171</v>
      </c>
      <c r="H35" s="2">
        <v>1170</v>
      </c>
      <c r="I35" s="2">
        <v>1200</v>
      </c>
      <c r="J35" s="2">
        <v>840</v>
      </c>
      <c r="K35" s="2">
        <v>3389</v>
      </c>
      <c r="L35" s="2">
        <v>56.33</v>
      </c>
      <c r="M35" s="2">
        <v>6.64</v>
      </c>
      <c r="N35" s="2">
        <v>28.3</v>
      </c>
      <c r="O35" s="2">
        <v>27.7</v>
      </c>
      <c r="P35" s="2">
        <v>417.65</v>
      </c>
    </row>
    <row r="36" spans="1:16" x14ac:dyDescent="0.35">
      <c r="A36" s="5">
        <v>43945</v>
      </c>
      <c r="B36" s="2">
        <v>330</v>
      </c>
      <c r="C36" s="2">
        <v>196</v>
      </c>
      <c r="D36" s="2">
        <v>126.95</v>
      </c>
      <c r="E36" s="2">
        <v>225.5</v>
      </c>
      <c r="F36" s="2">
        <v>11.9</v>
      </c>
      <c r="G36" s="2">
        <v>171</v>
      </c>
      <c r="H36" s="2">
        <v>1145</v>
      </c>
      <c r="I36" s="2">
        <v>1200</v>
      </c>
      <c r="J36" s="2">
        <v>842</v>
      </c>
      <c r="K36" s="2">
        <v>3350</v>
      </c>
      <c r="L36" s="2">
        <v>58.99</v>
      </c>
      <c r="M36" s="2">
        <v>5.78</v>
      </c>
      <c r="N36" s="2">
        <v>26.27</v>
      </c>
      <c r="O36" s="2">
        <v>24.85</v>
      </c>
      <c r="P36" s="2">
        <v>434</v>
      </c>
    </row>
    <row r="37" spans="1:16" x14ac:dyDescent="0.35">
      <c r="A37" s="5">
        <v>43948</v>
      </c>
      <c r="B37" s="2">
        <v>335.05</v>
      </c>
      <c r="C37" s="2">
        <v>198</v>
      </c>
      <c r="D37" s="2">
        <v>123.11</v>
      </c>
      <c r="E37" s="2">
        <v>227</v>
      </c>
      <c r="F37" s="2">
        <v>11.7</v>
      </c>
      <c r="G37" s="2">
        <v>171.05</v>
      </c>
      <c r="H37" s="2">
        <v>1145</v>
      </c>
      <c r="I37" s="2">
        <v>1210</v>
      </c>
      <c r="J37" s="2">
        <v>850</v>
      </c>
      <c r="K37" s="2">
        <v>3350</v>
      </c>
      <c r="L37" s="2">
        <v>60.16</v>
      </c>
      <c r="M37" s="2">
        <v>5.7</v>
      </c>
      <c r="N37" s="2">
        <v>27</v>
      </c>
      <c r="O37" s="2">
        <v>24.85</v>
      </c>
      <c r="P37" s="2">
        <v>440</v>
      </c>
    </row>
    <row r="38" spans="1:16" x14ac:dyDescent="0.35">
      <c r="A38" s="5">
        <v>43950</v>
      </c>
      <c r="B38" s="2">
        <v>352.05</v>
      </c>
      <c r="C38" s="2">
        <v>200.15</v>
      </c>
      <c r="D38" s="2">
        <v>124.48</v>
      </c>
      <c r="E38" s="2">
        <v>233</v>
      </c>
      <c r="F38" s="2">
        <v>11.9</v>
      </c>
      <c r="G38" s="2">
        <v>178</v>
      </c>
      <c r="H38" s="2">
        <v>1198</v>
      </c>
      <c r="I38" s="2">
        <v>1284</v>
      </c>
      <c r="J38" s="2">
        <v>833.5</v>
      </c>
      <c r="K38" s="2">
        <v>3350</v>
      </c>
      <c r="L38" s="2">
        <v>60</v>
      </c>
      <c r="M38" s="2">
        <v>5.93</v>
      </c>
      <c r="N38" s="2">
        <v>28.07</v>
      </c>
      <c r="O38" s="2">
        <v>25.84</v>
      </c>
      <c r="P38" s="2">
        <v>434.6</v>
      </c>
    </row>
    <row r="39" spans="1:16" x14ac:dyDescent="0.35">
      <c r="A39" s="5">
        <v>43951</v>
      </c>
      <c r="B39" s="2">
        <v>356.2</v>
      </c>
      <c r="C39" s="2">
        <v>204</v>
      </c>
      <c r="D39" s="2">
        <v>129.46</v>
      </c>
      <c r="E39" s="2">
        <v>231.05</v>
      </c>
      <c r="F39" s="2">
        <v>11.8</v>
      </c>
      <c r="G39" s="2">
        <v>180</v>
      </c>
      <c r="H39" s="2">
        <v>1220</v>
      </c>
      <c r="I39" s="2">
        <v>1315</v>
      </c>
      <c r="J39" s="2">
        <v>850</v>
      </c>
      <c r="K39" s="2">
        <v>3349</v>
      </c>
      <c r="L39" s="2">
        <v>62</v>
      </c>
      <c r="M39" s="2">
        <v>5.9</v>
      </c>
      <c r="N39" s="2">
        <v>29.19</v>
      </c>
      <c r="O39" s="2">
        <v>26.87</v>
      </c>
      <c r="P39" s="2">
        <v>440</v>
      </c>
    </row>
    <row r="40" spans="1:16" x14ac:dyDescent="0.35">
      <c r="A40" s="5">
        <v>43977</v>
      </c>
      <c r="B40" s="2">
        <v>349</v>
      </c>
      <c r="C40" s="2">
        <v>205</v>
      </c>
      <c r="D40" s="2">
        <v>131.82</v>
      </c>
      <c r="E40" s="2">
        <v>240</v>
      </c>
      <c r="F40" s="2">
        <v>12.7</v>
      </c>
      <c r="G40" s="2">
        <v>192.35</v>
      </c>
      <c r="H40" s="2">
        <v>1390</v>
      </c>
      <c r="I40" s="2">
        <v>1395</v>
      </c>
      <c r="J40" s="2">
        <v>857</v>
      </c>
      <c r="K40" s="2">
        <v>3351</v>
      </c>
      <c r="L40" s="2">
        <v>66.3</v>
      </c>
      <c r="M40" s="2">
        <v>6.73</v>
      </c>
      <c r="N40" s="2">
        <v>35.65</v>
      </c>
      <c r="O40" s="2">
        <v>31</v>
      </c>
      <c r="P40" s="2">
        <v>610.20000000000005</v>
      </c>
    </row>
    <row r="41" spans="1:16" x14ac:dyDescent="0.35">
      <c r="A41" s="5">
        <v>43978</v>
      </c>
      <c r="B41" s="2">
        <v>355</v>
      </c>
      <c r="C41" s="2">
        <v>210</v>
      </c>
      <c r="D41" s="2">
        <v>132.56</v>
      </c>
      <c r="E41" s="2">
        <v>246.9</v>
      </c>
      <c r="F41" s="2">
        <v>12.8</v>
      </c>
      <c r="G41" s="2">
        <v>192.35</v>
      </c>
      <c r="H41" s="2">
        <v>1400</v>
      </c>
      <c r="I41" s="2">
        <v>1450</v>
      </c>
      <c r="J41" s="2">
        <v>875</v>
      </c>
      <c r="K41" s="2">
        <v>3350</v>
      </c>
      <c r="L41" s="2">
        <v>64</v>
      </c>
      <c r="M41" s="2">
        <v>6.89</v>
      </c>
      <c r="N41" s="2">
        <v>35</v>
      </c>
      <c r="O41" s="2">
        <v>31.46</v>
      </c>
      <c r="P41" s="2">
        <v>610</v>
      </c>
    </row>
    <row r="42" spans="1:16" x14ac:dyDescent="0.35">
      <c r="A42" s="5">
        <v>43984</v>
      </c>
      <c r="B42" s="2">
        <v>350</v>
      </c>
      <c r="C42" s="2">
        <v>215</v>
      </c>
      <c r="D42" s="2">
        <v>135.41999999999999</v>
      </c>
      <c r="E42" s="2">
        <v>250</v>
      </c>
      <c r="F42" s="2">
        <v>12.3</v>
      </c>
      <c r="G42" s="2">
        <v>188.5</v>
      </c>
      <c r="H42" s="2">
        <v>1419</v>
      </c>
      <c r="I42" s="2">
        <v>1528</v>
      </c>
      <c r="J42" s="2">
        <v>890</v>
      </c>
      <c r="K42" s="2">
        <v>3355</v>
      </c>
      <c r="L42" s="2">
        <v>68</v>
      </c>
      <c r="M42" s="2">
        <v>7.79</v>
      </c>
      <c r="N42" s="2">
        <v>39.35</v>
      </c>
      <c r="O42" s="2">
        <v>34.08</v>
      </c>
      <c r="P42" s="2">
        <v>681.1</v>
      </c>
    </row>
    <row r="43" spans="1:16" x14ac:dyDescent="0.35">
      <c r="A43" s="5">
        <v>43993</v>
      </c>
      <c r="B43" s="2">
        <v>345</v>
      </c>
      <c r="C43" s="2">
        <v>219.9</v>
      </c>
      <c r="D43" s="2">
        <v>136.69999999999999</v>
      </c>
      <c r="E43" s="2">
        <v>262.05</v>
      </c>
      <c r="F43" s="2">
        <v>12.3</v>
      </c>
      <c r="G43" s="2">
        <v>190.25</v>
      </c>
      <c r="H43" s="2">
        <v>1376</v>
      </c>
      <c r="I43" s="2">
        <v>1387</v>
      </c>
      <c r="J43" s="2">
        <v>890</v>
      </c>
      <c r="K43" s="2">
        <v>3600</v>
      </c>
      <c r="L43" s="2">
        <v>68</v>
      </c>
      <c r="M43" s="2">
        <v>7.6</v>
      </c>
      <c r="N43" s="2">
        <v>42.25</v>
      </c>
      <c r="O43" s="2">
        <v>31.93</v>
      </c>
      <c r="P43" s="2">
        <v>673.4</v>
      </c>
    </row>
    <row r="44" spans="1:16" x14ac:dyDescent="0.35">
      <c r="A44" s="5">
        <v>43999</v>
      </c>
      <c r="B44" s="2">
        <v>363.95</v>
      </c>
      <c r="C44" s="2">
        <v>226.75</v>
      </c>
      <c r="D44" s="2">
        <v>144.38</v>
      </c>
      <c r="E44" s="2">
        <v>262</v>
      </c>
      <c r="F44" s="2">
        <v>12.6</v>
      </c>
      <c r="G44" s="2">
        <v>199.65</v>
      </c>
      <c r="H44" s="2">
        <v>1450</v>
      </c>
      <c r="I44" s="2">
        <v>1455</v>
      </c>
      <c r="J44" s="2">
        <v>920</v>
      </c>
      <c r="K44" s="2">
        <v>3681</v>
      </c>
      <c r="L44" s="2">
        <v>71.23</v>
      </c>
      <c r="M44" s="2">
        <v>8.0299999999999994</v>
      </c>
      <c r="N44" s="2">
        <v>44.61</v>
      </c>
      <c r="O44" s="2">
        <v>32.25</v>
      </c>
      <c r="P44" s="2">
        <v>736.9</v>
      </c>
    </row>
    <row r="45" spans="1:16" x14ac:dyDescent="0.35">
      <c r="A45" s="5">
        <v>44000</v>
      </c>
      <c r="B45" s="2">
        <v>365.05</v>
      </c>
      <c r="C45" s="2">
        <v>222.6</v>
      </c>
      <c r="D45" s="2">
        <v>141.41999999999999</v>
      </c>
      <c r="E45" s="2">
        <v>261</v>
      </c>
      <c r="F45" s="2">
        <v>12.9</v>
      </c>
      <c r="G45" s="2">
        <v>198.8</v>
      </c>
      <c r="H45" s="2">
        <v>1396</v>
      </c>
      <c r="I45" s="2">
        <v>1496</v>
      </c>
      <c r="J45" s="2">
        <v>890.1</v>
      </c>
      <c r="K45" s="2">
        <v>3700</v>
      </c>
      <c r="L45" s="2">
        <v>70.989999999999995</v>
      </c>
      <c r="M45" s="2">
        <v>7.93</v>
      </c>
      <c r="N45" s="2">
        <v>43.49</v>
      </c>
      <c r="O45" s="2">
        <v>31.62</v>
      </c>
      <c r="P45" s="2">
        <v>710.5</v>
      </c>
    </row>
    <row r="46" spans="1:16" x14ac:dyDescent="0.35">
      <c r="A46" s="5">
        <v>44001</v>
      </c>
      <c r="B46" s="2">
        <v>364</v>
      </c>
      <c r="C46" s="2">
        <v>223</v>
      </c>
      <c r="D46" s="2">
        <v>143.79</v>
      </c>
      <c r="E46" s="2">
        <v>255</v>
      </c>
      <c r="F46" s="2">
        <v>12.8</v>
      </c>
      <c r="G46" s="2">
        <v>202</v>
      </c>
      <c r="H46" s="2">
        <v>1390</v>
      </c>
      <c r="I46" s="2">
        <v>1480</v>
      </c>
      <c r="J46" s="2">
        <v>890.1</v>
      </c>
      <c r="K46" s="2">
        <v>3700</v>
      </c>
      <c r="L46" s="2">
        <v>71.900000000000006</v>
      </c>
      <c r="M46" s="2">
        <v>7.8</v>
      </c>
      <c r="N46" s="2">
        <v>43.88</v>
      </c>
      <c r="O46" s="2">
        <v>30.76</v>
      </c>
      <c r="P46" s="2">
        <v>691</v>
      </c>
    </row>
    <row r="47" spans="1:16" x14ac:dyDescent="0.35">
      <c r="A47" s="5">
        <v>44006</v>
      </c>
      <c r="B47" s="2">
        <v>357</v>
      </c>
      <c r="C47" s="2">
        <v>221</v>
      </c>
      <c r="D47" s="2">
        <v>143</v>
      </c>
      <c r="E47" s="2">
        <v>258.95</v>
      </c>
      <c r="F47" s="2">
        <v>12.8</v>
      </c>
      <c r="G47" s="2">
        <v>202</v>
      </c>
      <c r="H47" s="2">
        <v>1400</v>
      </c>
      <c r="I47" s="2">
        <v>1478</v>
      </c>
      <c r="J47" s="2">
        <v>890</v>
      </c>
      <c r="K47" s="2">
        <v>3740</v>
      </c>
      <c r="L47" s="2">
        <v>70.8</v>
      </c>
      <c r="M47" s="2">
        <v>7.5</v>
      </c>
      <c r="N47" s="2">
        <v>41.5</v>
      </c>
      <c r="O47" s="2">
        <v>30.8</v>
      </c>
      <c r="P47" s="2">
        <v>713</v>
      </c>
    </row>
    <row r="48" spans="1:16" x14ac:dyDescent="0.35">
      <c r="A48" s="5">
        <v>44070</v>
      </c>
      <c r="B48" s="2">
        <v>360.1</v>
      </c>
      <c r="C48" s="2">
        <v>229</v>
      </c>
      <c r="D48" s="2">
        <v>127.05</v>
      </c>
      <c r="E48" s="2">
        <v>254.9</v>
      </c>
      <c r="F48" s="2">
        <v>12.4</v>
      </c>
      <c r="G48" s="2">
        <v>195.05</v>
      </c>
      <c r="H48" s="2">
        <v>1390</v>
      </c>
      <c r="I48" s="2">
        <v>1470</v>
      </c>
      <c r="J48" s="2">
        <v>879</v>
      </c>
      <c r="K48" s="2">
        <v>3452</v>
      </c>
      <c r="L48" s="2">
        <v>72.39</v>
      </c>
      <c r="M48" s="2">
        <v>6.42</v>
      </c>
      <c r="N48" s="2">
        <v>28.52</v>
      </c>
      <c r="O48" s="2">
        <v>24.23</v>
      </c>
      <c r="P48" s="2">
        <v>958.9</v>
      </c>
    </row>
    <row r="49" spans="1:16" x14ac:dyDescent="0.35">
      <c r="A49" s="5">
        <v>44085</v>
      </c>
      <c r="B49" s="2">
        <v>369.95</v>
      </c>
      <c r="C49" s="2">
        <v>235.1</v>
      </c>
      <c r="D49" s="2">
        <v>126.01</v>
      </c>
      <c r="E49" s="2">
        <v>265</v>
      </c>
      <c r="F49" s="2">
        <v>12.7</v>
      </c>
      <c r="G49" s="2">
        <v>195.45</v>
      </c>
      <c r="H49" s="2">
        <v>1385</v>
      </c>
      <c r="I49" s="2">
        <v>1480</v>
      </c>
      <c r="J49" s="2">
        <v>885</v>
      </c>
      <c r="K49" s="2">
        <v>3650</v>
      </c>
      <c r="L49" s="2">
        <v>74</v>
      </c>
      <c r="M49" s="2">
        <v>6.2</v>
      </c>
      <c r="N49" s="2">
        <v>34.520000000000003</v>
      </c>
      <c r="O49" s="2">
        <v>25</v>
      </c>
      <c r="P49" s="2">
        <v>926.2</v>
      </c>
    </row>
    <row r="50" spans="1:16" x14ac:dyDescent="0.35">
      <c r="A50" s="5">
        <v>44091</v>
      </c>
      <c r="B50" s="2">
        <v>355.1</v>
      </c>
      <c r="C50" s="2">
        <v>231</v>
      </c>
      <c r="D50" s="2">
        <v>125.13</v>
      </c>
      <c r="E50" s="2">
        <v>265</v>
      </c>
      <c r="F50" s="2">
        <v>12.7</v>
      </c>
      <c r="G50" s="2">
        <v>191</v>
      </c>
      <c r="H50" s="2">
        <v>1365</v>
      </c>
      <c r="I50" s="2">
        <v>1490</v>
      </c>
      <c r="J50" s="2">
        <v>875</v>
      </c>
      <c r="K50" s="2">
        <v>3509</v>
      </c>
      <c r="L50" s="2">
        <v>77.03</v>
      </c>
      <c r="M50" s="2">
        <v>6.13</v>
      </c>
      <c r="N50" s="2">
        <v>32.119999999999997</v>
      </c>
      <c r="O50" s="2">
        <v>25.94</v>
      </c>
      <c r="P50" s="2">
        <v>930</v>
      </c>
    </row>
    <row r="51" spans="1:16" x14ac:dyDescent="0.35">
      <c r="A51" s="5">
        <v>44092</v>
      </c>
      <c r="B51" s="2">
        <v>358.1</v>
      </c>
      <c r="C51" s="2">
        <v>230.5</v>
      </c>
      <c r="D51" s="2">
        <v>125.17</v>
      </c>
      <c r="E51" s="2">
        <v>255</v>
      </c>
      <c r="F51" s="2">
        <v>12.7</v>
      </c>
      <c r="G51" s="2">
        <v>191.1</v>
      </c>
      <c r="H51" s="2">
        <v>1370</v>
      </c>
      <c r="I51" s="2">
        <v>1450</v>
      </c>
      <c r="J51" s="2">
        <v>880</v>
      </c>
      <c r="K51" s="2">
        <v>3600</v>
      </c>
      <c r="L51" s="2">
        <v>76</v>
      </c>
      <c r="M51" s="2">
        <v>6.19</v>
      </c>
      <c r="N51" s="2">
        <v>32.840000000000003</v>
      </c>
      <c r="O51" s="2">
        <v>25.15</v>
      </c>
      <c r="P51" s="2">
        <v>943</v>
      </c>
    </row>
    <row r="52" spans="1:16" x14ac:dyDescent="0.35">
      <c r="A52" s="5">
        <v>44098</v>
      </c>
      <c r="B52" s="2">
        <v>350</v>
      </c>
      <c r="C52" s="2">
        <v>232.05</v>
      </c>
      <c r="D52" s="2">
        <v>122.12</v>
      </c>
      <c r="E52" s="2">
        <v>250</v>
      </c>
      <c r="F52" s="2">
        <v>12.9</v>
      </c>
      <c r="G52" s="2">
        <v>193</v>
      </c>
      <c r="H52" s="2">
        <v>1355</v>
      </c>
      <c r="I52" s="2">
        <v>1450</v>
      </c>
      <c r="J52" s="2">
        <v>880</v>
      </c>
      <c r="K52" s="2">
        <v>3507</v>
      </c>
      <c r="L52" s="2">
        <v>77</v>
      </c>
      <c r="M52" s="2">
        <v>6</v>
      </c>
      <c r="N52" s="2">
        <v>32.450000000000003</v>
      </c>
      <c r="O52" s="2">
        <v>25</v>
      </c>
      <c r="P52" s="2">
        <v>875.7</v>
      </c>
    </row>
    <row r="53" spans="1:16" x14ac:dyDescent="0.35">
      <c r="A53" s="5">
        <v>44116</v>
      </c>
      <c r="B53" s="2">
        <v>367.5</v>
      </c>
      <c r="C53" s="2">
        <v>235</v>
      </c>
      <c r="D53" s="2">
        <v>128.03</v>
      </c>
      <c r="E53" s="2">
        <v>248.5</v>
      </c>
      <c r="F53" s="2">
        <v>12.6</v>
      </c>
      <c r="G53" s="2">
        <v>199.7</v>
      </c>
      <c r="H53" s="2">
        <v>1371</v>
      </c>
      <c r="I53" s="2">
        <v>1465</v>
      </c>
      <c r="J53" s="2">
        <v>890</v>
      </c>
      <c r="K53" s="2">
        <v>3350</v>
      </c>
      <c r="L53" s="2">
        <v>78.599999999999994</v>
      </c>
      <c r="M53" s="2">
        <v>5.82</v>
      </c>
      <c r="N53" s="2">
        <v>31.2</v>
      </c>
      <c r="O53" s="2">
        <v>23.44</v>
      </c>
      <c r="P53" s="2">
        <v>1002</v>
      </c>
    </row>
    <row r="54" spans="1:16" x14ac:dyDescent="0.35">
      <c r="A54" s="5">
        <v>44117</v>
      </c>
      <c r="B54" s="2">
        <v>372.1</v>
      </c>
      <c r="C54" s="2">
        <v>236.05</v>
      </c>
      <c r="D54" s="2">
        <v>128.03</v>
      </c>
      <c r="E54" s="2">
        <v>248.5</v>
      </c>
      <c r="F54" s="2">
        <v>12.7</v>
      </c>
      <c r="G54" s="2">
        <v>198.8</v>
      </c>
      <c r="H54" s="2">
        <v>1381</v>
      </c>
      <c r="I54" s="2">
        <v>1450</v>
      </c>
      <c r="J54" s="2">
        <v>900</v>
      </c>
      <c r="K54" s="2">
        <v>3355</v>
      </c>
      <c r="L54" s="2">
        <v>79.5</v>
      </c>
      <c r="M54" s="2">
        <v>6</v>
      </c>
      <c r="N54" s="2">
        <v>32.18</v>
      </c>
      <c r="O54" s="2">
        <v>23.34</v>
      </c>
      <c r="P54" s="2">
        <v>993</v>
      </c>
    </row>
    <row r="55" spans="1:16" x14ac:dyDescent="0.35">
      <c r="A55" s="5">
        <v>44118</v>
      </c>
      <c r="B55" s="2">
        <v>384.6</v>
      </c>
      <c r="C55" s="2">
        <v>242.95</v>
      </c>
      <c r="D55" s="2">
        <v>131.77000000000001</v>
      </c>
      <c r="E55" s="2">
        <v>248.4</v>
      </c>
      <c r="F55" s="2">
        <v>12.8</v>
      </c>
      <c r="G55" s="2">
        <v>199.3</v>
      </c>
      <c r="H55" s="2">
        <v>1430</v>
      </c>
      <c r="I55" s="2">
        <v>1480</v>
      </c>
      <c r="J55" s="2">
        <v>900</v>
      </c>
      <c r="K55" s="2">
        <v>3350</v>
      </c>
      <c r="L55" s="2">
        <v>80.5</v>
      </c>
      <c r="M55" s="2">
        <v>6.04</v>
      </c>
      <c r="N55" s="2">
        <v>32.049999999999997</v>
      </c>
      <c r="O55" s="2">
        <v>23</v>
      </c>
      <c r="P55" s="2">
        <v>1020</v>
      </c>
    </row>
    <row r="56" spans="1:16" x14ac:dyDescent="0.35">
      <c r="A56" s="5">
        <v>44120</v>
      </c>
      <c r="B56" s="2">
        <v>374</v>
      </c>
      <c r="C56" s="2">
        <v>237</v>
      </c>
      <c r="D56" s="2">
        <v>130.1</v>
      </c>
      <c r="E56" s="2">
        <v>248.2</v>
      </c>
      <c r="F56" s="2">
        <v>12.7</v>
      </c>
      <c r="G56" s="2">
        <v>198.5</v>
      </c>
      <c r="H56" s="2">
        <v>1425</v>
      </c>
      <c r="I56" s="2">
        <v>1495</v>
      </c>
      <c r="J56" s="2">
        <v>900</v>
      </c>
      <c r="K56" s="2">
        <v>3375</v>
      </c>
      <c r="L56" s="2">
        <v>80.5</v>
      </c>
      <c r="M56" s="2">
        <v>6</v>
      </c>
      <c r="N56" s="2">
        <v>32.1</v>
      </c>
      <c r="O56" s="2">
        <v>23</v>
      </c>
      <c r="P56" s="2">
        <v>1036</v>
      </c>
    </row>
    <row r="57" spans="1:16" x14ac:dyDescent="0.35">
      <c r="A57" s="5">
        <v>44123</v>
      </c>
      <c r="B57" s="2">
        <v>370.65</v>
      </c>
      <c r="C57" s="2">
        <v>238</v>
      </c>
      <c r="D57" s="2">
        <v>128.72</v>
      </c>
      <c r="E57" s="2">
        <v>247</v>
      </c>
      <c r="F57" s="2">
        <v>12.8</v>
      </c>
      <c r="G57" s="2">
        <v>196.5</v>
      </c>
      <c r="H57" s="2">
        <v>1420</v>
      </c>
      <c r="I57" s="2">
        <v>1479</v>
      </c>
      <c r="J57" s="2">
        <v>902</v>
      </c>
      <c r="K57" s="2">
        <v>3359</v>
      </c>
      <c r="L57" s="2">
        <v>80</v>
      </c>
      <c r="M57" s="2">
        <v>5.86</v>
      </c>
      <c r="N57" s="2">
        <v>32.090000000000003</v>
      </c>
      <c r="O57" s="2">
        <v>23</v>
      </c>
      <c r="P57" s="2">
        <v>1064</v>
      </c>
    </row>
    <row r="58" spans="1:16" x14ac:dyDescent="0.35">
      <c r="A58" s="5">
        <v>44131</v>
      </c>
      <c r="B58" s="2">
        <v>378.25</v>
      </c>
      <c r="C58" s="2">
        <v>240</v>
      </c>
      <c r="D58" s="2">
        <v>136.88999999999999</v>
      </c>
      <c r="E58" s="2">
        <v>246.05</v>
      </c>
      <c r="F58" s="2">
        <v>12.9</v>
      </c>
      <c r="G58" s="2">
        <v>201.25</v>
      </c>
      <c r="H58" s="2">
        <v>1460</v>
      </c>
      <c r="I58" s="2">
        <v>1462</v>
      </c>
      <c r="J58" s="2">
        <v>930</v>
      </c>
      <c r="K58" s="2">
        <v>3355</v>
      </c>
      <c r="L58" s="2">
        <v>79.98</v>
      </c>
      <c r="M58" s="2">
        <v>5.88</v>
      </c>
      <c r="N58" s="2">
        <v>32.31</v>
      </c>
      <c r="O58" s="2">
        <v>23</v>
      </c>
      <c r="P58" s="2">
        <v>1160</v>
      </c>
    </row>
    <row r="59" spans="1:16" x14ac:dyDescent="0.35">
      <c r="A59" s="5">
        <v>44137</v>
      </c>
      <c r="B59" s="2">
        <v>375.8</v>
      </c>
      <c r="C59" s="2">
        <v>236.7</v>
      </c>
      <c r="D59" s="2">
        <v>133.94</v>
      </c>
      <c r="E59" s="2">
        <v>245</v>
      </c>
      <c r="F59" s="2">
        <v>12.9</v>
      </c>
      <c r="G59" s="2">
        <v>200.5</v>
      </c>
      <c r="H59" s="2">
        <v>1426</v>
      </c>
      <c r="I59" s="2">
        <v>1480</v>
      </c>
      <c r="J59" s="2">
        <v>920</v>
      </c>
      <c r="K59" s="2">
        <v>3355</v>
      </c>
      <c r="L59" s="2">
        <v>80.989999999999995</v>
      </c>
      <c r="M59" s="2">
        <v>5.73</v>
      </c>
      <c r="N59" s="2">
        <v>31.5</v>
      </c>
      <c r="O59" s="2">
        <v>22.4</v>
      </c>
      <c r="P59" s="2">
        <v>1136</v>
      </c>
    </row>
    <row r="60" spans="1:16" x14ac:dyDescent="0.35">
      <c r="A60" s="5">
        <v>44144</v>
      </c>
      <c r="B60" s="2">
        <v>385</v>
      </c>
      <c r="C60" s="2">
        <v>241.9</v>
      </c>
      <c r="D60" s="2">
        <v>138.37</v>
      </c>
      <c r="E60" s="2">
        <v>250</v>
      </c>
      <c r="F60" s="2">
        <v>12.9</v>
      </c>
      <c r="G60" s="2">
        <v>203.5</v>
      </c>
      <c r="H60" s="2">
        <v>1465</v>
      </c>
      <c r="I60" s="2">
        <v>1475</v>
      </c>
      <c r="J60" s="2">
        <v>938</v>
      </c>
      <c r="K60" s="2">
        <v>3427</v>
      </c>
      <c r="L60" s="2">
        <v>81.900000000000006</v>
      </c>
      <c r="M60" s="2">
        <v>5.89</v>
      </c>
      <c r="N60" s="2">
        <v>32.99</v>
      </c>
      <c r="O60" s="2">
        <v>23.28</v>
      </c>
      <c r="P60" s="2">
        <v>1131</v>
      </c>
    </row>
    <row r="61" spans="1:16" x14ac:dyDescent="0.35">
      <c r="A61" s="5">
        <v>44145</v>
      </c>
      <c r="B61" s="2">
        <v>387</v>
      </c>
      <c r="C61" s="2">
        <v>244</v>
      </c>
      <c r="D61" s="2">
        <v>140.83000000000001</v>
      </c>
      <c r="E61" s="2">
        <v>250</v>
      </c>
      <c r="F61" s="2">
        <v>12.9</v>
      </c>
      <c r="G61" s="2">
        <v>204</v>
      </c>
      <c r="H61" s="2">
        <v>1485</v>
      </c>
      <c r="I61" s="2">
        <v>1490</v>
      </c>
      <c r="J61" s="2">
        <v>938.8</v>
      </c>
      <c r="K61" s="2">
        <v>3450</v>
      </c>
      <c r="L61" s="2">
        <v>80</v>
      </c>
      <c r="M61" s="2">
        <v>5.96</v>
      </c>
      <c r="N61" s="2">
        <v>32.83</v>
      </c>
      <c r="O61" s="2">
        <v>24.21</v>
      </c>
      <c r="P61" s="2">
        <v>1086</v>
      </c>
    </row>
    <row r="62" spans="1:16" x14ac:dyDescent="0.35">
      <c r="A62" s="5">
        <v>44159</v>
      </c>
      <c r="B62" s="2">
        <v>410.9</v>
      </c>
      <c r="C62" s="2">
        <v>245</v>
      </c>
      <c r="D62" s="2">
        <v>152.16</v>
      </c>
      <c r="E62" s="2">
        <v>250</v>
      </c>
      <c r="F62" s="2">
        <v>13.4</v>
      </c>
      <c r="G62" s="2">
        <v>211.7</v>
      </c>
      <c r="H62" s="2">
        <v>1555</v>
      </c>
      <c r="I62" s="2">
        <v>1579</v>
      </c>
      <c r="J62" s="2">
        <v>970</v>
      </c>
      <c r="K62" s="2">
        <v>3730</v>
      </c>
      <c r="L62" s="2">
        <v>82.17</v>
      </c>
      <c r="M62" s="2">
        <v>6.63</v>
      </c>
      <c r="N62" s="2">
        <v>37.200000000000003</v>
      </c>
      <c r="O62" s="2">
        <v>26.93</v>
      </c>
      <c r="P62" s="2">
        <v>1009</v>
      </c>
    </row>
    <row r="63" spans="1:16" x14ac:dyDescent="0.35">
      <c r="A63" s="5">
        <v>44161</v>
      </c>
      <c r="B63" s="2">
        <v>410</v>
      </c>
      <c r="C63" s="2">
        <v>246</v>
      </c>
      <c r="D63" s="2">
        <v>151.66999999999999</v>
      </c>
      <c r="E63" s="2">
        <v>250.6</v>
      </c>
      <c r="F63" s="2">
        <v>13.3</v>
      </c>
      <c r="G63" s="2">
        <v>212</v>
      </c>
      <c r="H63" s="2">
        <v>1565</v>
      </c>
      <c r="I63" s="2">
        <v>1575</v>
      </c>
      <c r="J63" s="2">
        <v>945.7</v>
      </c>
      <c r="K63" s="2">
        <v>3610</v>
      </c>
      <c r="L63" s="2">
        <v>81.97</v>
      </c>
      <c r="M63" s="2">
        <v>6.5</v>
      </c>
      <c r="N63" s="2">
        <v>37.700000000000003</v>
      </c>
      <c r="O63" s="2">
        <v>27.5</v>
      </c>
      <c r="P63" s="2">
        <v>1035</v>
      </c>
    </row>
    <row r="64" spans="1:16" x14ac:dyDescent="0.35">
      <c r="A64" s="5">
        <v>44162</v>
      </c>
      <c r="B64" s="2">
        <v>403</v>
      </c>
      <c r="C64" s="2">
        <v>243.1</v>
      </c>
      <c r="D64" s="2">
        <v>150.68</v>
      </c>
      <c r="E64" s="2">
        <v>246</v>
      </c>
      <c r="F64" s="2">
        <v>13.3</v>
      </c>
      <c r="G64" s="2">
        <v>210</v>
      </c>
      <c r="H64" s="2">
        <v>1555</v>
      </c>
      <c r="I64" s="2">
        <v>1520</v>
      </c>
      <c r="J64" s="2">
        <v>940.1</v>
      </c>
      <c r="K64" s="2">
        <v>3475</v>
      </c>
      <c r="L64" s="2">
        <v>81.900000000000006</v>
      </c>
      <c r="M64" s="2">
        <v>6.55</v>
      </c>
      <c r="N64" s="2">
        <v>37.5</v>
      </c>
      <c r="O64" s="2">
        <v>26.8</v>
      </c>
      <c r="P64" s="2">
        <v>1011</v>
      </c>
    </row>
    <row r="65" spans="1:16" x14ac:dyDescent="0.35">
      <c r="A65" s="5">
        <v>44168</v>
      </c>
      <c r="B65" s="2">
        <v>407</v>
      </c>
      <c r="C65" s="2">
        <v>244.5</v>
      </c>
      <c r="D65" s="2">
        <v>150.29</v>
      </c>
      <c r="E65" s="2">
        <v>255</v>
      </c>
      <c r="F65" s="2">
        <v>13.3</v>
      </c>
      <c r="G65" s="2">
        <v>211</v>
      </c>
      <c r="H65" s="2">
        <v>1555</v>
      </c>
      <c r="I65" s="2">
        <v>1535</v>
      </c>
      <c r="J65" s="2">
        <v>952</v>
      </c>
      <c r="K65" s="2">
        <v>3600</v>
      </c>
      <c r="L65" s="2">
        <v>81</v>
      </c>
      <c r="M65" s="2">
        <v>6.15</v>
      </c>
      <c r="N65" s="2">
        <v>37.24</v>
      </c>
      <c r="O65" s="2">
        <v>25.3</v>
      </c>
      <c r="P65" s="2">
        <v>1096</v>
      </c>
    </row>
    <row r="66" spans="1:16" x14ac:dyDescent="0.35">
      <c r="A66" s="5">
        <v>44169</v>
      </c>
      <c r="B66" s="2">
        <v>409.95</v>
      </c>
      <c r="C66" s="2">
        <v>245</v>
      </c>
      <c r="D66" s="2">
        <v>149.15</v>
      </c>
      <c r="E66" s="2">
        <v>252</v>
      </c>
      <c r="F66" s="2">
        <v>13.2</v>
      </c>
      <c r="G66" s="2">
        <v>210</v>
      </c>
      <c r="H66" s="2">
        <v>1550</v>
      </c>
      <c r="I66" s="2">
        <v>1544</v>
      </c>
      <c r="J66" s="2">
        <v>936</v>
      </c>
      <c r="K66" s="2">
        <v>3551</v>
      </c>
      <c r="L66" s="2">
        <v>81.95</v>
      </c>
      <c r="M66" s="2">
        <v>6.01</v>
      </c>
      <c r="N66" s="2">
        <v>37.479999999999997</v>
      </c>
      <c r="O66" s="2">
        <v>25.1</v>
      </c>
      <c r="P66" s="2">
        <v>1098</v>
      </c>
    </row>
    <row r="67" spans="1:16" x14ac:dyDescent="0.35">
      <c r="A67" s="5">
        <v>44174</v>
      </c>
      <c r="B67" s="2">
        <v>417.9</v>
      </c>
      <c r="C67" s="2">
        <v>245.05</v>
      </c>
      <c r="D67" s="2">
        <v>148.71</v>
      </c>
      <c r="E67" s="2">
        <v>252.1</v>
      </c>
      <c r="F67" s="2">
        <v>13.3</v>
      </c>
      <c r="G67" s="2">
        <v>210.65</v>
      </c>
      <c r="H67" s="2">
        <v>1580</v>
      </c>
      <c r="I67" s="2">
        <v>1580</v>
      </c>
      <c r="J67" s="2">
        <v>939</v>
      </c>
      <c r="K67" s="2">
        <v>3760</v>
      </c>
      <c r="L67" s="2">
        <v>80</v>
      </c>
      <c r="M67" s="2">
        <v>6.5</v>
      </c>
      <c r="N67" s="2">
        <v>39.29</v>
      </c>
      <c r="O67" s="2">
        <v>26.68</v>
      </c>
      <c r="P67" s="2">
        <v>1056</v>
      </c>
    </row>
    <row r="68" spans="1:16" x14ac:dyDescent="0.35">
      <c r="A68" s="5">
        <v>44175</v>
      </c>
      <c r="B68" s="2">
        <v>415</v>
      </c>
      <c r="C68" s="2">
        <v>247</v>
      </c>
      <c r="D68" s="2">
        <v>149.69999999999999</v>
      </c>
      <c r="E68" s="2">
        <v>256</v>
      </c>
      <c r="F68" s="2">
        <v>13.2</v>
      </c>
      <c r="G68" s="2">
        <v>211.1</v>
      </c>
      <c r="H68" s="2">
        <v>1570</v>
      </c>
      <c r="I68" s="2">
        <v>1570</v>
      </c>
      <c r="J68" s="2">
        <v>937</v>
      </c>
      <c r="K68" s="2">
        <v>3760</v>
      </c>
      <c r="L68" s="2">
        <v>80</v>
      </c>
      <c r="M68" s="2">
        <v>6.68</v>
      </c>
      <c r="N68" s="2">
        <v>39.31</v>
      </c>
      <c r="O68" s="2">
        <v>26.42</v>
      </c>
      <c r="P68" s="2">
        <v>1098</v>
      </c>
    </row>
    <row r="69" spans="1:16" x14ac:dyDescent="0.35">
      <c r="A69" s="5">
        <v>44176</v>
      </c>
      <c r="B69" s="2">
        <v>427.1</v>
      </c>
      <c r="C69" s="2">
        <v>250</v>
      </c>
      <c r="D69" s="2">
        <v>154.62</v>
      </c>
      <c r="E69" s="2">
        <v>260</v>
      </c>
      <c r="F69" s="2">
        <v>13.5</v>
      </c>
      <c r="G69" s="2">
        <v>217</v>
      </c>
      <c r="H69" s="2">
        <v>1632</v>
      </c>
      <c r="I69" s="2">
        <v>1632</v>
      </c>
      <c r="J69" s="2">
        <v>940</v>
      </c>
      <c r="K69" s="2">
        <v>3910</v>
      </c>
      <c r="L69" s="2">
        <v>80</v>
      </c>
      <c r="M69" s="2">
        <v>6.94</v>
      </c>
      <c r="N69" s="2">
        <v>40</v>
      </c>
      <c r="O69" s="2">
        <v>27.47</v>
      </c>
      <c r="P69" s="2">
        <v>1090</v>
      </c>
    </row>
    <row r="70" spans="1:16" x14ac:dyDescent="0.35">
      <c r="A70" s="5">
        <v>44180</v>
      </c>
      <c r="B70" s="2">
        <v>426.1</v>
      </c>
      <c r="C70" s="2">
        <v>251</v>
      </c>
      <c r="D70" s="2">
        <v>153.54</v>
      </c>
      <c r="E70" s="2">
        <v>260</v>
      </c>
      <c r="F70" s="2">
        <v>13.5</v>
      </c>
      <c r="G70" s="2">
        <v>223.9</v>
      </c>
      <c r="H70" s="2">
        <v>1620</v>
      </c>
      <c r="I70" s="2">
        <v>1605</v>
      </c>
      <c r="J70" s="2">
        <v>935</v>
      </c>
      <c r="K70" s="2">
        <v>3900</v>
      </c>
      <c r="L70" s="2">
        <v>80.5</v>
      </c>
      <c r="M70" s="2">
        <v>6.8</v>
      </c>
      <c r="N70" s="2">
        <v>39.369999999999997</v>
      </c>
      <c r="O70" s="2">
        <v>27</v>
      </c>
      <c r="P70" s="2">
        <v>1089</v>
      </c>
    </row>
    <row r="71" spans="1:16" x14ac:dyDescent="0.35">
      <c r="A71" s="5">
        <v>44182</v>
      </c>
      <c r="B71" s="2">
        <v>439.95</v>
      </c>
      <c r="C71" s="2">
        <v>259</v>
      </c>
      <c r="D71" s="2">
        <v>153.19</v>
      </c>
      <c r="E71" s="2">
        <v>265</v>
      </c>
      <c r="F71" s="2">
        <v>13.5</v>
      </c>
      <c r="G71" s="2">
        <v>228</v>
      </c>
      <c r="H71" s="2">
        <v>1640</v>
      </c>
      <c r="I71" s="2">
        <v>1632</v>
      </c>
      <c r="J71" s="2">
        <v>930</v>
      </c>
      <c r="K71" s="2">
        <v>4000</v>
      </c>
      <c r="L71" s="2">
        <v>83</v>
      </c>
      <c r="M71" s="2">
        <v>6.71</v>
      </c>
      <c r="N71" s="2">
        <v>38</v>
      </c>
      <c r="O71" s="2">
        <v>27.23</v>
      </c>
      <c r="P71" s="2">
        <v>1177</v>
      </c>
    </row>
    <row r="72" spans="1:16" x14ac:dyDescent="0.35">
      <c r="A72" s="5">
        <v>44183</v>
      </c>
      <c r="B72" s="2">
        <v>437</v>
      </c>
      <c r="C72" s="2">
        <v>254.6</v>
      </c>
      <c r="D72" s="2">
        <v>156.49</v>
      </c>
      <c r="E72" s="2">
        <v>270</v>
      </c>
      <c r="F72" s="2">
        <v>13.4</v>
      </c>
      <c r="G72" s="2">
        <v>221</v>
      </c>
      <c r="H72" s="2">
        <v>1650</v>
      </c>
      <c r="I72" s="2">
        <v>1655</v>
      </c>
      <c r="J72" s="2">
        <v>930</v>
      </c>
      <c r="K72" s="2">
        <v>3910</v>
      </c>
      <c r="L72" s="2">
        <v>82.9</v>
      </c>
      <c r="M72" s="2">
        <v>6.7</v>
      </c>
      <c r="N72" s="2">
        <v>37.31</v>
      </c>
      <c r="O72" s="2">
        <v>26.71</v>
      </c>
      <c r="P72" s="2">
        <v>1140</v>
      </c>
    </row>
    <row r="73" spans="1:16" x14ac:dyDescent="0.35">
      <c r="A73" s="5">
        <v>44186</v>
      </c>
      <c r="B73" s="2">
        <v>419.55</v>
      </c>
      <c r="C73" s="2">
        <v>245</v>
      </c>
      <c r="D73" s="2">
        <v>150.24</v>
      </c>
      <c r="E73" s="2">
        <v>260</v>
      </c>
      <c r="F73" s="2">
        <v>13.2</v>
      </c>
      <c r="G73" s="2">
        <v>212.2</v>
      </c>
      <c r="H73" s="2">
        <v>1585</v>
      </c>
      <c r="I73" s="2">
        <v>1589</v>
      </c>
      <c r="J73" s="2">
        <v>911</v>
      </c>
      <c r="K73" s="2">
        <v>3900</v>
      </c>
      <c r="L73" s="2">
        <v>80.400000000000006</v>
      </c>
      <c r="M73" s="2">
        <v>6.44</v>
      </c>
      <c r="N73" s="2">
        <v>35.82</v>
      </c>
      <c r="O73" s="2">
        <v>25.65</v>
      </c>
      <c r="P73" s="2">
        <v>1170</v>
      </c>
    </row>
    <row r="74" spans="1:16" x14ac:dyDescent="0.35">
      <c r="A74" s="5">
        <v>44187</v>
      </c>
      <c r="B74" s="2">
        <v>428.95</v>
      </c>
      <c r="C74" s="2">
        <v>250</v>
      </c>
      <c r="D74" s="2">
        <v>152.6</v>
      </c>
      <c r="E74" s="2">
        <v>270</v>
      </c>
      <c r="F74" s="2">
        <v>13.3</v>
      </c>
      <c r="G74" s="2">
        <v>219.75</v>
      </c>
      <c r="H74" s="2">
        <v>1605</v>
      </c>
      <c r="I74" s="2">
        <v>1600</v>
      </c>
      <c r="J74" s="2">
        <v>929.2</v>
      </c>
      <c r="K74" s="2">
        <v>3901</v>
      </c>
      <c r="L74" s="2">
        <v>80.2</v>
      </c>
      <c r="M74" s="2">
        <v>6.69</v>
      </c>
      <c r="N74" s="2">
        <v>36.78</v>
      </c>
      <c r="O74" s="2">
        <v>26.67</v>
      </c>
      <c r="P74" s="2">
        <v>1156</v>
      </c>
    </row>
    <row r="75" spans="1:16" x14ac:dyDescent="0.35">
      <c r="A75" s="5">
        <v>44189</v>
      </c>
      <c r="B75" s="2">
        <v>428</v>
      </c>
      <c r="C75" s="2">
        <v>250</v>
      </c>
      <c r="D75" s="2">
        <v>150.38999999999999</v>
      </c>
      <c r="E75" s="2">
        <v>268</v>
      </c>
      <c r="F75" s="2">
        <v>13.4</v>
      </c>
      <c r="G75" s="2">
        <v>219</v>
      </c>
      <c r="H75" s="2">
        <v>1600</v>
      </c>
      <c r="I75" s="2">
        <v>1610</v>
      </c>
      <c r="J75" s="2">
        <v>916</v>
      </c>
      <c r="K75" s="2">
        <v>4000</v>
      </c>
      <c r="L75" s="2">
        <v>82</v>
      </c>
      <c r="M75" s="2">
        <v>6.85</v>
      </c>
      <c r="N75" s="2">
        <v>37</v>
      </c>
      <c r="O75" s="2">
        <v>27.03</v>
      </c>
      <c r="P75" s="2">
        <v>1150</v>
      </c>
    </row>
    <row r="76" spans="1:16" x14ac:dyDescent="0.35">
      <c r="A76" s="5">
        <v>44193</v>
      </c>
      <c r="B76" s="2">
        <v>429</v>
      </c>
      <c r="C76" s="2">
        <v>246</v>
      </c>
      <c r="D76" s="2">
        <v>150.68</v>
      </c>
      <c r="E76" s="2">
        <v>256.25</v>
      </c>
      <c r="F76" s="2">
        <v>13.2</v>
      </c>
      <c r="G76" s="2">
        <v>216</v>
      </c>
      <c r="H76" s="2">
        <v>1595</v>
      </c>
      <c r="I76" s="2">
        <v>1590</v>
      </c>
      <c r="J76" s="2">
        <v>930</v>
      </c>
      <c r="K76" s="2">
        <v>3851</v>
      </c>
      <c r="L76" s="2">
        <v>81</v>
      </c>
      <c r="M76" s="2">
        <v>6.68</v>
      </c>
      <c r="N76" s="2">
        <v>36.799999999999997</v>
      </c>
      <c r="O76" s="2">
        <v>26.5</v>
      </c>
      <c r="P76" s="2">
        <v>1150</v>
      </c>
    </row>
    <row r="77" spans="1:16" x14ac:dyDescent="0.35">
      <c r="A77" s="5">
        <v>44194</v>
      </c>
      <c r="B77" s="2">
        <v>430</v>
      </c>
      <c r="C77" s="2">
        <v>245</v>
      </c>
      <c r="D77" s="2">
        <v>149.69999999999999</v>
      </c>
      <c r="E77" s="2">
        <v>257.5</v>
      </c>
      <c r="F77" s="2">
        <v>13.2</v>
      </c>
      <c r="G77" s="2">
        <v>214</v>
      </c>
      <c r="H77" s="2">
        <v>1561</v>
      </c>
      <c r="I77" s="2">
        <v>1599</v>
      </c>
      <c r="J77" s="2">
        <v>912</v>
      </c>
      <c r="K77" s="2">
        <v>3851</v>
      </c>
      <c r="L77" s="2">
        <v>80.5</v>
      </c>
      <c r="M77" s="2">
        <v>6.65</v>
      </c>
      <c r="N77" s="2">
        <v>36</v>
      </c>
      <c r="O77" s="2">
        <v>26.89</v>
      </c>
      <c r="P77" s="2">
        <v>1141</v>
      </c>
    </row>
    <row r="78" spans="1:16" x14ac:dyDescent="0.35">
      <c r="A78" s="5">
        <v>44209</v>
      </c>
      <c r="B78" s="2">
        <v>424</v>
      </c>
      <c r="C78" s="2">
        <v>244.05</v>
      </c>
      <c r="D78" s="2">
        <v>149.11000000000001</v>
      </c>
      <c r="E78" s="2">
        <v>260</v>
      </c>
      <c r="F78" s="2">
        <v>13.4</v>
      </c>
      <c r="G78" s="2">
        <v>216.4</v>
      </c>
      <c r="H78" s="2">
        <v>1570</v>
      </c>
      <c r="I78" s="2">
        <v>1625</v>
      </c>
      <c r="J78" s="2">
        <v>910</v>
      </c>
      <c r="K78" s="2">
        <v>3870</v>
      </c>
      <c r="L78" s="2">
        <v>81</v>
      </c>
      <c r="M78" s="2">
        <v>6.6</v>
      </c>
      <c r="N78" s="2">
        <v>36.799999999999997</v>
      </c>
      <c r="O78" s="2">
        <v>27.97</v>
      </c>
      <c r="P78" s="2">
        <v>1200</v>
      </c>
    </row>
    <row r="79" spans="1:16" x14ac:dyDescent="0.35">
      <c r="A79" s="5">
        <v>44211</v>
      </c>
      <c r="B79" s="2">
        <v>432.05</v>
      </c>
      <c r="C79" s="2">
        <v>253.5</v>
      </c>
      <c r="D79" s="2">
        <v>151.66999999999999</v>
      </c>
      <c r="E79" s="2">
        <v>265</v>
      </c>
      <c r="F79" s="2">
        <v>13.2</v>
      </c>
      <c r="G79" s="2">
        <v>220</v>
      </c>
      <c r="H79" s="2">
        <v>1616</v>
      </c>
      <c r="I79" s="2">
        <v>1640</v>
      </c>
      <c r="J79" s="2">
        <v>934.9</v>
      </c>
      <c r="K79" s="2">
        <v>3870</v>
      </c>
      <c r="L79" s="2">
        <v>81.900000000000006</v>
      </c>
      <c r="M79" s="2">
        <v>6.69</v>
      </c>
      <c r="N79" s="2">
        <v>37</v>
      </c>
      <c r="O79" s="2">
        <v>28</v>
      </c>
      <c r="P79" s="2">
        <v>1200</v>
      </c>
    </row>
    <row r="80" spans="1:16" x14ac:dyDescent="0.35">
      <c r="A80" s="5">
        <v>44217</v>
      </c>
      <c r="B80" s="2">
        <v>435.25</v>
      </c>
      <c r="C80" s="2">
        <v>252.7</v>
      </c>
      <c r="D80" s="2">
        <v>153.63999999999999</v>
      </c>
      <c r="E80" s="2">
        <v>266</v>
      </c>
      <c r="F80" s="2">
        <v>13.3</v>
      </c>
      <c r="G80" s="2">
        <v>225</v>
      </c>
      <c r="H80" s="2">
        <v>1650</v>
      </c>
      <c r="I80" s="2">
        <v>1650</v>
      </c>
      <c r="J80" s="2">
        <v>935</v>
      </c>
      <c r="K80" s="2">
        <v>3870</v>
      </c>
      <c r="L80" s="2">
        <v>80.989999999999995</v>
      </c>
      <c r="M80" s="2">
        <v>6.62</v>
      </c>
      <c r="N80" s="2">
        <v>36.700000000000003</v>
      </c>
      <c r="O80" s="2">
        <v>27.45</v>
      </c>
      <c r="P80" s="2">
        <v>1299</v>
      </c>
    </row>
    <row r="81" spans="1:16" x14ac:dyDescent="0.35">
      <c r="A81" s="5">
        <v>44218</v>
      </c>
      <c r="B81" s="2">
        <v>437</v>
      </c>
      <c r="C81" s="2">
        <v>256.95</v>
      </c>
      <c r="D81" s="2">
        <v>156.59</v>
      </c>
      <c r="E81" s="2">
        <v>265</v>
      </c>
      <c r="F81" s="2">
        <v>13.3</v>
      </c>
      <c r="G81" s="2">
        <v>225</v>
      </c>
      <c r="H81" s="2">
        <v>1649</v>
      </c>
      <c r="I81" s="2">
        <v>1650</v>
      </c>
      <c r="J81" s="2">
        <v>930</v>
      </c>
      <c r="K81" s="2">
        <v>3880</v>
      </c>
      <c r="L81" s="2">
        <v>77.77</v>
      </c>
      <c r="M81" s="2">
        <v>6.6</v>
      </c>
      <c r="N81" s="2">
        <v>36.700000000000003</v>
      </c>
      <c r="O81" s="2">
        <v>27.45</v>
      </c>
      <c r="P81" s="2">
        <v>1270</v>
      </c>
    </row>
    <row r="82" spans="1:16" x14ac:dyDescent="0.35">
      <c r="A82" s="5">
        <v>44225</v>
      </c>
      <c r="B82" s="2">
        <v>436.1</v>
      </c>
      <c r="C82" s="2">
        <v>258.95</v>
      </c>
      <c r="D82" s="2">
        <v>158.46</v>
      </c>
      <c r="E82" s="2">
        <v>262</v>
      </c>
      <c r="F82" s="2">
        <v>13.6</v>
      </c>
      <c r="G82" s="2">
        <v>231.1</v>
      </c>
      <c r="H82" s="2">
        <v>1640</v>
      </c>
      <c r="I82" s="2">
        <v>1641</v>
      </c>
      <c r="J82" s="2">
        <v>935.1</v>
      </c>
      <c r="K82" s="2">
        <v>3832</v>
      </c>
      <c r="L82" s="2">
        <v>79.099999999999994</v>
      </c>
      <c r="M82" s="2">
        <v>7.08</v>
      </c>
      <c r="N82" s="2">
        <v>36.75</v>
      </c>
      <c r="O82" s="2">
        <v>29.55</v>
      </c>
      <c r="P82" s="2">
        <v>1300</v>
      </c>
    </row>
    <row r="83" spans="1:16" x14ac:dyDescent="0.35">
      <c r="A83" s="5">
        <v>44230</v>
      </c>
      <c r="B83" s="2">
        <v>439</v>
      </c>
      <c r="C83" s="2">
        <v>256.2</v>
      </c>
      <c r="D83" s="2">
        <v>159.05000000000001</v>
      </c>
      <c r="E83" s="2">
        <v>269.7</v>
      </c>
      <c r="F83" s="2">
        <v>13.7</v>
      </c>
      <c r="G83" s="2">
        <v>239.95</v>
      </c>
      <c r="H83" s="2">
        <v>1657</v>
      </c>
      <c r="I83" s="2">
        <v>1699</v>
      </c>
      <c r="J83" s="2">
        <v>940</v>
      </c>
      <c r="K83" s="2">
        <v>3980</v>
      </c>
      <c r="L83" s="2">
        <v>78.150000000000006</v>
      </c>
      <c r="M83" s="2">
        <v>6.85</v>
      </c>
      <c r="N83" s="2">
        <v>37.46</v>
      </c>
      <c r="O83" s="2">
        <v>28.9</v>
      </c>
      <c r="P83" s="2">
        <v>1379</v>
      </c>
    </row>
    <row r="84" spans="1:16" x14ac:dyDescent="0.35">
      <c r="A84" s="5">
        <v>44232</v>
      </c>
      <c r="B84" s="2">
        <v>434.5</v>
      </c>
      <c r="C84" s="2">
        <v>256.25</v>
      </c>
      <c r="D84" s="2">
        <v>157.66999999999999</v>
      </c>
      <c r="E84" s="2">
        <v>268</v>
      </c>
      <c r="F84" s="2">
        <v>13.6</v>
      </c>
      <c r="G84" s="2">
        <v>237.5</v>
      </c>
      <c r="H84" s="2">
        <v>1643</v>
      </c>
      <c r="I84" s="2">
        <v>1699</v>
      </c>
      <c r="J84" s="2">
        <v>940</v>
      </c>
      <c r="K84" s="2">
        <v>4119</v>
      </c>
      <c r="L84" s="2">
        <v>80</v>
      </c>
      <c r="M84" s="2">
        <v>7.09</v>
      </c>
      <c r="N84" s="2">
        <v>38</v>
      </c>
      <c r="O84" s="2">
        <v>29.4</v>
      </c>
      <c r="P84" s="2">
        <v>1351</v>
      </c>
    </row>
    <row r="85" spans="1:16" x14ac:dyDescent="0.35">
      <c r="A85" s="5">
        <v>44235</v>
      </c>
      <c r="B85" s="2">
        <v>433.6</v>
      </c>
      <c r="C85" s="2">
        <v>258</v>
      </c>
      <c r="D85" s="2">
        <v>158.66</v>
      </c>
      <c r="E85" s="2">
        <v>267</v>
      </c>
      <c r="F85" s="2">
        <v>13.6</v>
      </c>
      <c r="G85" s="2">
        <v>237</v>
      </c>
      <c r="H85" s="2">
        <v>1658</v>
      </c>
      <c r="I85" s="2">
        <v>1699</v>
      </c>
      <c r="J85" s="2">
        <v>935</v>
      </c>
      <c r="K85" s="2">
        <v>4110</v>
      </c>
      <c r="L85" s="2">
        <v>80.89</v>
      </c>
      <c r="M85" s="2">
        <v>7.05</v>
      </c>
      <c r="N85" s="2">
        <v>37.21</v>
      </c>
      <c r="O85" s="2">
        <v>28.43</v>
      </c>
      <c r="P85" s="2">
        <v>1384</v>
      </c>
    </row>
    <row r="86" spans="1:16" x14ac:dyDescent="0.35">
      <c r="A86" s="5">
        <v>44238</v>
      </c>
      <c r="B86" s="2">
        <v>426.5</v>
      </c>
      <c r="C86" s="2">
        <v>253</v>
      </c>
      <c r="D86" s="2">
        <v>157.43</v>
      </c>
      <c r="E86" s="2">
        <v>265</v>
      </c>
      <c r="F86" s="2">
        <v>13.9</v>
      </c>
      <c r="G86" s="2">
        <v>235</v>
      </c>
      <c r="H86" s="2">
        <v>1660</v>
      </c>
      <c r="I86" s="2">
        <v>1679</v>
      </c>
      <c r="J86" s="2">
        <v>935.2</v>
      </c>
      <c r="K86" s="2">
        <v>4119</v>
      </c>
      <c r="L86" s="2">
        <v>80.010000000000005</v>
      </c>
      <c r="M86" s="2">
        <v>6.83</v>
      </c>
      <c r="N86" s="2">
        <v>36.9</v>
      </c>
      <c r="O86" s="2">
        <v>27.98</v>
      </c>
      <c r="P86" s="2">
        <v>1360</v>
      </c>
    </row>
    <row r="87" spans="1:16" x14ac:dyDescent="0.35">
      <c r="A87" s="5">
        <v>44249</v>
      </c>
      <c r="B87" s="2">
        <v>424.6</v>
      </c>
      <c r="C87" s="2">
        <v>254.9</v>
      </c>
      <c r="D87" s="2">
        <v>155.11000000000001</v>
      </c>
      <c r="E87" s="2">
        <v>265</v>
      </c>
      <c r="F87" s="2">
        <v>13</v>
      </c>
      <c r="G87" s="2">
        <v>232.5</v>
      </c>
      <c r="H87" s="2">
        <v>1625</v>
      </c>
      <c r="I87" s="2">
        <v>1655</v>
      </c>
      <c r="J87" s="2">
        <v>940</v>
      </c>
      <c r="K87" s="2">
        <v>3955</v>
      </c>
      <c r="L87" s="2">
        <v>77</v>
      </c>
      <c r="M87" s="2">
        <v>6.74</v>
      </c>
      <c r="N87" s="2">
        <v>36.880000000000003</v>
      </c>
      <c r="O87" s="2">
        <v>28.3</v>
      </c>
      <c r="P87" s="2">
        <v>1300</v>
      </c>
    </row>
    <row r="88" spans="1:16" x14ac:dyDescent="0.35">
      <c r="A88" s="5">
        <v>44253</v>
      </c>
      <c r="B88" s="2">
        <v>420.5</v>
      </c>
      <c r="C88" s="2">
        <v>250</v>
      </c>
      <c r="D88" s="2">
        <v>152.65</v>
      </c>
      <c r="E88" s="2">
        <v>254</v>
      </c>
      <c r="F88" s="2">
        <v>12.7</v>
      </c>
      <c r="G88" s="2">
        <v>233.9</v>
      </c>
      <c r="H88" s="2">
        <v>1600</v>
      </c>
      <c r="I88" s="2">
        <v>1660</v>
      </c>
      <c r="J88" s="2">
        <v>938.9</v>
      </c>
      <c r="K88" s="2">
        <v>3990</v>
      </c>
      <c r="L88" s="2">
        <v>79.599999999999994</v>
      </c>
      <c r="M88" s="2">
        <v>6.4</v>
      </c>
      <c r="N88" s="2">
        <v>34.1</v>
      </c>
      <c r="O88" s="2">
        <v>29</v>
      </c>
      <c r="P88" s="2">
        <v>1289</v>
      </c>
    </row>
    <row r="89" spans="1:16" x14ac:dyDescent="0.35">
      <c r="A89" s="5">
        <v>44267</v>
      </c>
      <c r="B89" s="2">
        <v>421</v>
      </c>
      <c r="C89" s="2">
        <v>249</v>
      </c>
      <c r="D89" s="2">
        <v>150.38999999999999</v>
      </c>
      <c r="E89" s="2">
        <v>262.95</v>
      </c>
      <c r="F89" s="2">
        <v>12.9</v>
      </c>
      <c r="G89" s="2">
        <v>242</v>
      </c>
      <c r="H89" s="2">
        <v>1590</v>
      </c>
      <c r="I89" s="2">
        <v>1671</v>
      </c>
      <c r="J89" s="2">
        <v>939.9</v>
      </c>
      <c r="K89" s="2">
        <v>3988</v>
      </c>
      <c r="L89" s="2">
        <v>79.400000000000006</v>
      </c>
      <c r="M89" s="2">
        <v>6.28</v>
      </c>
      <c r="N89" s="2">
        <v>34</v>
      </c>
      <c r="O89" s="2">
        <v>26.69</v>
      </c>
      <c r="P89" s="2">
        <v>1270</v>
      </c>
    </row>
    <row r="90" spans="1:16" x14ac:dyDescent="0.35">
      <c r="A90" s="5">
        <v>44273</v>
      </c>
      <c r="B90" s="2">
        <v>415.05</v>
      </c>
      <c r="C90" s="2">
        <v>252.5</v>
      </c>
      <c r="D90" s="2">
        <v>154.41999999999999</v>
      </c>
      <c r="E90" s="2">
        <v>265</v>
      </c>
      <c r="F90" s="2">
        <v>13</v>
      </c>
      <c r="G90" s="2">
        <v>242.35</v>
      </c>
      <c r="H90" s="2">
        <v>1651</v>
      </c>
      <c r="I90" s="2">
        <v>1730</v>
      </c>
      <c r="J90" s="2">
        <v>960.1</v>
      </c>
      <c r="K90" s="2">
        <v>3890</v>
      </c>
      <c r="L90" s="2">
        <v>80.5</v>
      </c>
      <c r="M90" s="2">
        <v>6.22</v>
      </c>
      <c r="N90" s="2">
        <v>33.299999999999997</v>
      </c>
      <c r="O90" s="2">
        <v>25.7</v>
      </c>
      <c r="P90" s="2">
        <v>1390</v>
      </c>
    </row>
    <row r="91" spans="1:16" x14ac:dyDescent="0.35">
      <c r="A91" s="5">
        <v>44277</v>
      </c>
      <c r="B91" s="2">
        <v>418</v>
      </c>
      <c r="C91" s="2">
        <v>248.55</v>
      </c>
      <c r="D91" s="2">
        <v>154.57</v>
      </c>
      <c r="E91" s="2">
        <v>265</v>
      </c>
      <c r="F91" s="2">
        <v>13</v>
      </c>
      <c r="G91" s="2">
        <v>242</v>
      </c>
      <c r="H91" s="2">
        <v>1621</v>
      </c>
      <c r="I91" s="2">
        <v>1700</v>
      </c>
      <c r="J91" s="2">
        <v>955</v>
      </c>
      <c r="K91" s="2">
        <v>3890</v>
      </c>
      <c r="L91" s="2">
        <v>87.05</v>
      </c>
      <c r="M91" s="2">
        <v>6.08</v>
      </c>
      <c r="N91" s="2">
        <v>32.49</v>
      </c>
      <c r="O91" s="2">
        <v>25.79</v>
      </c>
      <c r="P91" s="2">
        <v>1366</v>
      </c>
    </row>
    <row r="92" spans="1:16" x14ac:dyDescent="0.35">
      <c r="A92" s="5">
        <v>44281</v>
      </c>
      <c r="B92" s="2">
        <v>420</v>
      </c>
      <c r="C92" s="2">
        <v>250</v>
      </c>
      <c r="D92" s="2">
        <v>157.58000000000001</v>
      </c>
      <c r="E92" s="2">
        <v>264</v>
      </c>
      <c r="F92" s="2">
        <v>12.9</v>
      </c>
      <c r="G92" s="2">
        <v>242.9</v>
      </c>
      <c r="H92" s="2">
        <v>1644</v>
      </c>
      <c r="I92" s="2">
        <v>1740</v>
      </c>
      <c r="J92" s="2">
        <v>962.5</v>
      </c>
      <c r="K92" s="2">
        <v>3800</v>
      </c>
      <c r="L92" s="2">
        <v>90.99</v>
      </c>
      <c r="M92" s="2">
        <v>6.15</v>
      </c>
      <c r="N92" s="2">
        <v>31.93</v>
      </c>
      <c r="O92" s="2">
        <v>25.82</v>
      </c>
      <c r="P92" s="2">
        <v>1328</v>
      </c>
    </row>
    <row r="93" spans="1:16" x14ac:dyDescent="0.35">
      <c r="A93" s="5">
        <v>44308</v>
      </c>
      <c r="B93" s="2">
        <v>426</v>
      </c>
      <c r="C93" s="2">
        <v>256.35000000000002</v>
      </c>
      <c r="D93" s="2">
        <v>157.58000000000001</v>
      </c>
      <c r="E93" s="2">
        <v>262</v>
      </c>
      <c r="F93" s="2">
        <v>13</v>
      </c>
      <c r="G93" s="2">
        <v>249</v>
      </c>
      <c r="H93" s="2">
        <v>1740</v>
      </c>
      <c r="I93" s="2">
        <v>1785</v>
      </c>
      <c r="J93" s="2">
        <v>966</v>
      </c>
      <c r="K93" s="2">
        <v>3890</v>
      </c>
      <c r="L93" s="2">
        <v>93</v>
      </c>
      <c r="M93" s="2">
        <v>6.65</v>
      </c>
      <c r="N93" s="2">
        <v>30.39</v>
      </c>
      <c r="O93" s="2">
        <v>25.8</v>
      </c>
      <c r="P93" s="2">
        <v>1452</v>
      </c>
    </row>
    <row r="94" spans="1:16" x14ac:dyDescent="0.35">
      <c r="A94" s="5">
        <v>44309</v>
      </c>
      <c r="B94" s="2">
        <v>429.9</v>
      </c>
      <c r="C94" s="2">
        <v>258</v>
      </c>
      <c r="D94" s="2">
        <v>157.58000000000001</v>
      </c>
      <c r="E94" s="2">
        <v>262</v>
      </c>
      <c r="F94" s="2">
        <v>13</v>
      </c>
      <c r="G94" s="2">
        <v>255</v>
      </c>
      <c r="H94" s="2">
        <v>1740</v>
      </c>
      <c r="I94" s="2">
        <v>1780</v>
      </c>
      <c r="J94" s="2">
        <v>975</v>
      </c>
      <c r="K94" s="2">
        <v>3930</v>
      </c>
      <c r="L94" s="2">
        <v>92</v>
      </c>
      <c r="M94" s="2">
        <v>6.57</v>
      </c>
      <c r="N94" s="2">
        <v>30.1</v>
      </c>
      <c r="O94" s="2">
        <v>25.7</v>
      </c>
      <c r="P94" s="2">
        <v>1456</v>
      </c>
    </row>
    <row r="95" spans="1:16" x14ac:dyDescent="0.35">
      <c r="A95" s="5">
        <v>44316</v>
      </c>
      <c r="B95" s="2">
        <v>430</v>
      </c>
      <c r="C95" s="2">
        <v>258</v>
      </c>
      <c r="D95" s="2">
        <v>156.59</v>
      </c>
      <c r="E95" s="2">
        <v>264.5</v>
      </c>
      <c r="F95" s="2">
        <v>12.95</v>
      </c>
      <c r="G95" s="2">
        <v>253</v>
      </c>
      <c r="H95" s="2">
        <v>1745</v>
      </c>
      <c r="I95" s="2">
        <v>1790</v>
      </c>
      <c r="J95" s="2">
        <v>982</v>
      </c>
      <c r="K95" s="2">
        <v>3950</v>
      </c>
      <c r="L95" s="2">
        <v>93.5</v>
      </c>
      <c r="M95" s="2">
        <v>6.68</v>
      </c>
      <c r="N95" s="2">
        <v>31</v>
      </c>
      <c r="O95" s="2">
        <v>25.5</v>
      </c>
      <c r="P95" s="2">
        <v>1430</v>
      </c>
    </row>
    <row r="96" spans="1:16" x14ac:dyDescent="0.35">
      <c r="A96" s="5">
        <v>44319</v>
      </c>
      <c r="B96" s="2">
        <v>434.05</v>
      </c>
      <c r="C96" s="2">
        <v>259.5</v>
      </c>
      <c r="D96" s="2">
        <v>157.43</v>
      </c>
      <c r="E96" s="2">
        <v>262.14999999999998</v>
      </c>
      <c r="F96" s="2">
        <v>12.95</v>
      </c>
      <c r="G96" s="2">
        <v>256</v>
      </c>
      <c r="H96" s="2">
        <v>1715</v>
      </c>
      <c r="I96" s="2">
        <v>1790</v>
      </c>
      <c r="J96" s="2">
        <v>999</v>
      </c>
      <c r="K96" s="2">
        <v>3955</v>
      </c>
      <c r="L96" s="2">
        <v>93.5</v>
      </c>
      <c r="M96" s="2">
        <v>6.71</v>
      </c>
      <c r="N96" s="2">
        <v>31.28</v>
      </c>
      <c r="O96" s="2">
        <v>25.5</v>
      </c>
      <c r="P96" s="2">
        <v>1462</v>
      </c>
    </row>
    <row r="97" spans="1:16" x14ac:dyDescent="0.35">
      <c r="A97" s="5">
        <v>44320</v>
      </c>
      <c r="B97" s="2">
        <v>436</v>
      </c>
      <c r="C97" s="2">
        <v>262</v>
      </c>
      <c r="D97" s="2">
        <v>157.58000000000001</v>
      </c>
      <c r="E97" s="2">
        <v>265</v>
      </c>
      <c r="F97" s="2">
        <v>13.1</v>
      </c>
      <c r="G97" s="2">
        <v>256</v>
      </c>
      <c r="H97" s="2">
        <v>1715</v>
      </c>
      <c r="I97" s="2">
        <v>1820</v>
      </c>
      <c r="J97" s="2">
        <v>999</v>
      </c>
      <c r="K97" s="2">
        <v>3955</v>
      </c>
      <c r="L97" s="2">
        <v>93.5</v>
      </c>
      <c r="M97" s="2">
        <v>6.97</v>
      </c>
      <c r="N97" s="2">
        <v>31.97</v>
      </c>
      <c r="O97" s="2">
        <v>25.8</v>
      </c>
      <c r="P97" s="2">
        <v>1448</v>
      </c>
    </row>
    <row r="98" spans="1:16" x14ac:dyDescent="0.35">
      <c r="A98" s="5">
        <v>44322</v>
      </c>
      <c r="B98" s="2">
        <v>445.05</v>
      </c>
      <c r="C98" s="2">
        <v>263</v>
      </c>
      <c r="D98" s="2">
        <v>157.58000000000001</v>
      </c>
      <c r="E98" s="2">
        <v>269</v>
      </c>
      <c r="F98" s="2">
        <v>13.1</v>
      </c>
      <c r="G98" s="2">
        <v>259</v>
      </c>
      <c r="H98" s="2">
        <v>1745</v>
      </c>
      <c r="I98" s="2">
        <v>1830</v>
      </c>
      <c r="J98" s="2">
        <v>999</v>
      </c>
      <c r="K98" s="2">
        <v>3960</v>
      </c>
      <c r="L98" s="2">
        <v>95</v>
      </c>
      <c r="M98" s="2">
        <v>6.8</v>
      </c>
      <c r="N98" s="2">
        <v>30.9</v>
      </c>
      <c r="O98" s="2">
        <v>25</v>
      </c>
      <c r="P98" s="2">
        <v>1460</v>
      </c>
    </row>
    <row r="99" spans="1:16" x14ac:dyDescent="0.35">
      <c r="A99" s="5">
        <v>44323</v>
      </c>
      <c r="B99" s="2">
        <v>446.85</v>
      </c>
      <c r="C99" s="2">
        <v>264.5</v>
      </c>
      <c r="D99" s="2">
        <v>155.61000000000001</v>
      </c>
      <c r="E99" s="2">
        <v>270</v>
      </c>
      <c r="F99" s="2">
        <v>12.95</v>
      </c>
      <c r="G99" s="2">
        <v>257.8</v>
      </c>
      <c r="H99" s="2">
        <v>1731</v>
      </c>
      <c r="I99" s="2">
        <v>1820</v>
      </c>
      <c r="J99" s="2">
        <v>1009</v>
      </c>
      <c r="K99" s="2">
        <v>3900</v>
      </c>
      <c r="L99" s="2">
        <v>94.7</v>
      </c>
      <c r="M99" s="2">
        <v>6.86</v>
      </c>
      <c r="N99" s="2">
        <v>30.72</v>
      </c>
      <c r="O99" s="2">
        <v>25</v>
      </c>
      <c r="P99" s="2">
        <v>1510</v>
      </c>
    </row>
    <row r="100" spans="1:16" x14ac:dyDescent="0.35">
      <c r="A100" s="5">
        <v>44326</v>
      </c>
      <c r="B100" s="2">
        <v>447.1</v>
      </c>
      <c r="C100" s="2">
        <v>265</v>
      </c>
      <c r="D100" s="2">
        <v>156.59</v>
      </c>
      <c r="E100" s="2">
        <v>270</v>
      </c>
      <c r="F100" s="2">
        <v>13</v>
      </c>
      <c r="G100" s="2">
        <v>259.5</v>
      </c>
      <c r="H100" s="2">
        <v>1735</v>
      </c>
      <c r="I100" s="2">
        <v>1825</v>
      </c>
      <c r="J100" s="2">
        <v>1010</v>
      </c>
      <c r="K100" s="2">
        <v>3950</v>
      </c>
      <c r="L100" s="2">
        <v>93.99</v>
      </c>
      <c r="M100" s="2">
        <v>6.95</v>
      </c>
      <c r="N100" s="2">
        <v>30.8</v>
      </c>
      <c r="O100" s="2">
        <v>25.1</v>
      </c>
      <c r="P100" s="2">
        <v>1545</v>
      </c>
    </row>
    <row r="101" spans="1:16" x14ac:dyDescent="0.35">
      <c r="A101" s="5">
        <v>44328</v>
      </c>
      <c r="B101" s="2">
        <v>446.05</v>
      </c>
      <c r="C101" s="2">
        <v>265.3</v>
      </c>
      <c r="D101" s="2">
        <v>155.69999999999999</v>
      </c>
      <c r="E101" s="2">
        <v>271</v>
      </c>
      <c r="F101" s="2">
        <v>12.85</v>
      </c>
      <c r="G101" s="2">
        <v>259</v>
      </c>
      <c r="H101" s="2">
        <v>1730</v>
      </c>
      <c r="I101" s="2">
        <v>1835</v>
      </c>
      <c r="J101" s="2">
        <v>1021</v>
      </c>
      <c r="K101" s="2">
        <v>3900</v>
      </c>
      <c r="L101" s="2">
        <v>93.5</v>
      </c>
      <c r="M101" s="2">
        <v>6.9</v>
      </c>
      <c r="N101" s="2">
        <v>30.4</v>
      </c>
      <c r="O101" s="2">
        <v>25.1</v>
      </c>
      <c r="P101" s="2">
        <v>1539</v>
      </c>
    </row>
    <row r="102" spans="1:16" x14ac:dyDescent="0.35">
      <c r="A102" s="5">
        <v>44333</v>
      </c>
      <c r="B102" s="2">
        <v>454.1</v>
      </c>
      <c r="C102" s="2">
        <v>267.89999999999998</v>
      </c>
      <c r="D102" s="2">
        <v>159.54</v>
      </c>
      <c r="E102" s="2">
        <v>279</v>
      </c>
      <c r="F102" s="2">
        <v>13</v>
      </c>
      <c r="G102" s="2">
        <v>264.89999999999998</v>
      </c>
      <c r="H102" s="2">
        <v>1755</v>
      </c>
      <c r="I102" s="2">
        <v>1845</v>
      </c>
      <c r="J102" s="2">
        <v>1010</v>
      </c>
      <c r="K102" s="2">
        <v>3861</v>
      </c>
      <c r="L102" s="2">
        <v>94.98</v>
      </c>
      <c r="M102" s="2">
        <v>6.9</v>
      </c>
      <c r="N102" s="2">
        <v>30</v>
      </c>
      <c r="O102" s="2">
        <v>25</v>
      </c>
      <c r="P102" s="2">
        <v>1558</v>
      </c>
    </row>
    <row r="103" spans="1:16" x14ac:dyDescent="0.35">
      <c r="A103" s="5">
        <v>44335</v>
      </c>
      <c r="B103" s="2">
        <v>461.25</v>
      </c>
      <c r="C103" s="2">
        <v>266</v>
      </c>
      <c r="D103" s="2">
        <v>158.56</v>
      </c>
      <c r="E103" s="2">
        <v>276.10000000000002</v>
      </c>
      <c r="F103" s="2">
        <v>13</v>
      </c>
      <c r="G103" s="2">
        <v>260</v>
      </c>
      <c r="H103" s="2">
        <v>1750</v>
      </c>
      <c r="I103" s="2">
        <v>1858</v>
      </c>
      <c r="J103" s="2">
        <v>1023</v>
      </c>
      <c r="K103" s="2">
        <v>3950</v>
      </c>
      <c r="L103" s="2">
        <v>94.73</v>
      </c>
      <c r="M103" s="2">
        <v>6.71</v>
      </c>
      <c r="N103" s="2">
        <v>29.97</v>
      </c>
      <c r="O103" s="2">
        <v>25</v>
      </c>
      <c r="P103" s="2">
        <v>1596</v>
      </c>
    </row>
    <row r="104" spans="1:16" x14ac:dyDescent="0.35">
      <c r="A104" s="5">
        <v>44336</v>
      </c>
      <c r="B104" s="2">
        <v>451</v>
      </c>
      <c r="C104" s="2">
        <v>264</v>
      </c>
      <c r="D104" s="2">
        <v>157.08000000000001</v>
      </c>
      <c r="E104" s="2">
        <v>276</v>
      </c>
      <c r="F104" s="2">
        <v>12.95</v>
      </c>
      <c r="G104" s="2">
        <v>251</v>
      </c>
      <c r="H104" s="2">
        <v>1720</v>
      </c>
      <c r="I104" s="2">
        <v>1840</v>
      </c>
      <c r="J104" s="2">
        <v>1016</v>
      </c>
      <c r="K104" s="2">
        <v>3950</v>
      </c>
      <c r="L104" s="2">
        <v>94.3</v>
      </c>
      <c r="M104" s="2">
        <v>6.79</v>
      </c>
      <c r="N104" s="2">
        <v>30</v>
      </c>
      <c r="O104" s="2">
        <v>24.95</v>
      </c>
      <c r="P104" s="2">
        <v>1548</v>
      </c>
    </row>
    <row r="105" spans="1:16" x14ac:dyDescent="0.35">
      <c r="A105" s="5">
        <v>44337</v>
      </c>
      <c r="B105" s="2">
        <v>456</v>
      </c>
      <c r="C105" s="2">
        <v>266</v>
      </c>
      <c r="D105" s="2">
        <v>157.08000000000001</v>
      </c>
      <c r="E105" s="2">
        <v>278.95</v>
      </c>
      <c r="F105" s="2">
        <v>12.95</v>
      </c>
      <c r="G105" s="2">
        <v>255</v>
      </c>
      <c r="H105" s="2">
        <v>1731</v>
      </c>
      <c r="I105" s="2">
        <v>1868</v>
      </c>
      <c r="J105" s="2">
        <v>1021</v>
      </c>
      <c r="K105" s="2">
        <v>3900</v>
      </c>
      <c r="L105" s="2">
        <v>93.6</v>
      </c>
      <c r="M105" s="2">
        <v>7.06</v>
      </c>
      <c r="N105" s="2">
        <v>30.58</v>
      </c>
      <c r="O105" s="2">
        <v>25.2</v>
      </c>
      <c r="P105" s="2">
        <v>1560</v>
      </c>
    </row>
    <row r="106" spans="1:16" x14ac:dyDescent="0.35">
      <c r="A106" s="5">
        <v>44340</v>
      </c>
      <c r="B106" s="2">
        <v>455.6</v>
      </c>
      <c r="C106" s="2">
        <v>263.05</v>
      </c>
      <c r="D106" s="2">
        <v>155.69999999999999</v>
      </c>
      <c r="E106" s="2">
        <v>279.89999999999998</v>
      </c>
      <c r="F106" s="2">
        <v>13</v>
      </c>
      <c r="G106" s="2">
        <v>252</v>
      </c>
      <c r="H106" s="2">
        <v>1721</v>
      </c>
      <c r="I106" s="2">
        <v>1840</v>
      </c>
      <c r="J106" s="2">
        <v>1050</v>
      </c>
      <c r="K106" s="2">
        <v>3960</v>
      </c>
      <c r="L106" s="2">
        <v>94.96</v>
      </c>
      <c r="M106" s="2">
        <v>7.34</v>
      </c>
      <c r="N106" s="2">
        <v>30.95</v>
      </c>
      <c r="O106" s="2">
        <v>26.2</v>
      </c>
      <c r="P106" s="2">
        <v>1498</v>
      </c>
    </row>
    <row r="107" spans="1:16" x14ac:dyDescent="0.35">
      <c r="A107" s="5">
        <v>44348</v>
      </c>
      <c r="B107" s="2">
        <v>459.7</v>
      </c>
      <c r="C107" s="2">
        <v>266.05</v>
      </c>
      <c r="D107" s="2">
        <v>154.62</v>
      </c>
      <c r="E107" s="2">
        <v>276.95</v>
      </c>
      <c r="F107" s="2">
        <v>13</v>
      </c>
      <c r="G107" s="2">
        <v>254.05</v>
      </c>
      <c r="H107" s="2">
        <v>1760</v>
      </c>
      <c r="I107" s="2">
        <v>1870</v>
      </c>
      <c r="J107" s="2">
        <v>1015</v>
      </c>
      <c r="K107" s="2">
        <v>3980</v>
      </c>
      <c r="L107" s="2">
        <v>95.5</v>
      </c>
      <c r="M107" s="2">
        <v>8.11</v>
      </c>
      <c r="N107" s="2">
        <v>32.229999999999997</v>
      </c>
      <c r="O107" s="2">
        <v>27.11</v>
      </c>
      <c r="P107" s="2">
        <v>1544</v>
      </c>
    </row>
    <row r="108" spans="1:16" x14ac:dyDescent="0.35">
      <c r="A108" s="5">
        <v>44349</v>
      </c>
      <c r="B108" s="2">
        <v>459.5</v>
      </c>
      <c r="C108" s="2">
        <v>268</v>
      </c>
      <c r="D108" s="2">
        <v>158.51</v>
      </c>
      <c r="E108" s="2">
        <v>274</v>
      </c>
      <c r="F108" s="2">
        <v>12.95</v>
      </c>
      <c r="G108" s="2">
        <v>264.2</v>
      </c>
      <c r="H108" s="2">
        <v>1767</v>
      </c>
      <c r="I108" s="2">
        <v>1901</v>
      </c>
      <c r="J108" s="2">
        <v>1035</v>
      </c>
      <c r="K108" s="2">
        <v>4000</v>
      </c>
      <c r="L108" s="2">
        <v>96.5</v>
      </c>
      <c r="M108" s="2">
        <v>8.43</v>
      </c>
      <c r="N108" s="2">
        <v>33.51</v>
      </c>
      <c r="O108" s="2">
        <v>28.19</v>
      </c>
      <c r="P108" s="2">
        <v>1536</v>
      </c>
    </row>
    <row r="109" spans="1:16" x14ac:dyDescent="0.35">
      <c r="A109" s="5">
        <v>44350</v>
      </c>
      <c r="B109" s="2">
        <v>465.05</v>
      </c>
      <c r="C109" s="2">
        <v>268</v>
      </c>
      <c r="D109" s="2">
        <v>158.07</v>
      </c>
      <c r="E109" s="2">
        <v>276</v>
      </c>
      <c r="F109" s="2">
        <v>13</v>
      </c>
      <c r="G109" s="2">
        <v>274.35000000000002</v>
      </c>
      <c r="H109" s="2">
        <v>1790</v>
      </c>
      <c r="I109" s="2">
        <v>1900</v>
      </c>
      <c r="J109" s="2">
        <v>1035</v>
      </c>
      <c r="K109" s="2">
        <v>4075</v>
      </c>
      <c r="L109" s="2">
        <v>98.5</v>
      </c>
      <c r="M109" s="2">
        <v>8.76</v>
      </c>
      <c r="N109" s="2">
        <v>34.85</v>
      </c>
      <c r="O109" s="2">
        <v>29.31</v>
      </c>
      <c r="P109" s="2">
        <v>1511</v>
      </c>
    </row>
    <row r="110" spans="1:16" x14ac:dyDescent="0.35">
      <c r="A110" s="5">
        <v>44351</v>
      </c>
      <c r="B110" s="2">
        <v>462.5</v>
      </c>
      <c r="C110" s="2">
        <v>267.5</v>
      </c>
      <c r="D110" s="2">
        <v>157.58000000000001</v>
      </c>
      <c r="E110" s="2">
        <v>275</v>
      </c>
      <c r="F110" s="2">
        <v>12.95</v>
      </c>
      <c r="G110" s="2">
        <v>270.5</v>
      </c>
      <c r="H110" s="2">
        <v>1790</v>
      </c>
      <c r="I110" s="2">
        <v>1880</v>
      </c>
      <c r="J110" s="2">
        <v>1042</v>
      </c>
      <c r="K110" s="2">
        <v>4070</v>
      </c>
      <c r="L110" s="2">
        <v>98.45</v>
      </c>
      <c r="M110" s="2">
        <v>8.9499999999999993</v>
      </c>
      <c r="N110" s="2">
        <v>35.119999999999997</v>
      </c>
      <c r="O110" s="2">
        <v>29.3</v>
      </c>
      <c r="P110" s="2">
        <v>1549</v>
      </c>
    </row>
    <row r="111" spans="1:16" x14ac:dyDescent="0.35">
      <c r="A111" s="5">
        <v>44354</v>
      </c>
      <c r="B111" s="2">
        <v>463</v>
      </c>
      <c r="C111" s="2">
        <v>267</v>
      </c>
      <c r="D111" s="2">
        <v>158.76</v>
      </c>
      <c r="E111" s="2">
        <v>272</v>
      </c>
      <c r="F111" s="2">
        <v>12.95</v>
      </c>
      <c r="G111" s="2">
        <v>271</v>
      </c>
      <c r="H111" s="2">
        <v>1790</v>
      </c>
      <c r="I111" s="2">
        <v>1883</v>
      </c>
      <c r="J111" s="2">
        <v>1022</v>
      </c>
      <c r="K111" s="2">
        <v>4149</v>
      </c>
      <c r="L111" s="2">
        <v>98</v>
      </c>
      <c r="M111" s="2">
        <v>9.3000000000000007</v>
      </c>
      <c r="N111" s="2">
        <v>36.520000000000003</v>
      </c>
      <c r="O111" s="2">
        <v>30</v>
      </c>
      <c r="P111" s="2">
        <v>1515</v>
      </c>
    </row>
    <row r="112" spans="1:16" x14ac:dyDescent="0.35">
      <c r="A112" s="5">
        <v>44355</v>
      </c>
      <c r="B112" s="2">
        <v>465</v>
      </c>
      <c r="C112" s="2">
        <v>266</v>
      </c>
      <c r="D112" s="2">
        <v>157.58000000000001</v>
      </c>
      <c r="E112" s="2">
        <v>277.39999999999998</v>
      </c>
      <c r="F112" s="2">
        <v>13</v>
      </c>
      <c r="G112" s="2">
        <v>272</v>
      </c>
      <c r="H112" s="2">
        <v>1795</v>
      </c>
      <c r="I112" s="2">
        <v>1885</v>
      </c>
      <c r="J112" s="2">
        <v>1035</v>
      </c>
      <c r="K112" s="2">
        <v>3991</v>
      </c>
      <c r="L112" s="2">
        <v>97</v>
      </c>
      <c r="M112" s="2">
        <v>9.67</v>
      </c>
      <c r="N112" s="2">
        <v>37.979999999999997</v>
      </c>
      <c r="O112" s="2">
        <v>31</v>
      </c>
      <c r="P112" s="2">
        <v>1500</v>
      </c>
    </row>
    <row r="113" spans="1:16" x14ac:dyDescent="0.35">
      <c r="A113" s="5">
        <v>44356</v>
      </c>
      <c r="B113" s="2">
        <v>462</v>
      </c>
      <c r="C113" s="2">
        <v>266</v>
      </c>
      <c r="D113" s="2">
        <v>158.07</v>
      </c>
      <c r="E113" s="2">
        <v>271.10000000000002</v>
      </c>
      <c r="F113" s="2">
        <v>13.05</v>
      </c>
      <c r="G113" s="2">
        <v>269.85000000000002</v>
      </c>
      <c r="H113" s="2">
        <v>1795</v>
      </c>
      <c r="I113" s="2">
        <v>1900</v>
      </c>
      <c r="J113" s="2">
        <v>1036</v>
      </c>
      <c r="K113" s="2">
        <v>4105</v>
      </c>
      <c r="L113" s="2">
        <v>93.01</v>
      </c>
      <c r="M113" s="2">
        <v>9.85</v>
      </c>
      <c r="N113" s="2">
        <v>39.49</v>
      </c>
      <c r="O113" s="2">
        <v>32.229999999999997</v>
      </c>
      <c r="P113" s="2">
        <v>1492</v>
      </c>
    </row>
    <row r="114" spans="1:16" x14ac:dyDescent="0.35">
      <c r="A114" s="5">
        <v>44357</v>
      </c>
      <c r="B114" s="2">
        <v>464.15</v>
      </c>
      <c r="C114" s="2">
        <v>266</v>
      </c>
      <c r="D114" s="2">
        <v>158.94999999999999</v>
      </c>
      <c r="E114" s="2">
        <v>273</v>
      </c>
      <c r="F114" s="2">
        <v>12.85</v>
      </c>
      <c r="G114" s="2">
        <v>273</v>
      </c>
      <c r="H114" s="2">
        <v>1780</v>
      </c>
      <c r="I114" s="2">
        <v>1881</v>
      </c>
      <c r="J114" s="2">
        <v>1040</v>
      </c>
      <c r="K114" s="2">
        <v>3970</v>
      </c>
      <c r="L114" s="2">
        <v>93</v>
      </c>
      <c r="M114" s="2">
        <v>9.82</v>
      </c>
      <c r="N114" s="2">
        <v>39.090000000000003</v>
      </c>
      <c r="O114" s="2">
        <v>32.9</v>
      </c>
      <c r="P114" s="2">
        <v>1491</v>
      </c>
    </row>
    <row r="115" spans="1:16" x14ac:dyDescent="0.35">
      <c r="A115" s="5">
        <v>44358</v>
      </c>
      <c r="B115" s="2">
        <v>462.6</v>
      </c>
      <c r="C115" s="2">
        <v>267</v>
      </c>
      <c r="D115" s="2">
        <v>157.63</v>
      </c>
      <c r="E115" s="2">
        <v>276</v>
      </c>
      <c r="F115" s="2">
        <v>13.05</v>
      </c>
      <c r="G115" s="2">
        <v>283</v>
      </c>
      <c r="H115" s="2">
        <v>1822</v>
      </c>
      <c r="I115" s="2">
        <v>1880</v>
      </c>
      <c r="J115" s="2">
        <v>1040</v>
      </c>
      <c r="K115" s="2">
        <v>4000</v>
      </c>
      <c r="L115" s="2">
        <v>94.45</v>
      </c>
      <c r="M115" s="2">
        <v>10.210000000000001</v>
      </c>
      <c r="N115" s="2">
        <v>40.65</v>
      </c>
      <c r="O115" s="2">
        <v>34.21</v>
      </c>
      <c r="P115" s="2">
        <v>1485</v>
      </c>
    </row>
    <row r="116" spans="1:16" x14ac:dyDescent="0.35">
      <c r="A116" s="5">
        <v>44361</v>
      </c>
      <c r="B116" s="2">
        <v>467</v>
      </c>
      <c r="C116" s="2">
        <v>267.7</v>
      </c>
      <c r="D116" s="2">
        <v>161.02000000000001</v>
      </c>
      <c r="E116" s="2">
        <v>272.05</v>
      </c>
      <c r="F116" s="2">
        <v>12.9</v>
      </c>
      <c r="G116" s="2">
        <v>293</v>
      </c>
      <c r="H116" s="2">
        <v>1858</v>
      </c>
      <c r="I116" s="2">
        <v>1900</v>
      </c>
      <c r="J116" s="2">
        <v>1035</v>
      </c>
      <c r="K116" s="2">
        <v>4100</v>
      </c>
      <c r="L116" s="2">
        <v>94</v>
      </c>
      <c r="M116" s="2">
        <v>10.61</v>
      </c>
      <c r="N116" s="2">
        <v>42.27</v>
      </c>
      <c r="O116" s="2">
        <v>35.57</v>
      </c>
      <c r="P116" s="2">
        <v>1499</v>
      </c>
    </row>
    <row r="117" spans="1:16" x14ac:dyDescent="0.35">
      <c r="A117" s="5">
        <v>44362</v>
      </c>
      <c r="B117" s="2">
        <v>463.85</v>
      </c>
      <c r="C117" s="2">
        <v>266</v>
      </c>
      <c r="D117" s="2">
        <v>161.02000000000001</v>
      </c>
      <c r="E117" s="2">
        <v>272.5</v>
      </c>
      <c r="F117" s="2">
        <v>12.95</v>
      </c>
      <c r="G117" s="2">
        <v>287.89999999999998</v>
      </c>
      <c r="H117" s="2">
        <v>1840</v>
      </c>
      <c r="I117" s="2">
        <v>1874</v>
      </c>
      <c r="J117" s="2">
        <v>1030</v>
      </c>
      <c r="K117" s="2">
        <v>4050</v>
      </c>
      <c r="L117" s="2">
        <v>93.2</v>
      </c>
      <c r="M117" s="2">
        <v>11.03</v>
      </c>
      <c r="N117" s="2">
        <v>43.96</v>
      </c>
      <c r="O117" s="2">
        <v>36.99</v>
      </c>
      <c r="P117" s="2">
        <v>1497</v>
      </c>
    </row>
    <row r="118" spans="1:16" x14ac:dyDescent="0.35">
      <c r="A118" s="5">
        <v>44363</v>
      </c>
      <c r="B118" s="2">
        <v>461.3</v>
      </c>
      <c r="C118" s="2">
        <v>266</v>
      </c>
      <c r="D118" s="2">
        <v>161.12</v>
      </c>
      <c r="E118" s="2">
        <v>272.5</v>
      </c>
      <c r="F118" s="2">
        <v>12.9</v>
      </c>
      <c r="G118" s="2">
        <v>287.10000000000002</v>
      </c>
      <c r="H118" s="2">
        <v>1825</v>
      </c>
      <c r="I118" s="2">
        <v>1880</v>
      </c>
      <c r="J118" s="2">
        <v>1035</v>
      </c>
      <c r="K118" s="2">
        <v>4100</v>
      </c>
      <c r="L118" s="2">
        <v>94.49</v>
      </c>
      <c r="M118" s="2">
        <v>10.59</v>
      </c>
      <c r="N118" s="2">
        <v>42.21</v>
      </c>
      <c r="O118" s="2">
        <v>35.520000000000003</v>
      </c>
      <c r="P118" s="2">
        <v>1465</v>
      </c>
    </row>
    <row r="119" spans="1:16" x14ac:dyDescent="0.35">
      <c r="A119" s="5">
        <v>44364</v>
      </c>
      <c r="B119" s="2">
        <v>461.3</v>
      </c>
      <c r="C119" s="2">
        <v>265.5</v>
      </c>
      <c r="D119" s="2">
        <v>162.4</v>
      </c>
      <c r="E119" s="2">
        <v>272.39999999999998</v>
      </c>
      <c r="F119" s="2">
        <v>13</v>
      </c>
      <c r="G119" s="2">
        <v>280</v>
      </c>
      <c r="H119" s="2">
        <v>1830</v>
      </c>
      <c r="I119" s="2">
        <v>1870</v>
      </c>
      <c r="J119" s="2">
        <v>1025</v>
      </c>
      <c r="K119" s="2">
        <v>4110</v>
      </c>
      <c r="L119" s="2">
        <v>94.39</v>
      </c>
      <c r="M119" s="2">
        <v>10.59</v>
      </c>
      <c r="N119" s="2">
        <v>41.6</v>
      </c>
      <c r="O119" s="2">
        <v>34.119999999999997</v>
      </c>
      <c r="P119" s="2">
        <v>1463</v>
      </c>
    </row>
    <row r="120" spans="1:16" x14ac:dyDescent="0.35">
      <c r="A120" s="5">
        <v>44369</v>
      </c>
      <c r="B120" s="2">
        <v>464.5</v>
      </c>
      <c r="C120" s="2">
        <v>267</v>
      </c>
      <c r="D120" s="2">
        <v>165.65</v>
      </c>
      <c r="E120" s="2">
        <v>273.5</v>
      </c>
      <c r="F120" s="2">
        <v>12.9</v>
      </c>
      <c r="G120" s="2">
        <v>280</v>
      </c>
      <c r="H120" s="2">
        <v>1836</v>
      </c>
      <c r="I120" s="2">
        <v>1848</v>
      </c>
      <c r="J120" s="2">
        <v>1028</v>
      </c>
      <c r="K120" s="2">
        <v>4131</v>
      </c>
      <c r="L120" s="2">
        <v>92.56</v>
      </c>
      <c r="M120" s="2">
        <v>11.29</v>
      </c>
      <c r="N120" s="2">
        <v>45.5</v>
      </c>
      <c r="O120" s="2">
        <v>37</v>
      </c>
      <c r="P120" s="2">
        <v>1440</v>
      </c>
    </row>
    <row r="121" spans="1:16" x14ac:dyDescent="0.35">
      <c r="A121" s="5">
        <v>44371</v>
      </c>
      <c r="B121" s="2">
        <v>461</v>
      </c>
      <c r="C121" s="2">
        <v>266</v>
      </c>
      <c r="D121" s="2">
        <v>165.95</v>
      </c>
      <c r="E121" s="2">
        <v>275</v>
      </c>
      <c r="F121" s="2">
        <v>13</v>
      </c>
      <c r="G121" s="2">
        <v>274.3</v>
      </c>
      <c r="H121" s="2">
        <v>1845</v>
      </c>
      <c r="I121" s="2">
        <v>1823</v>
      </c>
      <c r="J121" s="2">
        <v>1025</v>
      </c>
      <c r="K121" s="2">
        <v>4249</v>
      </c>
      <c r="L121" s="2">
        <v>93.1</v>
      </c>
      <c r="M121" s="2">
        <v>11.15</v>
      </c>
      <c r="N121" s="2">
        <v>42.9</v>
      </c>
      <c r="O121" s="2">
        <v>38</v>
      </c>
      <c r="P121" s="2">
        <v>1512</v>
      </c>
    </row>
    <row r="122" spans="1:16" x14ac:dyDescent="0.35">
      <c r="A122" s="5">
        <v>44372</v>
      </c>
      <c r="B122" s="2">
        <v>460</v>
      </c>
      <c r="C122" s="2">
        <v>265</v>
      </c>
      <c r="D122" s="2">
        <v>165.95</v>
      </c>
      <c r="E122" s="2">
        <v>273.10000000000002</v>
      </c>
      <c r="F122" s="2">
        <v>13.05</v>
      </c>
      <c r="G122" s="2">
        <v>268</v>
      </c>
      <c r="H122" s="2">
        <v>1825</v>
      </c>
      <c r="I122" s="2">
        <v>1849</v>
      </c>
      <c r="J122" s="2">
        <v>1035</v>
      </c>
      <c r="K122" s="2">
        <v>4280</v>
      </c>
      <c r="L122" s="2">
        <v>90</v>
      </c>
      <c r="M122" s="2">
        <v>10.71</v>
      </c>
      <c r="N122" s="2">
        <v>41.19</v>
      </c>
      <c r="O122" s="2">
        <v>37.49</v>
      </c>
      <c r="P122" s="2">
        <v>1525</v>
      </c>
    </row>
    <row r="123" spans="1:16" x14ac:dyDescent="0.35">
      <c r="A123" s="5">
        <v>44375</v>
      </c>
      <c r="B123" s="2">
        <v>461</v>
      </c>
      <c r="C123" s="2">
        <v>267</v>
      </c>
      <c r="D123" s="2">
        <v>167.38</v>
      </c>
      <c r="E123" s="2">
        <v>276</v>
      </c>
      <c r="F123" s="2">
        <v>13.05</v>
      </c>
      <c r="G123" s="2">
        <v>273</v>
      </c>
      <c r="H123" s="2">
        <v>1844</v>
      </c>
      <c r="I123" s="2">
        <v>1843</v>
      </c>
      <c r="J123" s="2">
        <v>1039</v>
      </c>
      <c r="K123" s="2">
        <v>4274</v>
      </c>
      <c r="L123" s="2">
        <v>92</v>
      </c>
      <c r="M123" s="2">
        <v>10.29</v>
      </c>
      <c r="N123" s="2">
        <v>40.1</v>
      </c>
      <c r="O123" s="2">
        <v>36.25</v>
      </c>
      <c r="P123" s="2">
        <v>1530</v>
      </c>
    </row>
    <row r="124" spans="1:16" x14ac:dyDescent="0.35">
      <c r="A124" s="5">
        <v>44377</v>
      </c>
      <c r="B124" s="2">
        <v>459</v>
      </c>
      <c r="C124" s="2">
        <v>266</v>
      </c>
      <c r="D124" s="2">
        <v>166.14</v>
      </c>
      <c r="E124" s="2">
        <v>274</v>
      </c>
      <c r="F124" s="2">
        <v>13</v>
      </c>
      <c r="G124" s="2">
        <v>272.85000000000002</v>
      </c>
      <c r="H124" s="2">
        <v>1845</v>
      </c>
      <c r="I124" s="2">
        <v>1870</v>
      </c>
      <c r="J124" s="2">
        <v>1027</v>
      </c>
      <c r="K124" s="2">
        <v>4264</v>
      </c>
      <c r="L124" s="2">
        <v>93</v>
      </c>
      <c r="M124" s="2">
        <v>10.48</v>
      </c>
      <c r="N124" s="2">
        <v>42.33</v>
      </c>
      <c r="O124" s="2">
        <v>36.6</v>
      </c>
      <c r="P124" s="2">
        <v>1450</v>
      </c>
    </row>
    <row r="125" spans="1:16" x14ac:dyDescent="0.35">
      <c r="A125" s="5">
        <v>44378</v>
      </c>
      <c r="B125" s="2">
        <v>462</v>
      </c>
      <c r="C125" s="2">
        <v>265.89999999999998</v>
      </c>
      <c r="D125" s="2">
        <v>166.44</v>
      </c>
      <c r="E125" s="2">
        <v>275</v>
      </c>
      <c r="F125" s="2">
        <v>13</v>
      </c>
      <c r="G125" s="2">
        <v>272</v>
      </c>
      <c r="H125" s="2">
        <v>1842</v>
      </c>
      <c r="I125" s="2">
        <v>1868</v>
      </c>
      <c r="J125" s="2">
        <v>1029</v>
      </c>
      <c r="K125" s="2">
        <v>4279</v>
      </c>
      <c r="L125" s="2">
        <v>92.52</v>
      </c>
      <c r="M125" s="2">
        <v>10.6</v>
      </c>
      <c r="N125" s="2">
        <v>43.04</v>
      </c>
      <c r="O125" s="2">
        <v>37.200000000000003</v>
      </c>
      <c r="P125" s="2">
        <v>1507</v>
      </c>
    </row>
    <row r="126" spans="1:16" x14ac:dyDescent="0.35">
      <c r="A126" s="5">
        <v>44379</v>
      </c>
      <c r="B126" s="2">
        <v>460</v>
      </c>
      <c r="C126" s="2">
        <v>265</v>
      </c>
      <c r="D126" s="2">
        <v>169.39</v>
      </c>
      <c r="E126" s="2">
        <v>277</v>
      </c>
      <c r="F126" s="2">
        <v>12.8</v>
      </c>
      <c r="G126" s="2">
        <v>271</v>
      </c>
      <c r="H126" s="2">
        <v>1839</v>
      </c>
      <c r="I126" s="2">
        <v>1850</v>
      </c>
      <c r="J126" s="2">
        <v>1040</v>
      </c>
      <c r="K126" s="2">
        <v>4278</v>
      </c>
      <c r="L126" s="2">
        <v>93.5</v>
      </c>
      <c r="M126" s="2">
        <v>10.18</v>
      </c>
      <c r="N126" s="2">
        <v>42.39</v>
      </c>
      <c r="O126" s="2">
        <v>35.729999999999997</v>
      </c>
      <c r="P126" s="2">
        <v>1500</v>
      </c>
    </row>
    <row r="127" spans="1:16" x14ac:dyDescent="0.35">
      <c r="A127" s="5">
        <v>44382</v>
      </c>
      <c r="B127" s="2">
        <v>442</v>
      </c>
      <c r="C127" s="2">
        <v>265</v>
      </c>
      <c r="D127" s="2">
        <v>169.39</v>
      </c>
      <c r="E127" s="2">
        <v>274</v>
      </c>
      <c r="F127" s="2">
        <v>13</v>
      </c>
      <c r="G127" s="2">
        <v>272</v>
      </c>
      <c r="H127" s="2">
        <v>1815</v>
      </c>
      <c r="I127" s="2">
        <v>1850</v>
      </c>
      <c r="J127" s="2">
        <v>1026</v>
      </c>
      <c r="K127" s="2">
        <v>4278</v>
      </c>
      <c r="L127" s="2">
        <v>92</v>
      </c>
      <c r="M127" s="2">
        <v>9.7799999999999994</v>
      </c>
      <c r="N127" s="2">
        <v>40.700000000000003</v>
      </c>
      <c r="O127" s="2">
        <v>34.31</v>
      </c>
      <c r="P127" s="2">
        <v>1461</v>
      </c>
    </row>
    <row r="128" spans="1:16" x14ac:dyDescent="0.35">
      <c r="A128" s="5">
        <v>44393</v>
      </c>
      <c r="B128" s="2">
        <v>442.1</v>
      </c>
      <c r="C128" s="2">
        <v>267.95</v>
      </c>
      <c r="D128" s="2">
        <v>164.96</v>
      </c>
      <c r="E128" s="2">
        <v>278.10000000000002</v>
      </c>
      <c r="F128" s="2">
        <v>12.85</v>
      </c>
      <c r="G128" s="2">
        <v>261.10000000000002</v>
      </c>
      <c r="H128" s="2">
        <v>1770</v>
      </c>
      <c r="I128" s="2">
        <v>1720</v>
      </c>
      <c r="J128" s="2">
        <v>970.1</v>
      </c>
      <c r="K128" s="2">
        <v>4265</v>
      </c>
      <c r="L128" s="2">
        <v>92.88</v>
      </c>
      <c r="M128" s="2">
        <v>10.199999999999999</v>
      </c>
      <c r="N128" s="2">
        <v>41.7</v>
      </c>
      <c r="O128" s="2">
        <v>34.18</v>
      </c>
      <c r="P128" s="2">
        <v>1505</v>
      </c>
    </row>
    <row r="129" spans="1:16" x14ac:dyDescent="0.35">
      <c r="A129" s="5">
        <v>44404</v>
      </c>
      <c r="B129" s="2">
        <v>445.25</v>
      </c>
      <c r="C129" s="2">
        <v>266</v>
      </c>
      <c r="D129" s="2">
        <v>166.44</v>
      </c>
      <c r="E129" s="2">
        <v>280</v>
      </c>
      <c r="F129" s="2">
        <v>12.8</v>
      </c>
      <c r="G129" s="2">
        <v>263.5</v>
      </c>
      <c r="H129" s="2">
        <v>1791</v>
      </c>
      <c r="I129" s="2">
        <v>1740</v>
      </c>
      <c r="J129" s="2">
        <v>976.1</v>
      </c>
      <c r="K129" s="2">
        <v>4250</v>
      </c>
      <c r="L129" s="2">
        <v>92.98</v>
      </c>
      <c r="M129" s="2">
        <v>9.89</v>
      </c>
      <c r="N129" s="2">
        <v>38.4</v>
      </c>
      <c r="O129" s="2">
        <v>32.9</v>
      </c>
      <c r="P129" s="2">
        <v>1511</v>
      </c>
    </row>
    <row r="130" spans="1:16" x14ac:dyDescent="0.35">
      <c r="A130" s="5">
        <v>44410</v>
      </c>
      <c r="B130" s="2">
        <v>464</v>
      </c>
      <c r="C130" s="2">
        <v>271.5</v>
      </c>
      <c r="D130" s="2">
        <v>164.47</v>
      </c>
      <c r="E130" s="2">
        <v>280</v>
      </c>
      <c r="F130" s="2">
        <v>12.85</v>
      </c>
      <c r="G130" s="2">
        <v>268.5</v>
      </c>
      <c r="H130" s="2">
        <v>1830</v>
      </c>
      <c r="I130" s="2">
        <v>1799</v>
      </c>
      <c r="J130" s="2">
        <v>980</v>
      </c>
      <c r="K130" s="2">
        <v>4200</v>
      </c>
      <c r="L130" s="2">
        <v>92.97</v>
      </c>
      <c r="M130" s="2">
        <v>9.57</v>
      </c>
      <c r="N130" s="2">
        <v>37.020000000000003</v>
      </c>
      <c r="O130" s="2">
        <v>32.1</v>
      </c>
      <c r="P130" s="2">
        <v>1480</v>
      </c>
    </row>
    <row r="131" spans="1:16" x14ac:dyDescent="0.35">
      <c r="A131" s="5">
        <v>44412</v>
      </c>
      <c r="B131" s="2">
        <v>460.55</v>
      </c>
      <c r="C131" s="2">
        <v>271</v>
      </c>
      <c r="D131" s="2">
        <v>166.44</v>
      </c>
      <c r="E131" s="2">
        <v>281.85000000000002</v>
      </c>
      <c r="F131" s="2">
        <v>12.9</v>
      </c>
      <c r="G131" s="2">
        <v>270</v>
      </c>
      <c r="H131" s="2">
        <v>1800</v>
      </c>
      <c r="I131" s="2">
        <v>1781</v>
      </c>
      <c r="J131" s="2">
        <v>976</v>
      </c>
      <c r="K131" s="2">
        <v>4200</v>
      </c>
      <c r="L131" s="2">
        <v>94</v>
      </c>
      <c r="M131" s="2">
        <v>10.34</v>
      </c>
      <c r="N131" s="2">
        <v>40.03</v>
      </c>
      <c r="O131" s="2">
        <v>34.200000000000003</v>
      </c>
      <c r="P131" s="2">
        <v>1485</v>
      </c>
    </row>
    <row r="132" spans="1:16" x14ac:dyDescent="0.35">
      <c r="A132" s="5">
        <v>44420</v>
      </c>
      <c r="B132" s="2">
        <v>465.05</v>
      </c>
      <c r="C132" s="2">
        <v>268</v>
      </c>
      <c r="D132" s="2">
        <v>167.42</v>
      </c>
      <c r="E132" s="2">
        <v>277</v>
      </c>
      <c r="F132" s="2">
        <v>13.15</v>
      </c>
      <c r="G132" s="2">
        <v>271</v>
      </c>
      <c r="H132" s="2">
        <v>1848</v>
      </c>
      <c r="I132" s="2">
        <v>1780</v>
      </c>
      <c r="J132" s="2">
        <v>980</v>
      </c>
      <c r="K132" s="2">
        <v>4250</v>
      </c>
      <c r="L132" s="2">
        <v>93</v>
      </c>
      <c r="M132" s="2">
        <v>10.01</v>
      </c>
      <c r="N132" s="2">
        <v>38.270000000000003</v>
      </c>
      <c r="O132" s="2">
        <v>33.4</v>
      </c>
      <c r="P132" s="2">
        <v>1490</v>
      </c>
    </row>
    <row r="133" spans="1:16" x14ac:dyDescent="0.35">
      <c r="A133" s="5">
        <v>44421</v>
      </c>
      <c r="B133" s="2">
        <v>469</v>
      </c>
      <c r="C133" s="2">
        <v>267.8</v>
      </c>
      <c r="D133" s="2">
        <v>170.38</v>
      </c>
      <c r="E133" s="2">
        <v>283</v>
      </c>
      <c r="F133" s="2">
        <v>13.2</v>
      </c>
      <c r="G133" s="2">
        <v>274</v>
      </c>
      <c r="H133" s="2">
        <v>1870</v>
      </c>
      <c r="I133" s="2">
        <v>1780</v>
      </c>
      <c r="J133" s="2">
        <v>975</v>
      </c>
      <c r="K133" s="2">
        <v>4277</v>
      </c>
      <c r="L133" s="2">
        <v>93.49</v>
      </c>
      <c r="M133" s="2">
        <v>10.41</v>
      </c>
      <c r="N133" s="2">
        <v>38.979999999999997</v>
      </c>
      <c r="O133" s="2">
        <v>33.909999999999997</v>
      </c>
      <c r="P133" s="2">
        <v>1485</v>
      </c>
    </row>
    <row r="134" spans="1:16" x14ac:dyDescent="0.35">
      <c r="A134" s="5">
        <v>44431</v>
      </c>
      <c r="B134" s="2">
        <v>470</v>
      </c>
      <c r="C134" s="2">
        <v>272</v>
      </c>
      <c r="D134" s="2">
        <v>174.71</v>
      </c>
      <c r="E134" s="2">
        <v>282</v>
      </c>
      <c r="F134" s="2">
        <v>13.35</v>
      </c>
      <c r="G134" s="2">
        <v>272</v>
      </c>
      <c r="H134" s="2">
        <v>1900</v>
      </c>
      <c r="I134" s="2">
        <v>1807</v>
      </c>
      <c r="J134" s="2">
        <v>995</v>
      </c>
      <c r="K134" s="2">
        <v>4275</v>
      </c>
      <c r="L134" s="2">
        <v>94.66</v>
      </c>
      <c r="M134" s="2">
        <v>11.5</v>
      </c>
      <c r="N134" s="2">
        <v>42.5</v>
      </c>
      <c r="O134" s="2">
        <v>34.6</v>
      </c>
      <c r="P134" s="2">
        <v>1500</v>
      </c>
    </row>
    <row r="135" spans="1:16" x14ac:dyDescent="0.35">
      <c r="A135" s="5">
        <v>44432</v>
      </c>
      <c r="B135" s="2">
        <v>470</v>
      </c>
      <c r="C135" s="2">
        <v>270</v>
      </c>
      <c r="D135" s="2">
        <v>171.36</v>
      </c>
      <c r="E135" s="2">
        <v>284</v>
      </c>
      <c r="F135" s="2">
        <v>13.3</v>
      </c>
      <c r="G135" s="2">
        <v>275</v>
      </c>
      <c r="H135" s="2">
        <v>1920</v>
      </c>
      <c r="I135" s="2">
        <v>1807</v>
      </c>
      <c r="J135" s="2">
        <v>987</v>
      </c>
      <c r="K135" s="2">
        <v>4275</v>
      </c>
      <c r="L135" s="2">
        <v>95.61</v>
      </c>
      <c r="M135" s="2">
        <v>11.45</v>
      </c>
      <c r="N135" s="2">
        <v>42.88</v>
      </c>
      <c r="O135" s="2">
        <v>35.5</v>
      </c>
      <c r="P135" s="2">
        <v>1509</v>
      </c>
    </row>
    <row r="136" spans="1:16" x14ac:dyDescent="0.35">
      <c r="A136" s="5">
        <v>44434</v>
      </c>
      <c r="B136" s="2">
        <v>470</v>
      </c>
      <c r="C136" s="2">
        <v>272</v>
      </c>
      <c r="D136" s="2">
        <v>172.35</v>
      </c>
      <c r="E136" s="2">
        <v>284.45</v>
      </c>
      <c r="F136" s="2">
        <v>13.3</v>
      </c>
      <c r="G136" s="2">
        <v>273</v>
      </c>
      <c r="H136" s="2">
        <v>1925</v>
      </c>
      <c r="I136" s="2">
        <v>1792</v>
      </c>
      <c r="J136" s="2">
        <v>982.5</v>
      </c>
      <c r="K136" s="2">
        <v>4131</v>
      </c>
      <c r="L136" s="2">
        <v>96.69</v>
      </c>
      <c r="M136" s="2">
        <v>11.55</v>
      </c>
      <c r="N136" s="2">
        <v>43</v>
      </c>
      <c r="O136" s="2">
        <v>35.6</v>
      </c>
      <c r="P136" s="2">
        <v>1498</v>
      </c>
    </row>
    <row r="137" spans="1:16" x14ac:dyDescent="0.35">
      <c r="A137" s="5">
        <v>44435</v>
      </c>
      <c r="B137" s="2">
        <v>476</v>
      </c>
      <c r="C137" s="2">
        <v>272</v>
      </c>
      <c r="D137" s="2">
        <v>172.35</v>
      </c>
      <c r="E137" s="2">
        <v>285.95</v>
      </c>
      <c r="F137" s="2">
        <v>13.25</v>
      </c>
      <c r="G137" s="2">
        <v>277</v>
      </c>
      <c r="H137" s="2">
        <v>1950</v>
      </c>
      <c r="I137" s="2">
        <v>1820</v>
      </c>
      <c r="J137" s="2">
        <v>970.1</v>
      </c>
      <c r="K137" s="2">
        <v>4295</v>
      </c>
      <c r="L137" s="2">
        <v>94</v>
      </c>
      <c r="M137" s="2">
        <v>11.63</v>
      </c>
      <c r="N137" s="2">
        <v>43.28</v>
      </c>
      <c r="O137" s="2">
        <v>35.75</v>
      </c>
      <c r="P137" s="2">
        <v>1498</v>
      </c>
    </row>
    <row r="138" spans="1:16" x14ac:dyDescent="0.35">
      <c r="A138" s="5">
        <v>44439</v>
      </c>
      <c r="B138" s="2">
        <v>470</v>
      </c>
      <c r="C138" s="2">
        <v>270.60000000000002</v>
      </c>
      <c r="D138" s="2">
        <v>171.36</v>
      </c>
      <c r="E138" s="2">
        <v>284</v>
      </c>
      <c r="F138" s="2">
        <v>13.15</v>
      </c>
      <c r="G138" s="2">
        <v>272</v>
      </c>
      <c r="H138" s="2">
        <v>1920</v>
      </c>
      <c r="I138" s="2">
        <v>1795</v>
      </c>
      <c r="J138" s="2">
        <v>963</v>
      </c>
      <c r="K138" s="2">
        <v>4200</v>
      </c>
      <c r="L138" s="2">
        <v>95.1</v>
      </c>
      <c r="M138" s="2">
        <v>12.57</v>
      </c>
      <c r="N138" s="2">
        <v>45.79</v>
      </c>
      <c r="O138" s="2">
        <v>34.4</v>
      </c>
      <c r="P138" s="2">
        <v>1533</v>
      </c>
    </row>
    <row r="139" spans="1:16" x14ac:dyDescent="0.35">
      <c r="A139" s="5">
        <v>44447</v>
      </c>
      <c r="B139" s="2">
        <v>472</v>
      </c>
      <c r="C139" s="2">
        <v>271.5</v>
      </c>
      <c r="D139" s="2">
        <v>171.36</v>
      </c>
      <c r="E139" s="2">
        <v>282</v>
      </c>
      <c r="F139" s="2">
        <v>13.15</v>
      </c>
      <c r="G139" s="2">
        <v>272</v>
      </c>
      <c r="H139" s="2">
        <v>1945</v>
      </c>
      <c r="I139" s="2">
        <v>1805</v>
      </c>
      <c r="J139" s="2">
        <v>980</v>
      </c>
      <c r="K139" s="2">
        <v>4240</v>
      </c>
      <c r="L139" s="2">
        <v>99.5</v>
      </c>
      <c r="M139" s="2">
        <v>12.99</v>
      </c>
      <c r="N139" s="2">
        <v>45.7</v>
      </c>
      <c r="O139" s="2">
        <v>34.1</v>
      </c>
      <c r="P139" s="2">
        <v>1566</v>
      </c>
    </row>
    <row r="140" spans="1:16" x14ac:dyDescent="0.35">
      <c r="A140" s="5">
        <v>44448</v>
      </c>
      <c r="B140" s="2">
        <v>484</v>
      </c>
      <c r="C140" s="2">
        <v>275</v>
      </c>
      <c r="D140" s="2">
        <v>173.33</v>
      </c>
      <c r="E140" s="2">
        <v>288</v>
      </c>
      <c r="F140" s="2">
        <v>13.3</v>
      </c>
      <c r="G140" s="2">
        <v>280</v>
      </c>
      <c r="H140" s="2">
        <v>1990</v>
      </c>
      <c r="I140" s="2">
        <v>1838</v>
      </c>
      <c r="J140" s="2">
        <v>980</v>
      </c>
      <c r="K140" s="2">
        <v>4243</v>
      </c>
      <c r="L140" s="2">
        <v>99.5</v>
      </c>
      <c r="M140" s="2">
        <v>13.5</v>
      </c>
      <c r="N140" s="2">
        <v>47.52</v>
      </c>
      <c r="O140" s="2">
        <v>35.46</v>
      </c>
      <c r="P140" s="2">
        <v>1558</v>
      </c>
    </row>
    <row r="141" spans="1:16" x14ac:dyDescent="0.35">
      <c r="A141" s="5">
        <v>44455</v>
      </c>
      <c r="B141" s="2">
        <v>477.05</v>
      </c>
      <c r="C141" s="2">
        <v>270</v>
      </c>
      <c r="D141" s="2">
        <v>171.41</v>
      </c>
      <c r="E141" s="2">
        <v>286</v>
      </c>
      <c r="F141" s="2">
        <v>13.3</v>
      </c>
      <c r="G141" s="2">
        <v>278.05</v>
      </c>
      <c r="H141" s="2">
        <v>2025</v>
      </c>
      <c r="I141" s="2">
        <v>1835</v>
      </c>
      <c r="J141" s="2">
        <v>1007</v>
      </c>
      <c r="K141" s="2">
        <v>4242</v>
      </c>
      <c r="L141" s="2">
        <v>102</v>
      </c>
      <c r="M141" s="2">
        <v>12.2</v>
      </c>
      <c r="N141" s="2">
        <v>43.5</v>
      </c>
      <c r="O141" s="2">
        <v>34.950000000000003</v>
      </c>
      <c r="P141" s="2">
        <v>1555</v>
      </c>
    </row>
    <row r="142" spans="1:16" x14ac:dyDescent="0.35">
      <c r="A142" s="5">
        <v>44456</v>
      </c>
      <c r="B142" s="2">
        <v>484.8</v>
      </c>
      <c r="C142" s="2">
        <v>271.14999999999998</v>
      </c>
      <c r="D142" s="2">
        <v>171.41</v>
      </c>
      <c r="E142" s="2">
        <v>296.39999999999998</v>
      </c>
      <c r="F142" s="2">
        <v>13.3</v>
      </c>
      <c r="G142" s="2">
        <v>280</v>
      </c>
      <c r="H142" s="2">
        <v>2048</v>
      </c>
      <c r="I142" s="2">
        <v>1840</v>
      </c>
      <c r="J142" s="2">
        <v>1010</v>
      </c>
      <c r="K142" s="2">
        <v>4275</v>
      </c>
      <c r="L142" s="2">
        <v>101.95</v>
      </c>
      <c r="M142" s="2">
        <v>12.2</v>
      </c>
      <c r="N142" s="2">
        <v>43.46</v>
      </c>
      <c r="O142" s="2">
        <v>34.770000000000003</v>
      </c>
      <c r="P142" s="2">
        <v>1568</v>
      </c>
    </row>
    <row r="143" spans="1:16" x14ac:dyDescent="0.35">
      <c r="A143" s="5">
        <v>44462</v>
      </c>
      <c r="B143" s="2">
        <v>488</v>
      </c>
      <c r="C143" s="2">
        <v>272.60000000000002</v>
      </c>
      <c r="D143" s="2">
        <v>171.36</v>
      </c>
      <c r="E143" s="2">
        <v>305</v>
      </c>
      <c r="F143" s="2">
        <v>13.25</v>
      </c>
      <c r="G143" s="2">
        <v>279</v>
      </c>
      <c r="H143" s="2">
        <v>2101</v>
      </c>
      <c r="I143" s="2">
        <v>1875</v>
      </c>
      <c r="J143" s="2">
        <v>1015</v>
      </c>
      <c r="K143" s="2">
        <v>4300</v>
      </c>
      <c r="L143" s="2">
        <v>101</v>
      </c>
      <c r="M143" s="2">
        <v>11.97</v>
      </c>
      <c r="N143" s="2">
        <v>42.76</v>
      </c>
      <c r="O143" s="2">
        <v>33.39</v>
      </c>
      <c r="P143" s="2">
        <v>1560</v>
      </c>
    </row>
    <row r="144" spans="1:16" x14ac:dyDescent="0.35">
      <c r="A144" s="5">
        <v>44467</v>
      </c>
      <c r="B144" s="2">
        <v>492</v>
      </c>
      <c r="C144" s="2">
        <v>276.05</v>
      </c>
      <c r="D144" s="2">
        <v>173.24</v>
      </c>
      <c r="E144" s="2">
        <v>305.8</v>
      </c>
      <c r="F144" s="2">
        <v>13.3</v>
      </c>
      <c r="G144" s="2">
        <v>280</v>
      </c>
      <c r="H144" s="2">
        <v>2150</v>
      </c>
      <c r="I144" s="2">
        <v>1890</v>
      </c>
      <c r="J144" s="2">
        <v>1028</v>
      </c>
      <c r="K144" s="2">
        <v>4399</v>
      </c>
      <c r="L144" s="2">
        <v>101.5</v>
      </c>
      <c r="M144" s="2">
        <v>11.5</v>
      </c>
      <c r="N144" s="2">
        <v>41.28</v>
      </c>
      <c r="O144" s="2">
        <v>32.96</v>
      </c>
      <c r="P144" s="2">
        <v>1552</v>
      </c>
    </row>
    <row r="145" spans="1:16" x14ac:dyDescent="0.35">
      <c r="A145" s="5">
        <v>44470</v>
      </c>
      <c r="B145" s="2">
        <v>491.9</v>
      </c>
      <c r="C145" s="2">
        <v>275.2</v>
      </c>
      <c r="D145" s="2">
        <v>172.35</v>
      </c>
      <c r="E145" s="2">
        <v>315</v>
      </c>
      <c r="F145" s="2">
        <v>13.5</v>
      </c>
      <c r="G145" s="2">
        <v>270.2</v>
      </c>
      <c r="H145" s="2">
        <v>2166</v>
      </c>
      <c r="I145" s="2">
        <v>1860</v>
      </c>
      <c r="J145" s="2">
        <v>1030</v>
      </c>
      <c r="K145" s="2">
        <v>4400</v>
      </c>
      <c r="L145" s="2">
        <v>105.55</v>
      </c>
      <c r="M145" s="2">
        <v>11.29</v>
      </c>
      <c r="N145" s="2">
        <v>40.9</v>
      </c>
      <c r="O145" s="2">
        <v>32</v>
      </c>
      <c r="P145" s="2">
        <v>1545</v>
      </c>
    </row>
    <row r="146" spans="1:16" x14ac:dyDescent="0.35">
      <c r="A146" s="5">
        <v>44474</v>
      </c>
      <c r="B146" s="2">
        <v>487.55</v>
      </c>
      <c r="C146" s="2">
        <v>270.64999999999998</v>
      </c>
      <c r="D146" s="2">
        <v>172.35</v>
      </c>
      <c r="E146" s="2">
        <v>317</v>
      </c>
      <c r="F146" s="2">
        <v>13.4</v>
      </c>
      <c r="G146" s="2">
        <v>265.05</v>
      </c>
      <c r="H146" s="2">
        <v>2150</v>
      </c>
      <c r="I146" s="2">
        <v>1851</v>
      </c>
      <c r="J146" s="2">
        <v>1020</v>
      </c>
      <c r="K146" s="2">
        <v>4381</v>
      </c>
      <c r="L146" s="2">
        <v>114.1</v>
      </c>
      <c r="M146" s="2">
        <v>10.6</v>
      </c>
      <c r="N146" s="2">
        <v>40.83</v>
      </c>
      <c r="O146" s="2">
        <v>30.27</v>
      </c>
      <c r="P146" s="2">
        <v>1557</v>
      </c>
    </row>
    <row r="147" spans="1:16" x14ac:dyDescent="0.35">
      <c r="A147" s="5">
        <v>44477</v>
      </c>
      <c r="B147" s="2">
        <v>495</v>
      </c>
      <c r="C147" s="2">
        <v>274.89999999999998</v>
      </c>
      <c r="D147" s="2">
        <v>173.33</v>
      </c>
      <c r="E147" s="2">
        <v>318</v>
      </c>
      <c r="F147" s="2">
        <v>13.5</v>
      </c>
      <c r="G147" s="2">
        <v>273</v>
      </c>
      <c r="H147" s="2">
        <v>2182</v>
      </c>
      <c r="I147" s="2">
        <v>1860</v>
      </c>
      <c r="J147" s="2">
        <v>1030</v>
      </c>
      <c r="K147" s="2">
        <v>4473</v>
      </c>
      <c r="L147" s="2">
        <v>116.9</v>
      </c>
      <c r="M147" s="2">
        <v>11.4</v>
      </c>
      <c r="N147" s="2">
        <v>42.89</v>
      </c>
      <c r="O147" s="2">
        <v>31.7</v>
      </c>
      <c r="P147" s="2">
        <v>1551</v>
      </c>
    </row>
    <row r="148" spans="1:16" x14ac:dyDescent="0.35">
      <c r="A148" s="5">
        <v>44480</v>
      </c>
      <c r="B148" s="2">
        <v>489</v>
      </c>
      <c r="C148" s="2">
        <v>272.05</v>
      </c>
      <c r="D148" s="2">
        <v>171.86</v>
      </c>
      <c r="E148" s="2">
        <v>318</v>
      </c>
      <c r="F148" s="2">
        <v>13.35</v>
      </c>
      <c r="G148" s="2">
        <v>271</v>
      </c>
      <c r="H148" s="2">
        <v>2189</v>
      </c>
      <c r="I148" s="2">
        <v>1855</v>
      </c>
      <c r="J148" s="2">
        <v>1032</v>
      </c>
      <c r="K148" s="2">
        <v>4450</v>
      </c>
      <c r="L148" s="2">
        <v>113.1</v>
      </c>
      <c r="M148" s="2">
        <v>11.31</v>
      </c>
      <c r="N148" s="2">
        <v>42.85</v>
      </c>
      <c r="O148" s="2">
        <v>32.71</v>
      </c>
      <c r="P148" s="2">
        <v>1545</v>
      </c>
    </row>
    <row r="149" spans="1:16" x14ac:dyDescent="0.35">
      <c r="A149" s="5">
        <v>44482</v>
      </c>
      <c r="B149" s="2">
        <v>490.1</v>
      </c>
      <c r="C149" s="2">
        <v>273</v>
      </c>
      <c r="D149" s="2">
        <v>172.35</v>
      </c>
      <c r="E149" s="2">
        <v>320</v>
      </c>
      <c r="F149" s="2">
        <v>13.25</v>
      </c>
      <c r="G149" s="2">
        <v>271</v>
      </c>
      <c r="H149" s="2">
        <v>2190</v>
      </c>
      <c r="I149" s="2">
        <v>1851</v>
      </c>
      <c r="J149" s="2">
        <v>1080</v>
      </c>
      <c r="K149" s="2">
        <v>4500</v>
      </c>
      <c r="L149" s="2">
        <v>115</v>
      </c>
      <c r="M149" s="2">
        <v>11.15</v>
      </c>
      <c r="N149" s="2">
        <v>41.5</v>
      </c>
      <c r="O149" s="2">
        <v>32.200000000000003</v>
      </c>
      <c r="P149" s="2">
        <v>1550</v>
      </c>
    </row>
    <row r="150" spans="1:16" x14ac:dyDescent="0.35">
      <c r="A150" s="5">
        <v>44483</v>
      </c>
      <c r="B150" s="2">
        <v>494.5</v>
      </c>
      <c r="C150" s="2">
        <v>274</v>
      </c>
      <c r="D150" s="2">
        <v>172.35</v>
      </c>
      <c r="E150" s="2">
        <v>320</v>
      </c>
      <c r="F150" s="2">
        <v>13.25</v>
      </c>
      <c r="G150" s="2">
        <v>275</v>
      </c>
      <c r="H150" s="2">
        <v>2198</v>
      </c>
      <c r="I150" s="2">
        <v>1862</v>
      </c>
      <c r="J150" s="2">
        <v>1080</v>
      </c>
      <c r="K150" s="2">
        <v>4550</v>
      </c>
      <c r="L150" s="2">
        <v>117.7</v>
      </c>
      <c r="M150" s="2">
        <v>10.92</v>
      </c>
      <c r="N150" s="2">
        <v>41.11</v>
      </c>
      <c r="O150" s="2">
        <v>31.45</v>
      </c>
      <c r="P150" s="2">
        <v>1552</v>
      </c>
    </row>
    <row r="151" spans="1:16" x14ac:dyDescent="0.35">
      <c r="A151" s="5">
        <v>44484</v>
      </c>
      <c r="B151" s="2">
        <v>492.5</v>
      </c>
      <c r="C151" s="2">
        <v>275</v>
      </c>
      <c r="D151" s="2">
        <v>172.35</v>
      </c>
      <c r="E151" s="2">
        <v>320.95</v>
      </c>
      <c r="F151" s="2">
        <v>13.45</v>
      </c>
      <c r="G151" s="2">
        <v>274.35000000000002</v>
      </c>
      <c r="H151" s="2">
        <v>2198</v>
      </c>
      <c r="I151" s="2">
        <v>1860</v>
      </c>
      <c r="J151" s="2">
        <v>1094</v>
      </c>
      <c r="K151" s="2">
        <v>4600</v>
      </c>
      <c r="L151" s="2">
        <v>118</v>
      </c>
      <c r="M151" s="2">
        <v>11.24</v>
      </c>
      <c r="N151" s="2">
        <v>41.5</v>
      </c>
      <c r="O151" s="2">
        <v>32.49</v>
      </c>
      <c r="P151" s="2">
        <v>1560</v>
      </c>
    </row>
    <row r="152" spans="1:16" x14ac:dyDescent="0.35">
      <c r="A152" s="5">
        <v>44487</v>
      </c>
      <c r="B152" s="2">
        <v>495</v>
      </c>
      <c r="C152" s="2">
        <v>274.89999999999998</v>
      </c>
      <c r="D152" s="2">
        <v>172.35</v>
      </c>
      <c r="E152" s="2">
        <v>325</v>
      </c>
      <c r="F152" s="2">
        <v>13.6</v>
      </c>
      <c r="G152" s="2">
        <v>271.8</v>
      </c>
      <c r="H152" s="2">
        <v>2198</v>
      </c>
      <c r="I152" s="2">
        <v>1842</v>
      </c>
      <c r="J152" s="2">
        <v>1093</v>
      </c>
      <c r="K152" s="2">
        <v>4600</v>
      </c>
      <c r="L152" s="2">
        <v>117.75</v>
      </c>
      <c r="M152" s="2">
        <v>11.47</v>
      </c>
      <c r="N152" s="2">
        <v>42</v>
      </c>
      <c r="O152" s="2">
        <v>32.29</v>
      </c>
      <c r="P152" s="2">
        <v>1560</v>
      </c>
    </row>
    <row r="153" spans="1:16" x14ac:dyDescent="0.35">
      <c r="A153" s="5">
        <v>44494</v>
      </c>
      <c r="B153" s="2">
        <v>498</v>
      </c>
      <c r="C153" s="2">
        <v>278</v>
      </c>
      <c r="D153" s="2">
        <v>173.83</v>
      </c>
      <c r="E153" s="2">
        <v>338</v>
      </c>
      <c r="F153" s="2">
        <v>13.4</v>
      </c>
      <c r="G153" s="2">
        <v>270.5</v>
      </c>
      <c r="H153" s="2">
        <v>2215</v>
      </c>
      <c r="I153" s="2">
        <v>1842</v>
      </c>
      <c r="J153" s="2">
        <v>1075</v>
      </c>
      <c r="K153" s="2">
        <v>4600</v>
      </c>
      <c r="L153" s="2">
        <v>117</v>
      </c>
      <c r="M153" s="2">
        <v>11.4</v>
      </c>
      <c r="N153" s="2">
        <v>42</v>
      </c>
      <c r="O153" s="2">
        <v>32</v>
      </c>
      <c r="P153" s="2">
        <v>1563</v>
      </c>
    </row>
    <row r="154" spans="1:16" x14ac:dyDescent="0.35">
      <c r="A154" s="5">
        <v>44495</v>
      </c>
      <c r="B154" s="2">
        <v>510</v>
      </c>
      <c r="C154" s="2">
        <v>280</v>
      </c>
      <c r="D154" s="2">
        <v>177.76</v>
      </c>
      <c r="E154" s="2">
        <v>336.15</v>
      </c>
      <c r="F154" s="2">
        <v>13.4</v>
      </c>
      <c r="G154" s="2">
        <v>273.89999999999998</v>
      </c>
      <c r="H154" s="2">
        <v>2339</v>
      </c>
      <c r="I154" s="2">
        <v>1880</v>
      </c>
      <c r="J154" s="2">
        <v>1078</v>
      </c>
      <c r="K154" s="2">
        <v>4700</v>
      </c>
      <c r="L154" s="2">
        <v>119</v>
      </c>
      <c r="M154" s="2">
        <v>11.3</v>
      </c>
      <c r="N154" s="2">
        <v>41.22</v>
      </c>
      <c r="O154" s="2">
        <v>31.2</v>
      </c>
      <c r="P154" s="2">
        <v>1553</v>
      </c>
    </row>
    <row r="155" spans="1:16" x14ac:dyDescent="0.35">
      <c r="A155" s="5">
        <v>44496</v>
      </c>
      <c r="B155" s="2">
        <v>505</v>
      </c>
      <c r="C155" s="2">
        <v>283</v>
      </c>
      <c r="D155" s="2">
        <v>180.72</v>
      </c>
      <c r="E155" s="2">
        <v>348.45</v>
      </c>
      <c r="F155" s="2">
        <v>13.4</v>
      </c>
      <c r="G155" s="2">
        <v>270.2</v>
      </c>
      <c r="H155" s="2">
        <v>2253</v>
      </c>
      <c r="I155" s="2">
        <v>1890</v>
      </c>
      <c r="J155" s="2">
        <v>1098</v>
      </c>
      <c r="K155" s="2">
        <v>4800</v>
      </c>
      <c r="L155" s="2">
        <v>121.85</v>
      </c>
      <c r="M155" s="2">
        <v>11.34</v>
      </c>
      <c r="N155" s="2">
        <v>41</v>
      </c>
      <c r="O155" s="2">
        <v>32</v>
      </c>
      <c r="P155" s="2">
        <v>1575</v>
      </c>
    </row>
    <row r="156" spans="1:16" x14ac:dyDescent="0.35">
      <c r="A156" s="5">
        <v>44497</v>
      </c>
      <c r="B156" s="2">
        <v>507</v>
      </c>
      <c r="C156" s="2">
        <v>282</v>
      </c>
      <c r="D156" s="2">
        <v>180.72</v>
      </c>
      <c r="E156" s="2">
        <v>351</v>
      </c>
      <c r="F156" s="2">
        <v>13.3</v>
      </c>
      <c r="G156" s="2">
        <v>271.75</v>
      </c>
      <c r="H156" s="2">
        <v>2301</v>
      </c>
      <c r="I156" s="2">
        <v>1895</v>
      </c>
      <c r="J156" s="2">
        <v>1103</v>
      </c>
      <c r="K156" s="2">
        <v>4850</v>
      </c>
      <c r="L156" s="2">
        <v>118.5</v>
      </c>
      <c r="M156" s="2">
        <v>11.5</v>
      </c>
      <c r="N156" s="2">
        <v>41.1</v>
      </c>
      <c r="O156" s="2">
        <v>32.19</v>
      </c>
      <c r="P156" s="2">
        <v>1560</v>
      </c>
    </row>
    <row r="157" spans="1:16" x14ac:dyDescent="0.35">
      <c r="A157" s="5">
        <v>44498</v>
      </c>
      <c r="B157" s="2">
        <v>490.15</v>
      </c>
      <c r="C157" s="2">
        <v>287.5</v>
      </c>
      <c r="D157" s="2">
        <v>183.18</v>
      </c>
      <c r="E157" s="2">
        <v>349</v>
      </c>
      <c r="F157" s="2">
        <v>13.55</v>
      </c>
      <c r="G157" s="2">
        <v>271.05</v>
      </c>
      <c r="H157" s="2">
        <v>2300</v>
      </c>
      <c r="I157" s="2">
        <v>1910</v>
      </c>
      <c r="J157" s="2">
        <v>1100</v>
      </c>
      <c r="K157" s="2">
        <v>4900</v>
      </c>
      <c r="L157" s="2">
        <v>118.9</v>
      </c>
      <c r="M157" s="2">
        <v>11.21</v>
      </c>
      <c r="N157" s="2">
        <v>41</v>
      </c>
      <c r="O157" s="2">
        <v>31.6</v>
      </c>
      <c r="P157" s="2">
        <v>1560</v>
      </c>
    </row>
    <row r="158" spans="1:16" x14ac:dyDescent="0.35">
      <c r="A158" s="5">
        <v>44502</v>
      </c>
      <c r="B158" s="2">
        <v>498.6</v>
      </c>
      <c r="C158" s="2">
        <v>282.25</v>
      </c>
      <c r="D158" s="2">
        <v>184.17</v>
      </c>
      <c r="E158" s="2">
        <v>349</v>
      </c>
      <c r="F158" s="2">
        <v>13.45</v>
      </c>
      <c r="G158" s="2">
        <v>273</v>
      </c>
      <c r="H158" s="2">
        <v>2280</v>
      </c>
      <c r="I158" s="2">
        <v>1908</v>
      </c>
      <c r="J158" s="2">
        <v>1100</v>
      </c>
      <c r="K158" s="2">
        <v>4899</v>
      </c>
      <c r="L158" s="2">
        <v>117.5</v>
      </c>
      <c r="M158" s="2">
        <v>11.19</v>
      </c>
      <c r="N158" s="2">
        <v>40.75</v>
      </c>
      <c r="O158" s="2">
        <v>32</v>
      </c>
      <c r="P158" s="2">
        <v>1560</v>
      </c>
    </row>
    <row r="159" spans="1:16" x14ac:dyDescent="0.35">
      <c r="A159" s="5">
        <v>44505</v>
      </c>
      <c r="B159" s="2">
        <v>490.5</v>
      </c>
      <c r="C159" s="2">
        <v>282</v>
      </c>
      <c r="D159" s="2">
        <v>182.69</v>
      </c>
      <c r="E159" s="2">
        <v>339.7</v>
      </c>
      <c r="F159" s="2">
        <v>13.5</v>
      </c>
      <c r="G159" s="2">
        <v>267</v>
      </c>
      <c r="H159" s="2">
        <v>2200</v>
      </c>
      <c r="I159" s="2">
        <v>1880</v>
      </c>
      <c r="J159" s="2">
        <v>1100</v>
      </c>
      <c r="K159" s="2">
        <v>4870</v>
      </c>
      <c r="L159" s="2">
        <v>117</v>
      </c>
      <c r="M159" s="2">
        <v>10.25</v>
      </c>
      <c r="N159" s="2">
        <v>38.409999999999997</v>
      </c>
      <c r="O159" s="2">
        <v>31.49</v>
      </c>
      <c r="P159" s="2">
        <v>1560</v>
      </c>
    </row>
    <row r="160" spans="1:16" x14ac:dyDescent="0.35">
      <c r="A160" s="5">
        <v>44510</v>
      </c>
      <c r="B160" s="2">
        <v>490</v>
      </c>
      <c r="C160" s="2">
        <v>279</v>
      </c>
      <c r="D160" s="2">
        <v>183.18</v>
      </c>
      <c r="E160" s="2">
        <v>339.75</v>
      </c>
      <c r="F160" s="2">
        <v>13.45</v>
      </c>
      <c r="G160" s="2">
        <v>265</v>
      </c>
      <c r="H160" s="2">
        <v>2170</v>
      </c>
      <c r="I160" s="2">
        <v>1879</v>
      </c>
      <c r="J160" s="2">
        <v>1070</v>
      </c>
      <c r="K160" s="2">
        <v>4850</v>
      </c>
      <c r="L160" s="2">
        <v>115.95</v>
      </c>
      <c r="M160" s="2">
        <v>10</v>
      </c>
      <c r="N160" s="2">
        <v>40.380000000000003</v>
      </c>
      <c r="O160" s="2">
        <v>31</v>
      </c>
      <c r="P160" s="2">
        <v>1556</v>
      </c>
    </row>
    <row r="161" spans="1:16" x14ac:dyDescent="0.35">
      <c r="A161" s="5">
        <v>44512</v>
      </c>
      <c r="B161" s="2">
        <v>488</v>
      </c>
      <c r="C161" s="2">
        <v>278</v>
      </c>
      <c r="D161" s="2">
        <v>183.18</v>
      </c>
      <c r="E161" s="2">
        <v>337</v>
      </c>
      <c r="F161" s="2">
        <v>13.55</v>
      </c>
      <c r="G161" s="2">
        <v>263</v>
      </c>
      <c r="H161" s="2">
        <v>2174</v>
      </c>
      <c r="I161" s="2">
        <v>1870</v>
      </c>
      <c r="J161" s="2">
        <v>1100</v>
      </c>
      <c r="K161" s="2">
        <v>4700</v>
      </c>
      <c r="L161" s="2">
        <v>114.5</v>
      </c>
      <c r="M161" s="2">
        <v>10.35</v>
      </c>
      <c r="N161" s="2">
        <v>40.369999999999997</v>
      </c>
      <c r="O161" s="2">
        <v>31</v>
      </c>
      <c r="P161" s="2">
        <v>1560</v>
      </c>
    </row>
    <row r="162" spans="1:16" x14ac:dyDescent="0.35">
      <c r="A162" s="5">
        <v>44517</v>
      </c>
      <c r="B162" s="2">
        <v>483.15</v>
      </c>
      <c r="C162" s="2">
        <v>279</v>
      </c>
      <c r="D162" s="2">
        <v>183.18</v>
      </c>
      <c r="E162" s="2">
        <v>339</v>
      </c>
      <c r="F162" s="2">
        <v>13.5</v>
      </c>
      <c r="G162" s="2">
        <v>262.5</v>
      </c>
      <c r="H162" s="2">
        <v>2165</v>
      </c>
      <c r="I162" s="2">
        <v>1870</v>
      </c>
      <c r="J162" s="2">
        <v>1090</v>
      </c>
      <c r="K162" s="2">
        <v>4800</v>
      </c>
      <c r="L162" s="2">
        <v>115</v>
      </c>
      <c r="M162" s="2">
        <v>10.8</v>
      </c>
      <c r="N162" s="2">
        <v>41.3</v>
      </c>
      <c r="O162" s="2">
        <v>31.5</v>
      </c>
      <c r="P162" s="2">
        <v>1632</v>
      </c>
    </row>
    <row r="163" spans="1:16" x14ac:dyDescent="0.35">
      <c r="A163" s="5">
        <v>44526</v>
      </c>
      <c r="B163" s="2">
        <v>480</v>
      </c>
      <c r="C163" s="2">
        <v>277.2</v>
      </c>
      <c r="D163" s="2">
        <v>185.15</v>
      </c>
      <c r="E163" s="2">
        <v>330</v>
      </c>
      <c r="F163" s="2">
        <v>13.5</v>
      </c>
      <c r="G163" s="2">
        <v>263</v>
      </c>
      <c r="H163" s="2">
        <v>2120</v>
      </c>
      <c r="I163" s="2">
        <v>1860</v>
      </c>
      <c r="J163" s="2">
        <v>1096</v>
      </c>
      <c r="K163" s="2">
        <v>4600</v>
      </c>
      <c r="L163" s="2">
        <v>116</v>
      </c>
      <c r="M163" s="2">
        <v>10.27</v>
      </c>
      <c r="N163" s="2">
        <v>40.299999999999997</v>
      </c>
      <c r="O163" s="2">
        <v>30.69</v>
      </c>
      <c r="P163" s="2">
        <v>1618</v>
      </c>
    </row>
    <row r="164" spans="1:16" x14ac:dyDescent="0.35">
      <c r="A164" s="5">
        <v>44530</v>
      </c>
      <c r="B164" s="2">
        <v>473</v>
      </c>
      <c r="C164" s="2">
        <v>276</v>
      </c>
      <c r="D164" s="2">
        <v>181.31</v>
      </c>
      <c r="E164" s="2">
        <v>335</v>
      </c>
      <c r="F164" s="2">
        <v>13.4</v>
      </c>
      <c r="G164" s="2">
        <v>263.05</v>
      </c>
      <c r="H164" s="2">
        <v>2110</v>
      </c>
      <c r="I164" s="2">
        <v>1771</v>
      </c>
      <c r="J164" s="2">
        <v>1081</v>
      </c>
      <c r="K164" s="2">
        <v>4600</v>
      </c>
      <c r="L164" s="2">
        <v>114</v>
      </c>
      <c r="M164" s="2">
        <v>10.45</v>
      </c>
      <c r="N164" s="2">
        <v>40</v>
      </c>
      <c r="O164" s="2">
        <v>29.99</v>
      </c>
      <c r="P164" s="2">
        <v>1568</v>
      </c>
    </row>
    <row r="165" spans="1:16" x14ac:dyDescent="0.35">
      <c r="A165" s="5">
        <v>44532</v>
      </c>
      <c r="B165" s="2">
        <v>486</v>
      </c>
      <c r="C165" s="2">
        <v>279</v>
      </c>
      <c r="D165" s="2">
        <v>184.66</v>
      </c>
      <c r="E165" s="2">
        <v>334</v>
      </c>
      <c r="F165" s="2">
        <v>13.25</v>
      </c>
      <c r="G165" s="2">
        <v>264</v>
      </c>
      <c r="H165" s="2">
        <v>2120</v>
      </c>
      <c r="I165" s="2">
        <v>1820</v>
      </c>
      <c r="J165" s="2">
        <v>1088</v>
      </c>
      <c r="K165" s="2">
        <v>4621</v>
      </c>
      <c r="L165" s="2">
        <v>115</v>
      </c>
      <c r="M165" s="2">
        <v>10.4</v>
      </c>
      <c r="N165" s="2">
        <v>38.75</v>
      </c>
      <c r="O165" s="2">
        <v>30.15</v>
      </c>
      <c r="P165" s="2">
        <v>1615</v>
      </c>
    </row>
    <row r="166" spans="1:16" x14ac:dyDescent="0.35">
      <c r="A166" s="5">
        <v>44533</v>
      </c>
      <c r="B166" s="2">
        <v>487.9</v>
      </c>
      <c r="C166" s="2">
        <v>277.05</v>
      </c>
      <c r="D166" s="2">
        <v>183.18</v>
      </c>
      <c r="E166" s="2">
        <v>335</v>
      </c>
      <c r="F166" s="2">
        <v>13.35</v>
      </c>
      <c r="G166" s="2">
        <v>262</v>
      </c>
      <c r="H166" s="2">
        <v>2106</v>
      </c>
      <c r="I166" s="2">
        <v>1815</v>
      </c>
      <c r="J166" s="2">
        <v>1095</v>
      </c>
      <c r="K166" s="2">
        <v>4630</v>
      </c>
      <c r="L166" s="2">
        <v>114.5</v>
      </c>
      <c r="M166" s="2">
        <v>10.36</v>
      </c>
      <c r="N166" s="2">
        <v>38.799999999999997</v>
      </c>
      <c r="O166" s="2">
        <v>29.5</v>
      </c>
      <c r="P166" s="2">
        <v>1592</v>
      </c>
    </row>
    <row r="167" spans="1:16" x14ac:dyDescent="0.35">
      <c r="A167" s="5">
        <v>44536</v>
      </c>
      <c r="B167" s="2">
        <v>480.5</v>
      </c>
      <c r="C167" s="2">
        <v>275.5</v>
      </c>
      <c r="D167" s="2">
        <v>183.18</v>
      </c>
      <c r="E167" s="2">
        <v>331</v>
      </c>
      <c r="F167" s="2">
        <v>13.5</v>
      </c>
      <c r="G167" s="2">
        <v>261</v>
      </c>
      <c r="H167" s="2">
        <v>2107</v>
      </c>
      <c r="I167" s="2">
        <v>1857</v>
      </c>
      <c r="J167" s="2">
        <v>1100</v>
      </c>
      <c r="K167" s="2">
        <v>4630</v>
      </c>
      <c r="L167" s="2">
        <v>114.9</v>
      </c>
      <c r="M167" s="2">
        <v>10.51</v>
      </c>
      <c r="N167" s="2">
        <v>39.729999999999997</v>
      </c>
      <c r="O167" s="2">
        <v>29.99</v>
      </c>
      <c r="P167" s="2">
        <v>1592</v>
      </c>
    </row>
    <row r="168" spans="1:16" x14ac:dyDescent="0.35">
      <c r="A168" s="5">
        <v>44539</v>
      </c>
      <c r="B168" s="2">
        <v>487</v>
      </c>
      <c r="C168" s="2">
        <v>279.95</v>
      </c>
      <c r="D168" s="2">
        <v>183.23</v>
      </c>
      <c r="E168" s="2">
        <v>334</v>
      </c>
      <c r="F168" s="2">
        <v>13.45</v>
      </c>
      <c r="G168" s="2">
        <v>265</v>
      </c>
      <c r="H168" s="2">
        <v>2120</v>
      </c>
      <c r="I168" s="2">
        <v>1870</v>
      </c>
      <c r="J168" s="2">
        <v>1092</v>
      </c>
      <c r="K168" s="2">
        <v>4700</v>
      </c>
      <c r="L168" s="2">
        <v>114</v>
      </c>
      <c r="M168" s="2">
        <v>11.2</v>
      </c>
      <c r="N168" s="2">
        <v>40.200000000000003</v>
      </c>
      <c r="O168" s="2">
        <v>29.98</v>
      </c>
      <c r="P168" s="2">
        <v>1620</v>
      </c>
    </row>
    <row r="169" spans="1:16" x14ac:dyDescent="0.35">
      <c r="A169" s="5">
        <v>44540</v>
      </c>
      <c r="B169" s="2">
        <v>487</v>
      </c>
      <c r="C169" s="2">
        <v>280</v>
      </c>
      <c r="D169" s="2">
        <v>184.17</v>
      </c>
      <c r="E169" s="2">
        <v>339</v>
      </c>
      <c r="F169" s="2">
        <v>13.45</v>
      </c>
      <c r="G169" s="2">
        <v>265</v>
      </c>
      <c r="H169" s="2">
        <v>2170</v>
      </c>
      <c r="I169" s="2">
        <v>1870</v>
      </c>
      <c r="J169" s="2">
        <v>1100</v>
      </c>
      <c r="K169" s="2">
        <v>4700</v>
      </c>
      <c r="L169" s="2">
        <v>116</v>
      </c>
      <c r="M169" s="2">
        <v>11.22</v>
      </c>
      <c r="N169" s="2">
        <v>40</v>
      </c>
      <c r="O169" s="2">
        <v>29.6</v>
      </c>
      <c r="P169" s="2">
        <v>1620</v>
      </c>
    </row>
    <row r="170" spans="1:16" x14ac:dyDescent="0.35">
      <c r="A170" s="5">
        <v>44554</v>
      </c>
      <c r="B170" s="2">
        <v>480</v>
      </c>
      <c r="C170" s="2">
        <v>278.5</v>
      </c>
      <c r="D170" s="2">
        <v>183.33</v>
      </c>
      <c r="E170" s="2">
        <v>333.95</v>
      </c>
      <c r="F170" s="2">
        <v>13.1</v>
      </c>
      <c r="G170" s="2">
        <v>265</v>
      </c>
      <c r="H170" s="2">
        <v>2154</v>
      </c>
      <c r="I170" s="2">
        <v>1869</v>
      </c>
      <c r="J170" s="2">
        <v>1100</v>
      </c>
      <c r="K170" s="2">
        <v>4700</v>
      </c>
      <c r="L170" s="2">
        <v>117</v>
      </c>
      <c r="M170" s="2">
        <v>10.9</v>
      </c>
      <c r="N170" s="2">
        <v>39.450000000000003</v>
      </c>
      <c r="O170" s="2">
        <v>29.19</v>
      </c>
      <c r="P170" s="2">
        <v>1625</v>
      </c>
    </row>
    <row r="171" spans="1:16" x14ac:dyDescent="0.35">
      <c r="A171" s="5">
        <v>44558</v>
      </c>
      <c r="B171" s="2">
        <v>483</v>
      </c>
      <c r="C171" s="2">
        <v>280</v>
      </c>
      <c r="D171" s="2">
        <v>185.64</v>
      </c>
      <c r="E171" s="2">
        <v>330.1</v>
      </c>
      <c r="F171" s="2">
        <v>13.1</v>
      </c>
      <c r="G171" s="2">
        <v>263.89999999999998</v>
      </c>
      <c r="H171" s="2">
        <v>2170</v>
      </c>
      <c r="I171" s="2">
        <v>1868</v>
      </c>
      <c r="J171" s="2">
        <v>1091</v>
      </c>
      <c r="K171" s="2">
        <v>4700</v>
      </c>
      <c r="L171" s="2">
        <v>117</v>
      </c>
      <c r="M171" s="2">
        <v>10.9</v>
      </c>
      <c r="N171" s="2">
        <v>38</v>
      </c>
      <c r="O171" s="2">
        <v>28.8</v>
      </c>
      <c r="P171" s="2">
        <v>1628</v>
      </c>
    </row>
    <row r="172" spans="1:16" x14ac:dyDescent="0.35">
      <c r="A172" s="5">
        <v>44559</v>
      </c>
      <c r="B172" s="2">
        <v>485</v>
      </c>
      <c r="C172" s="2">
        <v>280</v>
      </c>
      <c r="D172" s="2">
        <v>185.15</v>
      </c>
      <c r="E172" s="2">
        <v>337.9</v>
      </c>
      <c r="F172" s="2">
        <v>13.3</v>
      </c>
      <c r="G172" s="2">
        <v>266</v>
      </c>
      <c r="H172" s="2">
        <v>2200</v>
      </c>
      <c r="I172" s="2">
        <v>1899</v>
      </c>
      <c r="J172" s="2">
        <v>1105</v>
      </c>
      <c r="K172" s="2">
        <v>4848</v>
      </c>
      <c r="L172" s="2">
        <v>114.65</v>
      </c>
      <c r="M172" s="2">
        <v>10.85</v>
      </c>
      <c r="N172" s="2">
        <v>38.799999999999997</v>
      </c>
      <c r="O172" s="2">
        <v>29</v>
      </c>
      <c r="P172" s="2">
        <v>1629</v>
      </c>
    </row>
    <row r="173" spans="1:16" x14ac:dyDescent="0.35">
      <c r="A173" s="5">
        <v>44560</v>
      </c>
      <c r="B173" s="2">
        <v>487</v>
      </c>
      <c r="C173" s="2">
        <v>280.45</v>
      </c>
      <c r="D173" s="2">
        <v>185.15</v>
      </c>
      <c r="E173" s="2">
        <v>337</v>
      </c>
      <c r="F173" s="2">
        <v>13.35</v>
      </c>
      <c r="G173" s="2">
        <v>266</v>
      </c>
      <c r="H173" s="2">
        <v>2200</v>
      </c>
      <c r="I173" s="2">
        <v>1890</v>
      </c>
      <c r="J173" s="2">
        <v>1100</v>
      </c>
      <c r="K173" s="2">
        <v>4850</v>
      </c>
      <c r="L173" s="2">
        <v>120</v>
      </c>
      <c r="M173" s="2">
        <v>10.76</v>
      </c>
      <c r="N173" s="2">
        <v>37</v>
      </c>
      <c r="O173" s="2">
        <v>28.75</v>
      </c>
      <c r="P173" s="2">
        <v>1648</v>
      </c>
    </row>
    <row r="174" spans="1:16" x14ac:dyDescent="0.35">
      <c r="A174" s="5">
        <v>44561</v>
      </c>
      <c r="B174" s="2">
        <v>487</v>
      </c>
      <c r="C174" s="2">
        <v>280.95</v>
      </c>
      <c r="D174" s="2">
        <v>185.15</v>
      </c>
      <c r="E174" s="2">
        <v>339</v>
      </c>
      <c r="F174" s="2">
        <v>13.35</v>
      </c>
      <c r="G174" s="2">
        <v>261</v>
      </c>
      <c r="H174" s="2">
        <v>2200</v>
      </c>
      <c r="I174" s="2">
        <v>1900</v>
      </c>
      <c r="J174" s="2">
        <v>1050</v>
      </c>
      <c r="K174" s="2">
        <v>4850</v>
      </c>
      <c r="L174" s="2">
        <v>122</v>
      </c>
      <c r="M174" s="2">
        <v>10.61</v>
      </c>
      <c r="N174" s="2">
        <v>36.97</v>
      </c>
      <c r="O174" s="2">
        <v>27.5</v>
      </c>
      <c r="P174" s="2">
        <v>1570</v>
      </c>
    </row>
    <row r="175" spans="1:16" x14ac:dyDescent="0.35">
      <c r="A175" s="5">
        <v>44568</v>
      </c>
      <c r="B175" s="2">
        <v>490</v>
      </c>
      <c r="C175" s="2">
        <v>284</v>
      </c>
      <c r="D175" s="2">
        <v>185.99</v>
      </c>
      <c r="E175" s="2">
        <v>348.95</v>
      </c>
      <c r="F175" s="2">
        <v>13.15</v>
      </c>
      <c r="G175" s="2">
        <v>269</v>
      </c>
      <c r="H175" s="2">
        <v>2230</v>
      </c>
      <c r="I175" s="2">
        <v>1908</v>
      </c>
      <c r="J175" s="2">
        <v>1140</v>
      </c>
      <c r="K175" s="2">
        <v>4707</v>
      </c>
      <c r="L175" s="2">
        <v>125</v>
      </c>
      <c r="M175" s="2">
        <v>11.06</v>
      </c>
      <c r="N175" s="2">
        <v>38.4</v>
      </c>
      <c r="O175" s="2">
        <v>29.68</v>
      </c>
      <c r="P175" s="2">
        <v>1614</v>
      </c>
    </row>
    <row r="176" spans="1:16" x14ac:dyDescent="0.35">
      <c r="A176" s="5">
        <v>44574</v>
      </c>
      <c r="B176" s="2">
        <v>490.6</v>
      </c>
      <c r="C176" s="2">
        <v>287</v>
      </c>
      <c r="D176" s="2">
        <v>185.6</v>
      </c>
      <c r="E176" s="2">
        <v>348</v>
      </c>
      <c r="F176" s="2">
        <v>13.15</v>
      </c>
      <c r="G176" s="2">
        <v>270.95</v>
      </c>
      <c r="H176" s="2">
        <v>2295</v>
      </c>
      <c r="I176" s="2">
        <v>1908</v>
      </c>
      <c r="J176" s="2">
        <v>1140</v>
      </c>
      <c r="K176" s="2">
        <v>4571</v>
      </c>
      <c r="L176" s="2">
        <v>135.85</v>
      </c>
      <c r="M176" s="2">
        <v>11.58</v>
      </c>
      <c r="N176" s="2">
        <v>39</v>
      </c>
      <c r="O176" s="2">
        <v>29.95</v>
      </c>
      <c r="P176" s="2">
        <v>1647</v>
      </c>
    </row>
    <row r="177" spans="1:16" x14ac:dyDescent="0.35">
      <c r="A177" s="5">
        <v>44575</v>
      </c>
      <c r="B177" s="2">
        <v>498</v>
      </c>
      <c r="C177" s="2">
        <v>290</v>
      </c>
      <c r="D177" s="2">
        <v>195</v>
      </c>
      <c r="E177" s="2">
        <v>350</v>
      </c>
      <c r="F177" s="2">
        <v>13.05</v>
      </c>
      <c r="G177" s="2">
        <v>272.89999999999998</v>
      </c>
      <c r="H177" s="2">
        <v>2290</v>
      </c>
      <c r="I177" s="2">
        <v>1949</v>
      </c>
      <c r="J177" s="2">
        <v>1162</v>
      </c>
      <c r="K177" s="2">
        <v>4845</v>
      </c>
      <c r="L177" s="2">
        <v>136</v>
      </c>
      <c r="M177" s="2">
        <v>11.52</v>
      </c>
      <c r="N177" s="2">
        <v>38.9</v>
      </c>
      <c r="O177" s="2">
        <v>30.14</v>
      </c>
      <c r="P177" s="2">
        <v>1659</v>
      </c>
    </row>
    <row r="178" spans="1:16" x14ac:dyDescent="0.35">
      <c r="A178" s="5">
        <v>44578</v>
      </c>
      <c r="B178" s="2">
        <v>495</v>
      </c>
      <c r="C178" s="2">
        <v>288.95</v>
      </c>
      <c r="D178" s="2">
        <v>192.04</v>
      </c>
      <c r="E178" s="2">
        <v>349.5</v>
      </c>
      <c r="F178" s="2">
        <v>13.05</v>
      </c>
      <c r="G178" s="2">
        <v>272.8</v>
      </c>
      <c r="H178" s="2">
        <v>2290</v>
      </c>
      <c r="I178" s="2">
        <v>1950</v>
      </c>
      <c r="J178" s="2">
        <v>1215</v>
      </c>
      <c r="K178" s="2">
        <v>4845</v>
      </c>
      <c r="L178" s="2">
        <v>134</v>
      </c>
      <c r="M178" s="2">
        <v>11.51</v>
      </c>
      <c r="N178" s="2">
        <v>38.380000000000003</v>
      </c>
      <c r="O178" s="2">
        <v>30.17</v>
      </c>
      <c r="P178" s="2">
        <v>1661</v>
      </c>
    </row>
    <row r="179" spans="1:16" x14ac:dyDescent="0.35">
      <c r="A179" s="5">
        <v>44579</v>
      </c>
      <c r="B179" s="2">
        <v>495</v>
      </c>
      <c r="C179" s="2">
        <v>289</v>
      </c>
      <c r="D179" s="2">
        <v>189.83</v>
      </c>
      <c r="E179" s="2">
        <v>355</v>
      </c>
      <c r="F179" s="2">
        <v>13.15</v>
      </c>
      <c r="G179" s="2">
        <v>269.05</v>
      </c>
      <c r="H179" s="2">
        <v>2292</v>
      </c>
      <c r="I179" s="2">
        <v>1923</v>
      </c>
      <c r="J179" s="2">
        <v>1220</v>
      </c>
      <c r="K179" s="2">
        <v>4845</v>
      </c>
      <c r="L179" s="2">
        <v>135.69999999999999</v>
      </c>
      <c r="M179" s="2">
        <v>11.84</v>
      </c>
      <c r="N179" s="2">
        <v>38.979999999999997</v>
      </c>
      <c r="O179" s="2">
        <v>30.5</v>
      </c>
      <c r="P179" s="2">
        <v>1700</v>
      </c>
    </row>
    <row r="180" spans="1:16" x14ac:dyDescent="0.35">
      <c r="A180" s="5">
        <v>44582</v>
      </c>
      <c r="B180" s="2">
        <v>495</v>
      </c>
      <c r="C180" s="2">
        <v>288</v>
      </c>
      <c r="D180" s="2">
        <v>189.1</v>
      </c>
      <c r="E180" s="2">
        <v>353</v>
      </c>
      <c r="F180" s="2">
        <v>13.15</v>
      </c>
      <c r="G180" s="2">
        <v>270</v>
      </c>
      <c r="H180" s="2">
        <v>2270</v>
      </c>
      <c r="I180" s="2">
        <v>1940</v>
      </c>
      <c r="J180" s="2">
        <v>1221</v>
      </c>
      <c r="K180" s="2">
        <v>4900</v>
      </c>
      <c r="L180" s="2">
        <v>135</v>
      </c>
      <c r="M180" s="2">
        <v>11.75</v>
      </c>
      <c r="N180" s="2">
        <v>41</v>
      </c>
      <c r="O180" s="2">
        <v>30.5</v>
      </c>
      <c r="P180" s="2">
        <v>1710</v>
      </c>
    </row>
    <row r="181" spans="1:16" x14ac:dyDescent="0.35">
      <c r="A181" s="5">
        <v>44585</v>
      </c>
      <c r="B181" s="2">
        <v>492</v>
      </c>
      <c r="C181" s="2">
        <v>288</v>
      </c>
      <c r="D181" s="2">
        <v>189.1</v>
      </c>
      <c r="E181" s="2">
        <v>349</v>
      </c>
      <c r="F181" s="2">
        <v>13.05</v>
      </c>
      <c r="G181" s="2">
        <v>269</v>
      </c>
      <c r="H181" s="2">
        <v>2270</v>
      </c>
      <c r="I181" s="2">
        <v>1945</v>
      </c>
      <c r="J181" s="2">
        <v>1220</v>
      </c>
      <c r="K181" s="2">
        <v>4760</v>
      </c>
      <c r="L181" s="2">
        <v>132.5</v>
      </c>
      <c r="M181" s="2">
        <v>11.56</v>
      </c>
      <c r="N181" s="2">
        <v>40.21</v>
      </c>
      <c r="O181" s="2">
        <v>30.49</v>
      </c>
      <c r="P181" s="2">
        <v>1710</v>
      </c>
    </row>
    <row r="182" spans="1:16" x14ac:dyDescent="0.35">
      <c r="A182" s="5">
        <v>44586</v>
      </c>
      <c r="B182" s="2">
        <v>492.2</v>
      </c>
      <c r="C182" s="2">
        <v>288</v>
      </c>
      <c r="D182" s="2">
        <v>186.73</v>
      </c>
      <c r="E182" s="2">
        <v>350</v>
      </c>
      <c r="F182" s="2">
        <v>13.05</v>
      </c>
      <c r="G182" s="2">
        <v>267.5</v>
      </c>
      <c r="H182" s="2">
        <v>2270</v>
      </c>
      <c r="I182" s="2">
        <v>1945</v>
      </c>
      <c r="J182" s="2">
        <v>1200</v>
      </c>
      <c r="K182" s="2">
        <v>4766</v>
      </c>
      <c r="L182" s="2">
        <v>132.5</v>
      </c>
      <c r="M182" s="2">
        <v>11.49</v>
      </c>
      <c r="N182" s="2">
        <v>38.85</v>
      </c>
      <c r="O182" s="2">
        <v>30.37</v>
      </c>
      <c r="P182" s="2">
        <v>1712</v>
      </c>
    </row>
    <row r="183" spans="1:16" x14ac:dyDescent="0.35">
      <c r="A183" s="5">
        <v>44587</v>
      </c>
      <c r="B183" s="2">
        <v>491.75</v>
      </c>
      <c r="C183" s="2">
        <v>287.05</v>
      </c>
      <c r="D183" s="2">
        <v>186.68</v>
      </c>
      <c r="E183" s="2">
        <v>349</v>
      </c>
      <c r="F183" s="2">
        <v>13.05</v>
      </c>
      <c r="G183" s="2">
        <v>270.8</v>
      </c>
      <c r="H183" s="2">
        <v>2255</v>
      </c>
      <c r="I183" s="2">
        <v>1960</v>
      </c>
      <c r="J183" s="2">
        <v>1215</v>
      </c>
      <c r="K183" s="2">
        <v>4800</v>
      </c>
      <c r="L183" s="2">
        <v>132.5</v>
      </c>
      <c r="M183" s="2">
        <v>11.5</v>
      </c>
      <c r="N183" s="2">
        <v>39.74</v>
      </c>
      <c r="O183" s="2">
        <v>30.25</v>
      </c>
      <c r="P183" s="2">
        <v>1765</v>
      </c>
    </row>
    <row r="184" spans="1:16" x14ac:dyDescent="0.35">
      <c r="A184" s="5">
        <v>44589</v>
      </c>
      <c r="B184" s="2">
        <v>493.9</v>
      </c>
      <c r="C184" s="2">
        <v>287</v>
      </c>
      <c r="D184" s="2">
        <v>198.05</v>
      </c>
      <c r="E184" s="2">
        <v>349</v>
      </c>
      <c r="F184" s="2">
        <v>13.05</v>
      </c>
      <c r="G184" s="2">
        <v>271</v>
      </c>
      <c r="H184" s="2">
        <v>2240</v>
      </c>
      <c r="I184" s="2">
        <v>1975</v>
      </c>
      <c r="J184" s="2">
        <v>1200</v>
      </c>
      <c r="K184" s="2">
        <v>4850</v>
      </c>
      <c r="L184" s="2">
        <v>133.4</v>
      </c>
      <c r="M184" s="2">
        <v>11.64</v>
      </c>
      <c r="N184" s="2">
        <v>39.479999999999997</v>
      </c>
      <c r="O184" s="2">
        <v>30.3</v>
      </c>
      <c r="P184" s="2">
        <v>1840</v>
      </c>
    </row>
    <row r="185" spans="1:16" x14ac:dyDescent="0.35">
      <c r="A185" s="5">
        <v>44592</v>
      </c>
      <c r="B185" s="2">
        <v>493.05</v>
      </c>
      <c r="C185" s="2">
        <v>287</v>
      </c>
      <c r="D185" s="2">
        <v>208.88</v>
      </c>
      <c r="E185" s="2">
        <v>345</v>
      </c>
      <c r="F185" s="2">
        <v>13.05</v>
      </c>
      <c r="G185" s="2">
        <v>273</v>
      </c>
      <c r="H185" s="2">
        <v>2287</v>
      </c>
      <c r="I185" s="2">
        <v>1989</v>
      </c>
      <c r="J185" s="2">
        <v>1200</v>
      </c>
      <c r="K185" s="2">
        <v>4850</v>
      </c>
      <c r="L185" s="2">
        <v>134</v>
      </c>
      <c r="M185" s="2">
        <v>11.65</v>
      </c>
      <c r="N185" s="2">
        <v>39.79</v>
      </c>
      <c r="O185" s="2">
        <v>30.12</v>
      </c>
      <c r="P185" s="2">
        <v>1874</v>
      </c>
    </row>
    <row r="186" spans="1:16" x14ac:dyDescent="0.35">
      <c r="A186" s="5">
        <v>44596</v>
      </c>
      <c r="B186" s="2">
        <v>497.8</v>
      </c>
      <c r="C186" s="2">
        <v>292</v>
      </c>
      <c r="D186" s="2">
        <v>210.86</v>
      </c>
      <c r="E186" s="2">
        <v>350</v>
      </c>
      <c r="F186" s="2">
        <v>13.05</v>
      </c>
      <c r="G186" s="2">
        <v>272.89999999999998</v>
      </c>
      <c r="H186" s="2">
        <v>2290</v>
      </c>
      <c r="I186" s="2">
        <v>1953</v>
      </c>
      <c r="J186" s="2">
        <v>1250</v>
      </c>
      <c r="K186" s="2">
        <v>4899</v>
      </c>
      <c r="L186" s="2">
        <v>140</v>
      </c>
      <c r="M186" s="2">
        <v>11.5</v>
      </c>
      <c r="N186" s="2">
        <v>39.200000000000003</v>
      </c>
      <c r="O186" s="2">
        <v>30.24</v>
      </c>
      <c r="P186" s="2">
        <v>1881</v>
      </c>
    </row>
    <row r="187" spans="1:16" x14ac:dyDescent="0.35">
      <c r="A187" s="5">
        <v>44599</v>
      </c>
      <c r="B187" s="2">
        <v>495.05</v>
      </c>
      <c r="C187" s="2">
        <v>293.95</v>
      </c>
      <c r="D187" s="2">
        <v>212.8</v>
      </c>
      <c r="E187" s="2">
        <v>350</v>
      </c>
      <c r="F187" s="2">
        <v>13</v>
      </c>
      <c r="G187" s="2">
        <v>272.89999999999998</v>
      </c>
      <c r="H187" s="2">
        <v>2256</v>
      </c>
      <c r="I187" s="2">
        <v>1950</v>
      </c>
      <c r="J187" s="2">
        <v>1233</v>
      </c>
      <c r="K187" s="2">
        <v>4900</v>
      </c>
      <c r="L187" s="2">
        <v>142</v>
      </c>
      <c r="M187" s="2">
        <v>11.66</v>
      </c>
      <c r="N187" s="2">
        <v>41.55</v>
      </c>
      <c r="O187" s="2">
        <v>30.5</v>
      </c>
      <c r="P187" s="2">
        <v>1894</v>
      </c>
    </row>
    <row r="188" spans="1:16" x14ac:dyDescent="0.35">
      <c r="A188" s="5">
        <v>44600</v>
      </c>
      <c r="B188" s="2">
        <v>495.05</v>
      </c>
      <c r="C188" s="2">
        <v>294</v>
      </c>
      <c r="D188" s="2">
        <v>215.7</v>
      </c>
      <c r="E188" s="2">
        <v>346</v>
      </c>
      <c r="F188" s="2">
        <v>13</v>
      </c>
      <c r="G188" s="2">
        <v>272.05</v>
      </c>
      <c r="H188" s="2">
        <v>2290</v>
      </c>
      <c r="I188" s="2">
        <v>1985</v>
      </c>
      <c r="J188" s="2">
        <v>1240</v>
      </c>
      <c r="K188" s="2">
        <v>4900</v>
      </c>
      <c r="L188" s="2">
        <v>143.69999999999999</v>
      </c>
      <c r="M188" s="2">
        <v>11.6</v>
      </c>
      <c r="N188" s="2">
        <v>41</v>
      </c>
      <c r="O188" s="2">
        <v>30.5</v>
      </c>
      <c r="P188" s="2">
        <v>1851</v>
      </c>
    </row>
    <row r="189" spans="1:16" x14ac:dyDescent="0.35">
      <c r="A189" s="5">
        <v>44601</v>
      </c>
      <c r="B189" s="2">
        <v>491.15</v>
      </c>
      <c r="C189" s="2">
        <v>292.5</v>
      </c>
      <c r="D189" s="2">
        <v>215.7</v>
      </c>
      <c r="E189" s="2">
        <v>350.1</v>
      </c>
      <c r="F189" s="2">
        <v>13</v>
      </c>
      <c r="G189" s="2">
        <v>271.10000000000002</v>
      </c>
      <c r="H189" s="2">
        <v>2285</v>
      </c>
      <c r="I189" s="2">
        <v>1980</v>
      </c>
      <c r="J189" s="2">
        <v>1226</v>
      </c>
      <c r="K189" s="2">
        <v>4950</v>
      </c>
      <c r="L189" s="2">
        <v>139.6</v>
      </c>
      <c r="M189" s="2">
        <v>11.89</v>
      </c>
      <c r="N189" s="2">
        <v>43.45</v>
      </c>
      <c r="O189" s="2">
        <v>30.99</v>
      </c>
      <c r="P189" s="2">
        <v>1830</v>
      </c>
    </row>
    <row r="190" spans="1:16" x14ac:dyDescent="0.35">
      <c r="A190" s="5">
        <v>44602</v>
      </c>
      <c r="B190" s="2">
        <v>493</v>
      </c>
      <c r="C190" s="2">
        <v>295</v>
      </c>
      <c r="D190" s="2">
        <v>215.7</v>
      </c>
      <c r="E190" s="2">
        <v>358.4</v>
      </c>
      <c r="F190" s="2">
        <v>13</v>
      </c>
      <c r="G190" s="2">
        <v>271.95</v>
      </c>
      <c r="H190" s="2">
        <v>2280</v>
      </c>
      <c r="I190" s="2">
        <v>1985</v>
      </c>
      <c r="J190" s="2">
        <v>1249</v>
      </c>
      <c r="K190" s="2">
        <v>4950</v>
      </c>
      <c r="L190" s="2">
        <v>141</v>
      </c>
      <c r="M190" s="2">
        <v>12</v>
      </c>
      <c r="N190" s="2">
        <v>46.05</v>
      </c>
      <c r="O190" s="2">
        <v>30.3</v>
      </c>
      <c r="P190" s="2">
        <v>1818</v>
      </c>
    </row>
    <row r="191" spans="1:16" x14ac:dyDescent="0.35">
      <c r="A191" s="5">
        <v>44614</v>
      </c>
      <c r="B191" s="2">
        <v>478</v>
      </c>
      <c r="C191" s="2">
        <v>285</v>
      </c>
      <c r="D191" s="2">
        <v>199.74</v>
      </c>
      <c r="E191" s="2">
        <v>351</v>
      </c>
      <c r="F191" s="2">
        <v>12.6</v>
      </c>
      <c r="G191" s="2">
        <v>253.05</v>
      </c>
      <c r="H191" s="2">
        <v>2179</v>
      </c>
      <c r="I191" s="2">
        <v>1919</v>
      </c>
      <c r="J191" s="2">
        <v>1160</v>
      </c>
      <c r="K191" s="2">
        <v>4700</v>
      </c>
      <c r="L191" s="2">
        <v>134.85</v>
      </c>
      <c r="M191" s="2">
        <v>11.31</v>
      </c>
      <c r="N191" s="2">
        <v>59.3</v>
      </c>
      <c r="O191" s="2">
        <v>33.64</v>
      </c>
      <c r="P191" s="2">
        <v>1772.7</v>
      </c>
    </row>
    <row r="192" spans="1:16" x14ac:dyDescent="0.35">
      <c r="A192" s="5">
        <v>44617</v>
      </c>
      <c r="B192" s="2">
        <v>473</v>
      </c>
      <c r="C192" s="2">
        <v>275</v>
      </c>
      <c r="D192" s="2">
        <v>194.9</v>
      </c>
      <c r="E192" s="2">
        <v>355</v>
      </c>
      <c r="F192" s="2">
        <v>12.35</v>
      </c>
      <c r="G192" s="2">
        <v>246</v>
      </c>
      <c r="H192" s="2">
        <v>2050</v>
      </c>
      <c r="I192" s="2">
        <v>1800</v>
      </c>
      <c r="J192" s="2">
        <v>1158</v>
      </c>
      <c r="K192" s="2">
        <v>4700</v>
      </c>
      <c r="L192" s="2">
        <v>129</v>
      </c>
      <c r="M192" s="2">
        <v>10.95</v>
      </c>
      <c r="N192" s="2">
        <v>59.88</v>
      </c>
      <c r="O192" s="2">
        <v>30.56</v>
      </c>
      <c r="P192" s="2">
        <v>1738.23</v>
      </c>
    </row>
    <row r="193" spans="1:16" x14ac:dyDescent="0.35">
      <c r="A193" s="5">
        <v>44620</v>
      </c>
      <c r="B193" s="2">
        <v>470.95</v>
      </c>
      <c r="C193" s="2">
        <v>275</v>
      </c>
      <c r="D193" s="2">
        <v>193.45</v>
      </c>
      <c r="E193" s="2">
        <v>358</v>
      </c>
      <c r="F193" s="2">
        <v>12.3</v>
      </c>
      <c r="G193" s="2">
        <v>241</v>
      </c>
      <c r="H193" s="2">
        <v>1961</v>
      </c>
      <c r="I193" s="2">
        <v>1790</v>
      </c>
      <c r="J193" s="2">
        <v>1160</v>
      </c>
      <c r="K193" s="2">
        <v>4700</v>
      </c>
      <c r="L193" s="2">
        <v>130</v>
      </c>
      <c r="M193" s="2">
        <v>11.4</v>
      </c>
      <c r="N193" s="2">
        <v>56.29</v>
      </c>
      <c r="O193" s="2">
        <v>31.42</v>
      </c>
      <c r="P193" s="2">
        <v>1810.13</v>
      </c>
    </row>
    <row r="194" spans="1:16" x14ac:dyDescent="0.35">
      <c r="A194" s="5">
        <v>44621</v>
      </c>
      <c r="B194" s="2">
        <v>470</v>
      </c>
      <c r="C194" s="2">
        <v>275</v>
      </c>
      <c r="D194" s="2">
        <v>193.45</v>
      </c>
      <c r="E194" s="2">
        <v>355</v>
      </c>
      <c r="F194" s="2">
        <v>12.3</v>
      </c>
      <c r="G194" s="2">
        <v>241.5</v>
      </c>
      <c r="H194" s="2">
        <v>2000</v>
      </c>
      <c r="I194" s="2">
        <v>1800</v>
      </c>
      <c r="J194" s="2">
        <v>1159</v>
      </c>
      <c r="K194" s="2">
        <v>4700</v>
      </c>
      <c r="L194" s="2">
        <v>128</v>
      </c>
      <c r="M194" s="2">
        <v>10.72</v>
      </c>
      <c r="N194" s="2">
        <v>52.92</v>
      </c>
      <c r="O194" s="2">
        <v>29.54</v>
      </c>
      <c r="P194" s="2">
        <v>1821.94</v>
      </c>
    </row>
    <row r="195" spans="1:16" x14ac:dyDescent="0.35">
      <c r="A195" s="5">
        <v>44622</v>
      </c>
      <c r="B195" s="2">
        <v>470</v>
      </c>
      <c r="C195" s="2">
        <v>274</v>
      </c>
      <c r="D195" s="2">
        <v>195.48</v>
      </c>
      <c r="E195" s="2">
        <v>354</v>
      </c>
      <c r="F195" s="2">
        <v>12.15</v>
      </c>
      <c r="G195" s="2">
        <v>239</v>
      </c>
      <c r="H195" s="2">
        <v>1966</v>
      </c>
      <c r="I195" s="2">
        <v>1784</v>
      </c>
      <c r="J195" s="2">
        <v>1107</v>
      </c>
      <c r="K195" s="2">
        <v>4530</v>
      </c>
      <c r="L195" s="2">
        <v>126.5</v>
      </c>
      <c r="M195" s="2">
        <v>10.08</v>
      </c>
      <c r="N195" s="2">
        <v>53</v>
      </c>
      <c r="O195" s="2">
        <v>29.22</v>
      </c>
      <c r="P195" s="2">
        <v>1793.38</v>
      </c>
    </row>
    <row r="196" spans="1:16" x14ac:dyDescent="0.35">
      <c r="A196" s="5">
        <v>44624</v>
      </c>
      <c r="B196" s="2">
        <v>455</v>
      </c>
      <c r="C196" s="2">
        <v>270</v>
      </c>
      <c r="D196" s="2">
        <v>193.45</v>
      </c>
      <c r="E196" s="2">
        <v>355</v>
      </c>
      <c r="F196" s="2">
        <v>11.9</v>
      </c>
      <c r="G196" s="2">
        <v>236</v>
      </c>
      <c r="H196" s="2">
        <v>1994</v>
      </c>
      <c r="I196" s="2">
        <v>1780</v>
      </c>
      <c r="J196" s="2">
        <v>1050</v>
      </c>
      <c r="K196" s="2">
        <v>4550</v>
      </c>
      <c r="L196" s="2">
        <v>127</v>
      </c>
      <c r="M196" s="2">
        <v>8.92</v>
      </c>
      <c r="N196" s="2">
        <v>47.9</v>
      </c>
      <c r="O196" s="2">
        <v>25.83</v>
      </c>
      <c r="P196" s="2">
        <v>1713.61</v>
      </c>
    </row>
    <row r="197" spans="1:16" x14ac:dyDescent="0.35">
      <c r="A197" s="5">
        <v>44627</v>
      </c>
      <c r="B197" s="2">
        <v>436</v>
      </c>
      <c r="C197" s="2">
        <v>260</v>
      </c>
      <c r="D197" s="2">
        <v>187.65</v>
      </c>
      <c r="E197" s="2">
        <v>352</v>
      </c>
      <c r="F197" s="2">
        <v>12.05</v>
      </c>
      <c r="G197" s="2">
        <v>223</v>
      </c>
      <c r="H197" s="2">
        <v>1880</v>
      </c>
      <c r="I197" s="2">
        <v>1747</v>
      </c>
      <c r="J197" s="2">
        <v>1035</v>
      </c>
      <c r="K197" s="2">
        <v>4400</v>
      </c>
      <c r="L197" s="2">
        <v>125</v>
      </c>
      <c r="M197" s="2">
        <v>8.39</v>
      </c>
      <c r="N197" s="2">
        <v>46.01</v>
      </c>
      <c r="O197" s="2">
        <v>24.29</v>
      </c>
      <c r="P197" s="2">
        <v>1693.92</v>
      </c>
    </row>
    <row r="198" spans="1:16" x14ac:dyDescent="0.35">
      <c r="A198" s="5">
        <v>44628</v>
      </c>
      <c r="B198" s="2">
        <v>455</v>
      </c>
      <c r="C198" s="2">
        <v>261</v>
      </c>
      <c r="D198" s="2">
        <v>190.55</v>
      </c>
      <c r="E198" s="2">
        <v>340</v>
      </c>
      <c r="F198" s="2">
        <v>12.1</v>
      </c>
      <c r="G198" s="2">
        <v>236.35</v>
      </c>
      <c r="H198" s="2">
        <v>1890</v>
      </c>
      <c r="I198" s="2">
        <v>1741</v>
      </c>
      <c r="J198" s="2">
        <v>1039</v>
      </c>
      <c r="K198" s="2">
        <v>4640</v>
      </c>
      <c r="L198" s="2">
        <v>132</v>
      </c>
      <c r="M198" s="2">
        <v>8.4</v>
      </c>
      <c r="N198" s="2">
        <v>48.77</v>
      </c>
      <c r="O198" s="2">
        <v>25.74</v>
      </c>
      <c r="P198" s="2">
        <v>1723.46</v>
      </c>
    </row>
    <row r="199" spans="1:16" x14ac:dyDescent="0.35">
      <c r="A199" s="5">
        <v>44629</v>
      </c>
      <c r="B199" s="2">
        <v>460</v>
      </c>
      <c r="C199" s="2">
        <v>265.89999999999998</v>
      </c>
      <c r="D199" s="2">
        <v>193.45</v>
      </c>
      <c r="E199" s="2">
        <v>341</v>
      </c>
      <c r="F199" s="2">
        <v>12.1</v>
      </c>
      <c r="G199" s="2">
        <v>247</v>
      </c>
      <c r="H199" s="2">
        <v>1993</v>
      </c>
      <c r="I199" s="2">
        <v>1762</v>
      </c>
      <c r="J199" s="2">
        <v>1058</v>
      </c>
      <c r="K199" s="2">
        <v>4641</v>
      </c>
      <c r="L199" s="2">
        <v>131.05000000000001</v>
      </c>
      <c r="M199" s="2">
        <v>8.4</v>
      </c>
      <c r="N199" s="2">
        <v>51.69</v>
      </c>
      <c r="O199" s="2">
        <v>27.28</v>
      </c>
      <c r="P199" s="2">
        <v>1820.96</v>
      </c>
    </row>
    <row r="200" spans="1:16" x14ac:dyDescent="0.35">
      <c r="A200" s="5">
        <v>44630</v>
      </c>
      <c r="B200" s="2">
        <v>450</v>
      </c>
      <c r="C200" s="2">
        <v>260</v>
      </c>
      <c r="D200" s="2">
        <v>190.55</v>
      </c>
      <c r="E200" s="2">
        <v>341</v>
      </c>
      <c r="F200" s="2">
        <v>12</v>
      </c>
      <c r="G200" s="2">
        <v>235</v>
      </c>
      <c r="H200" s="2">
        <v>1877</v>
      </c>
      <c r="I200" s="2">
        <v>1665</v>
      </c>
      <c r="J200" s="2">
        <v>1036</v>
      </c>
      <c r="K200" s="2">
        <v>4363</v>
      </c>
      <c r="L200" s="2">
        <v>127</v>
      </c>
      <c r="M200" s="2">
        <v>8.4</v>
      </c>
      <c r="N200" s="2">
        <v>54.79</v>
      </c>
      <c r="O200" s="2">
        <v>28.89</v>
      </c>
      <c r="P200" s="2">
        <v>1825.88</v>
      </c>
    </row>
    <row r="201" spans="1:16" x14ac:dyDescent="0.35">
      <c r="A201" s="5">
        <v>44631</v>
      </c>
      <c r="B201" s="2">
        <v>450</v>
      </c>
      <c r="C201" s="2">
        <v>265</v>
      </c>
      <c r="D201" s="2">
        <v>188.62</v>
      </c>
      <c r="E201" s="2">
        <v>345</v>
      </c>
      <c r="F201" s="2">
        <v>12.15</v>
      </c>
      <c r="G201" s="2">
        <v>237.1</v>
      </c>
      <c r="H201" s="2">
        <v>1850</v>
      </c>
      <c r="I201" s="2">
        <v>1710</v>
      </c>
      <c r="J201" s="2">
        <v>1083</v>
      </c>
      <c r="K201" s="2">
        <v>4623</v>
      </c>
      <c r="L201" s="2">
        <v>132</v>
      </c>
      <c r="M201" s="2">
        <v>7.97</v>
      </c>
      <c r="N201" s="2">
        <v>58.07</v>
      </c>
      <c r="O201" s="2">
        <v>28.03</v>
      </c>
      <c r="P201" s="2">
        <v>1861.34</v>
      </c>
    </row>
    <row r="202" spans="1:16" x14ac:dyDescent="0.35">
      <c r="A202" s="5">
        <v>44636</v>
      </c>
      <c r="B202" s="2">
        <v>459</v>
      </c>
      <c r="C202" s="2">
        <v>265.39999999999998</v>
      </c>
      <c r="D202" s="2">
        <v>193.45</v>
      </c>
      <c r="E202" s="2">
        <v>342</v>
      </c>
      <c r="F202" s="2">
        <v>12.2</v>
      </c>
      <c r="G202" s="2">
        <v>242</v>
      </c>
      <c r="H202" s="2">
        <v>1860</v>
      </c>
      <c r="I202" s="2">
        <v>1740</v>
      </c>
      <c r="J202" s="2">
        <v>1053</v>
      </c>
      <c r="K202" s="2">
        <v>4825</v>
      </c>
      <c r="L202" s="2">
        <v>128.35</v>
      </c>
      <c r="M202" s="2">
        <v>8.4499999999999993</v>
      </c>
      <c r="N202" s="2">
        <v>63.15</v>
      </c>
      <c r="O202" s="2">
        <v>28.24</v>
      </c>
      <c r="P202" s="2">
        <v>1888.91</v>
      </c>
    </row>
    <row r="203" spans="1:16" x14ac:dyDescent="0.35">
      <c r="A203" s="5">
        <v>44638</v>
      </c>
      <c r="B203" s="2">
        <v>464</v>
      </c>
      <c r="C203" s="2">
        <v>269</v>
      </c>
      <c r="D203" s="2">
        <v>193.45</v>
      </c>
      <c r="E203" s="2">
        <v>345</v>
      </c>
      <c r="F203" s="2">
        <v>12.25</v>
      </c>
      <c r="G203" s="2">
        <v>243.8</v>
      </c>
      <c r="H203" s="2">
        <v>1910</v>
      </c>
      <c r="I203" s="2">
        <v>1770</v>
      </c>
      <c r="J203" s="2">
        <v>1100</v>
      </c>
      <c r="K203" s="2">
        <v>4750</v>
      </c>
      <c r="L203" s="2">
        <v>131</v>
      </c>
      <c r="M203" s="2">
        <v>8</v>
      </c>
      <c r="N203" s="2">
        <v>59.51</v>
      </c>
      <c r="O203" s="2">
        <v>28.05</v>
      </c>
      <c r="P203" s="2">
        <v>1875.13</v>
      </c>
    </row>
    <row r="204" spans="1:16" x14ac:dyDescent="0.35">
      <c r="A204" s="5">
        <v>44641</v>
      </c>
      <c r="B204" s="2">
        <v>461</v>
      </c>
      <c r="C204" s="2">
        <v>266.5</v>
      </c>
      <c r="D204" s="2">
        <v>193.45</v>
      </c>
      <c r="E204" s="2">
        <v>343</v>
      </c>
      <c r="F204" s="2">
        <v>12.3</v>
      </c>
      <c r="G204" s="2">
        <v>237.6</v>
      </c>
      <c r="H204" s="2">
        <v>1917</v>
      </c>
      <c r="I204" s="2">
        <v>1810</v>
      </c>
      <c r="J204" s="2">
        <v>1100</v>
      </c>
      <c r="K204" s="2">
        <v>4750</v>
      </c>
      <c r="L204" s="2">
        <v>132.5</v>
      </c>
      <c r="M204" s="2">
        <v>8.11</v>
      </c>
      <c r="N204" s="2">
        <v>59.01</v>
      </c>
      <c r="O204" s="2">
        <v>28.29</v>
      </c>
      <c r="P204" s="2">
        <v>1886.94</v>
      </c>
    </row>
    <row r="205" spans="1:16" x14ac:dyDescent="0.35">
      <c r="A205" s="5">
        <v>44642</v>
      </c>
      <c r="B205" s="2">
        <v>459</v>
      </c>
      <c r="C205" s="2">
        <v>265.10000000000002</v>
      </c>
      <c r="D205" s="2">
        <v>193.45</v>
      </c>
      <c r="E205" s="2">
        <v>340</v>
      </c>
      <c r="F205" s="2">
        <v>12.2</v>
      </c>
      <c r="G205" s="2">
        <v>240</v>
      </c>
      <c r="H205" s="2">
        <v>1904</v>
      </c>
      <c r="I205" s="2">
        <v>1800</v>
      </c>
      <c r="J205" s="2">
        <v>1090</v>
      </c>
      <c r="K205" s="2">
        <v>4700</v>
      </c>
      <c r="L205" s="2">
        <v>131</v>
      </c>
      <c r="M205" s="2">
        <v>7.77</v>
      </c>
      <c r="N205" s="2">
        <v>56</v>
      </c>
      <c r="O205" s="2">
        <v>28.19</v>
      </c>
      <c r="P205" s="2">
        <v>1900.73</v>
      </c>
    </row>
    <row r="206" spans="1:16" x14ac:dyDescent="0.35">
      <c r="A206" s="5">
        <v>44644</v>
      </c>
      <c r="B206" s="2">
        <v>442.2</v>
      </c>
      <c r="C206" s="2">
        <v>256</v>
      </c>
      <c r="D206" s="2">
        <v>189.58</v>
      </c>
      <c r="E206" s="2">
        <v>332.5</v>
      </c>
      <c r="F206" s="2">
        <v>12.35</v>
      </c>
      <c r="G206" s="2">
        <v>233</v>
      </c>
      <c r="H206" s="2">
        <v>1845</v>
      </c>
      <c r="I206" s="2">
        <v>1800</v>
      </c>
      <c r="J206" s="2">
        <v>1066</v>
      </c>
      <c r="K206" s="2">
        <v>4815</v>
      </c>
      <c r="L206" s="2">
        <v>127</v>
      </c>
      <c r="M206" s="2">
        <v>7.14</v>
      </c>
      <c r="N206" s="2">
        <v>52.06</v>
      </c>
      <c r="O206" s="2">
        <v>25.8</v>
      </c>
      <c r="P206" s="2">
        <v>1870.2</v>
      </c>
    </row>
    <row r="207" spans="1:16" x14ac:dyDescent="0.35">
      <c r="A207" s="5">
        <v>44645</v>
      </c>
      <c r="B207" s="2">
        <v>445.4</v>
      </c>
      <c r="C207" s="2">
        <v>260</v>
      </c>
      <c r="D207" s="2">
        <v>191.03</v>
      </c>
      <c r="E207" s="2">
        <v>340</v>
      </c>
      <c r="F207" s="2">
        <v>12.2</v>
      </c>
      <c r="G207" s="2">
        <v>236</v>
      </c>
      <c r="H207" s="2">
        <v>1850</v>
      </c>
      <c r="I207" s="2">
        <v>1800</v>
      </c>
      <c r="J207" s="2">
        <v>1065</v>
      </c>
      <c r="K207" s="2">
        <v>4815</v>
      </c>
      <c r="L207" s="2">
        <v>129</v>
      </c>
      <c r="M207" s="2">
        <v>7.14</v>
      </c>
      <c r="N207" s="2">
        <v>55.18</v>
      </c>
      <c r="O207" s="2">
        <v>26.5</v>
      </c>
      <c r="P207" s="2">
        <v>1871.19</v>
      </c>
    </row>
    <row r="208" spans="1:16" x14ac:dyDescent="0.35">
      <c r="A208" s="5">
        <v>44650</v>
      </c>
      <c r="B208" s="2">
        <v>460.05</v>
      </c>
      <c r="C208" s="2">
        <v>264.89999999999998</v>
      </c>
      <c r="D208" s="2">
        <v>192.49</v>
      </c>
      <c r="E208" s="2">
        <v>343</v>
      </c>
      <c r="F208" s="2">
        <v>12.25</v>
      </c>
      <c r="G208" s="2">
        <v>242</v>
      </c>
      <c r="H208" s="2">
        <v>1861</v>
      </c>
      <c r="I208" s="2">
        <v>1845</v>
      </c>
      <c r="J208" s="2">
        <v>1069</v>
      </c>
      <c r="K208" s="2">
        <v>4530</v>
      </c>
      <c r="L208" s="2">
        <v>128</v>
      </c>
      <c r="M208" s="2">
        <v>7.51</v>
      </c>
      <c r="N208" s="2">
        <v>61.5</v>
      </c>
      <c r="O208" s="2">
        <v>28.2</v>
      </c>
      <c r="P208" s="2">
        <v>1945.05</v>
      </c>
    </row>
    <row r="209" spans="1:16" x14ac:dyDescent="0.35">
      <c r="A209" s="5">
        <v>44651</v>
      </c>
      <c r="B209" s="2">
        <v>460</v>
      </c>
      <c r="C209" s="2">
        <v>267</v>
      </c>
      <c r="D209" s="2">
        <v>192.49</v>
      </c>
      <c r="E209" s="2">
        <v>344</v>
      </c>
      <c r="F209" s="2">
        <v>12.1</v>
      </c>
      <c r="G209" s="2">
        <v>243</v>
      </c>
      <c r="H209" s="2">
        <v>1905</v>
      </c>
      <c r="I209" s="2">
        <v>1850</v>
      </c>
      <c r="J209" s="2">
        <v>1070</v>
      </c>
      <c r="K209" s="2">
        <v>4801</v>
      </c>
      <c r="L209" s="2">
        <v>126.15</v>
      </c>
      <c r="M209" s="2">
        <v>7.25</v>
      </c>
      <c r="N209" s="2">
        <v>63.99</v>
      </c>
      <c r="O209" s="2">
        <v>27</v>
      </c>
      <c r="P209" s="2">
        <v>1941.11</v>
      </c>
    </row>
    <row r="210" spans="1:16" x14ac:dyDescent="0.35">
      <c r="A210" s="5">
        <v>44658</v>
      </c>
      <c r="B210" s="2">
        <v>469</v>
      </c>
      <c r="C210" s="2">
        <v>265.2</v>
      </c>
      <c r="D210" s="2">
        <v>193.45</v>
      </c>
      <c r="E210" s="2">
        <v>344.4</v>
      </c>
      <c r="F210" s="2">
        <v>12.35</v>
      </c>
      <c r="G210" s="2">
        <v>236.65</v>
      </c>
      <c r="H210" s="2">
        <v>1945</v>
      </c>
      <c r="I210" s="2">
        <v>1826</v>
      </c>
      <c r="J210" s="2">
        <v>1073</v>
      </c>
      <c r="K210" s="2">
        <v>4700</v>
      </c>
      <c r="L210" s="2">
        <v>130</v>
      </c>
      <c r="M210" s="2">
        <v>8.6999999999999993</v>
      </c>
      <c r="N210" s="2">
        <v>70</v>
      </c>
      <c r="O210" s="2">
        <v>30.48</v>
      </c>
      <c r="P210" s="2">
        <v>1999.22</v>
      </c>
    </row>
    <row r="211" spans="1:16" x14ac:dyDescent="0.35">
      <c r="A211" s="5">
        <v>44664</v>
      </c>
      <c r="B211" s="2">
        <v>464</v>
      </c>
      <c r="C211" s="2">
        <v>266.10000000000002</v>
      </c>
      <c r="D211" s="2">
        <v>193.98</v>
      </c>
      <c r="E211" s="2">
        <v>344</v>
      </c>
      <c r="F211" s="2">
        <v>12.35</v>
      </c>
      <c r="G211" s="2">
        <v>240</v>
      </c>
      <c r="H211" s="2">
        <v>1971</v>
      </c>
      <c r="I211" s="2">
        <v>1807</v>
      </c>
      <c r="J211" s="2">
        <v>1070</v>
      </c>
      <c r="K211" s="2">
        <v>4605</v>
      </c>
      <c r="L211" s="2">
        <v>135</v>
      </c>
      <c r="M211" s="2">
        <v>8.85</v>
      </c>
      <c r="N211" s="2">
        <v>73</v>
      </c>
      <c r="O211" s="2">
        <v>28</v>
      </c>
      <c r="P211" s="2">
        <v>2013.99</v>
      </c>
    </row>
    <row r="212" spans="1:16" x14ac:dyDescent="0.35">
      <c r="A212" s="5">
        <v>44672</v>
      </c>
      <c r="B212" s="2">
        <v>466.1</v>
      </c>
      <c r="C212" s="2">
        <v>266</v>
      </c>
      <c r="D212" s="2">
        <v>193.45</v>
      </c>
      <c r="E212" s="2">
        <v>337</v>
      </c>
      <c r="F212" s="2">
        <v>12.45</v>
      </c>
      <c r="G212" s="2">
        <v>240.25</v>
      </c>
      <c r="H212" s="2">
        <v>1980</v>
      </c>
      <c r="I212" s="2">
        <v>1870</v>
      </c>
      <c r="J212" s="2">
        <v>1150</v>
      </c>
      <c r="K212" s="2">
        <v>4800</v>
      </c>
      <c r="L212" s="2">
        <v>134</v>
      </c>
      <c r="M212" s="2">
        <v>8.6300000000000008</v>
      </c>
      <c r="N212" s="2">
        <v>71.09</v>
      </c>
      <c r="O212" s="2">
        <v>28.75</v>
      </c>
      <c r="P212" s="2">
        <v>2122.3200000000002</v>
      </c>
    </row>
    <row r="213" spans="1:16" x14ac:dyDescent="0.35">
      <c r="A213" s="5">
        <v>44676</v>
      </c>
      <c r="B213" s="2">
        <v>468</v>
      </c>
      <c r="C213" s="2">
        <v>268</v>
      </c>
      <c r="D213" s="2">
        <v>194.42</v>
      </c>
      <c r="E213" s="2">
        <v>345.8</v>
      </c>
      <c r="F213" s="2">
        <v>12.55</v>
      </c>
      <c r="G213" s="2">
        <v>247.45</v>
      </c>
      <c r="H213" s="2">
        <v>1990</v>
      </c>
      <c r="I213" s="2">
        <v>1840</v>
      </c>
      <c r="J213" s="2">
        <v>1150</v>
      </c>
      <c r="K213" s="2">
        <v>4660</v>
      </c>
      <c r="L213" s="2">
        <v>133.44999999999999</v>
      </c>
      <c r="M213" s="2">
        <v>8.65</v>
      </c>
      <c r="N213" s="2">
        <v>69</v>
      </c>
      <c r="O213" s="2">
        <v>27.99</v>
      </c>
      <c r="P213" s="2">
        <v>2166.64</v>
      </c>
    </row>
    <row r="214" spans="1:16" x14ac:dyDescent="0.35">
      <c r="A214" s="5">
        <v>44677</v>
      </c>
      <c r="B214" s="2">
        <v>462.1</v>
      </c>
      <c r="C214" s="2">
        <v>265</v>
      </c>
      <c r="D214" s="2">
        <v>193.5</v>
      </c>
      <c r="E214" s="2">
        <v>345</v>
      </c>
      <c r="F214" s="2">
        <v>12.7</v>
      </c>
      <c r="G214" s="2">
        <v>248.5</v>
      </c>
      <c r="H214" s="2">
        <v>2010</v>
      </c>
      <c r="I214" s="2">
        <v>1835</v>
      </c>
      <c r="J214" s="2">
        <v>1148</v>
      </c>
      <c r="K214" s="2">
        <v>4660</v>
      </c>
      <c r="L214" s="2">
        <v>136</v>
      </c>
      <c r="M214" s="2">
        <v>8.41</v>
      </c>
      <c r="N214" s="2">
        <v>68.790000000000006</v>
      </c>
      <c r="O214" s="2">
        <v>27.5</v>
      </c>
      <c r="P214" s="2">
        <v>2117.4</v>
      </c>
    </row>
    <row r="215" spans="1:16" x14ac:dyDescent="0.35">
      <c r="A215" s="5">
        <v>44678</v>
      </c>
      <c r="B215" s="2">
        <v>463.5</v>
      </c>
      <c r="C215" s="2">
        <v>267</v>
      </c>
      <c r="D215" s="2">
        <v>194.42</v>
      </c>
      <c r="E215" s="2">
        <v>336.5</v>
      </c>
      <c r="F215" s="2">
        <v>12.8</v>
      </c>
      <c r="G215" s="2">
        <v>247</v>
      </c>
      <c r="H215" s="2">
        <v>1946</v>
      </c>
      <c r="I215" s="2">
        <v>1835</v>
      </c>
      <c r="J215" s="2">
        <v>1120</v>
      </c>
      <c r="K215" s="2">
        <v>4799</v>
      </c>
      <c r="L215" s="2">
        <v>134.05000000000001</v>
      </c>
      <c r="M215" s="2">
        <v>8.41</v>
      </c>
      <c r="N215" s="2">
        <v>72.91</v>
      </c>
      <c r="O215" s="2">
        <v>27.5</v>
      </c>
      <c r="P215" s="2">
        <v>2118.38</v>
      </c>
    </row>
    <row r="216" spans="1:16" x14ac:dyDescent="0.35">
      <c r="A216" s="5">
        <v>44680</v>
      </c>
      <c r="B216" s="2">
        <v>465.05</v>
      </c>
      <c r="C216" s="2">
        <v>267</v>
      </c>
      <c r="D216" s="2">
        <v>193.94</v>
      </c>
      <c r="E216" s="2">
        <v>340</v>
      </c>
      <c r="F216" s="2">
        <v>12.85</v>
      </c>
      <c r="G216" s="2">
        <v>250</v>
      </c>
      <c r="H216" s="2">
        <v>2000</v>
      </c>
      <c r="I216" s="2">
        <v>1835</v>
      </c>
      <c r="J216" s="2">
        <v>1145</v>
      </c>
      <c r="K216" s="2">
        <v>4610</v>
      </c>
      <c r="L216" s="2">
        <v>139</v>
      </c>
      <c r="M216" s="2">
        <v>8.1</v>
      </c>
      <c r="N216" s="2">
        <v>74.95</v>
      </c>
      <c r="O216" s="2">
        <v>27.3</v>
      </c>
      <c r="P216" s="2">
        <v>2166.64</v>
      </c>
    </row>
    <row r="217" spans="1:16" x14ac:dyDescent="0.35">
      <c r="A217" s="5">
        <v>44686</v>
      </c>
      <c r="B217" s="2">
        <v>465</v>
      </c>
      <c r="C217" s="2">
        <v>266</v>
      </c>
      <c r="D217" s="2">
        <v>193.45</v>
      </c>
      <c r="E217" s="2">
        <v>342</v>
      </c>
      <c r="F217" s="2">
        <v>12.6</v>
      </c>
      <c r="G217" s="2">
        <v>249.8</v>
      </c>
      <c r="H217" s="2">
        <v>2000</v>
      </c>
      <c r="I217" s="2">
        <v>1830</v>
      </c>
      <c r="J217" s="2">
        <v>1145</v>
      </c>
      <c r="K217" s="2">
        <v>4600</v>
      </c>
      <c r="L217" s="2">
        <v>139.6</v>
      </c>
      <c r="M217" s="2">
        <v>8.23</v>
      </c>
      <c r="N217" s="2">
        <v>76</v>
      </c>
      <c r="O217" s="2">
        <v>27.6</v>
      </c>
      <c r="P217" s="2">
        <v>2186.33</v>
      </c>
    </row>
    <row r="218" spans="1:16" x14ac:dyDescent="0.35">
      <c r="A218" s="5">
        <v>44687</v>
      </c>
      <c r="B218" s="2">
        <v>462.5</v>
      </c>
      <c r="C218" s="2">
        <v>265.5</v>
      </c>
      <c r="D218" s="2">
        <v>193.45</v>
      </c>
      <c r="E218" s="2">
        <v>344</v>
      </c>
      <c r="F218" s="2">
        <v>12.6</v>
      </c>
      <c r="G218" s="2">
        <v>249.5</v>
      </c>
      <c r="H218" s="2">
        <v>1975</v>
      </c>
      <c r="I218" s="2">
        <v>1825</v>
      </c>
      <c r="J218" s="2">
        <v>1120</v>
      </c>
      <c r="K218" s="2">
        <v>4600</v>
      </c>
      <c r="L218" s="2">
        <v>140.75</v>
      </c>
      <c r="M218" s="2">
        <v>8.14</v>
      </c>
      <c r="N218" s="2">
        <v>74</v>
      </c>
      <c r="O218" s="2">
        <v>27.79</v>
      </c>
      <c r="P218" s="2">
        <v>2206.0300000000002</v>
      </c>
    </row>
    <row r="219" spans="1:16" x14ac:dyDescent="0.35">
      <c r="A219" s="5">
        <v>44694</v>
      </c>
      <c r="B219" s="2">
        <v>445</v>
      </c>
      <c r="C219" s="2">
        <v>257.89999999999998</v>
      </c>
      <c r="D219" s="2">
        <v>191.28</v>
      </c>
      <c r="E219" s="2">
        <v>335</v>
      </c>
      <c r="F219" s="2">
        <v>12.5</v>
      </c>
      <c r="G219" s="2">
        <v>243</v>
      </c>
      <c r="H219" s="2">
        <v>1860</v>
      </c>
      <c r="I219" s="2">
        <v>1750</v>
      </c>
      <c r="J219" s="2">
        <v>1080</v>
      </c>
      <c r="K219" s="2">
        <v>4600</v>
      </c>
      <c r="L219" s="2">
        <v>137</v>
      </c>
      <c r="M219" s="2">
        <v>7.75</v>
      </c>
      <c r="N219" s="2">
        <v>71.150000000000006</v>
      </c>
      <c r="O219" s="2">
        <v>27</v>
      </c>
      <c r="P219" s="2">
        <v>2153.83</v>
      </c>
    </row>
    <row r="220" spans="1:16" x14ac:dyDescent="0.35">
      <c r="A220" s="5">
        <v>44699</v>
      </c>
      <c r="B220" s="2">
        <v>446</v>
      </c>
      <c r="C220" s="2">
        <v>257</v>
      </c>
      <c r="D220" s="2">
        <v>188.62</v>
      </c>
      <c r="E220" s="2">
        <v>331.95</v>
      </c>
      <c r="F220" s="2">
        <v>12.35</v>
      </c>
      <c r="G220" s="2">
        <v>235</v>
      </c>
      <c r="H220" s="2">
        <v>1882</v>
      </c>
      <c r="I220" s="2">
        <v>1750</v>
      </c>
      <c r="J220" s="2">
        <v>1071</v>
      </c>
      <c r="K220" s="2">
        <v>4580</v>
      </c>
      <c r="L220" s="2">
        <v>138.44999999999999</v>
      </c>
      <c r="M220" s="2">
        <v>7.8</v>
      </c>
      <c r="N220" s="2">
        <v>69.98</v>
      </c>
      <c r="O220" s="2">
        <v>27.39</v>
      </c>
      <c r="P220" s="2">
        <v>2215.88</v>
      </c>
    </row>
    <row r="221" spans="1:16" x14ac:dyDescent="0.35">
      <c r="A221" s="5">
        <v>44701</v>
      </c>
      <c r="B221" s="2">
        <v>450</v>
      </c>
      <c r="C221" s="2">
        <v>253</v>
      </c>
      <c r="D221" s="2">
        <v>186.68</v>
      </c>
      <c r="E221" s="2">
        <v>330</v>
      </c>
      <c r="F221" s="2">
        <v>12.15</v>
      </c>
      <c r="G221" s="2">
        <v>237.35</v>
      </c>
      <c r="H221" s="2">
        <v>1865</v>
      </c>
      <c r="I221" s="2">
        <v>1720</v>
      </c>
      <c r="J221" s="2">
        <v>1140</v>
      </c>
      <c r="K221" s="2">
        <v>4400</v>
      </c>
      <c r="L221" s="2">
        <v>130.5</v>
      </c>
      <c r="M221" s="2">
        <v>7.73</v>
      </c>
      <c r="N221" s="2">
        <v>69.37</v>
      </c>
      <c r="O221" s="2">
        <v>27</v>
      </c>
      <c r="P221" s="2">
        <v>2235.58</v>
      </c>
    </row>
    <row r="222" spans="1:16" x14ac:dyDescent="0.35">
      <c r="A222" s="5">
        <v>44705</v>
      </c>
      <c r="B222" s="2">
        <v>440</v>
      </c>
      <c r="C222" s="2">
        <v>253.05</v>
      </c>
      <c r="D222" s="2">
        <v>187.65</v>
      </c>
      <c r="E222" s="2">
        <v>315</v>
      </c>
      <c r="F222" s="2">
        <v>11.8</v>
      </c>
      <c r="G222" s="2">
        <v>229</v>
      </c>
      <c r="H222" s="2">
        <v>1800</v>
      </c>
      <c r="I222" s="2">
        <v>1700</v>
      </c>
      <c r="J222" s="2">
        <v>1078</v>
      </c>
      <c r="K222" s="2">
        <v>4400</v>
      </c>
      <c r="L222" s="2">
        <v>134</v>
      </c>
      <c r="M222" s="2">
        <v>7.48</v>
      </c>
      <c r="N222" s="2">
        <v>66.900000000000006</v>
      </c>
      <c r="O222" s="2">
        <v>26.2</v>
      </c>
      <c r="P222" s="2">
        <v>2177.4699999999998</v>
      </c>
    </row>
    <row r="223" spans="1:16" x14ac:dyDescent="0.35">
      <c r="A223" s="5">
        <v>44708</v>
      </c>
      <c r="B223" s="2">
        <v>436</v>
      </c>
      <c r="C223" s="2">
        <v>250.9</v>
      </c>
      <c r="D223" s="2">
        <v>184.75</v>
      </c>
      <c r="E223" s="2">
        <v>327</v>
      </c>
      <c r="F223" s="2">
        <v>12</v>
      </c>
      <c r="G223" s="2">
        <v>224.9</v>
      </c>
      <c r="H223" s="2">
        <v>1800</v>
      </c>
      <c r="I223" s="2">
        <v>1675</v>
      </c>
      <c r="J223" s="2">
        <v>1085</v>
      </c>
      <c r="K223" s="2">
        <v>4350</v>
      </c>
      <c r="L223" s="2">
        <v>130.19999999999999</v>
      </c>
      <c r="M223" s="2">
        <v>7.95</v>
      </c>
      <c r="N223" s="2">
        <v>68.45</v>
      </c>
      <c r="O223" s="2">
        <v>26.68</v>
      </c>
      <c r="P223" s="2">
        <v>2212.92</v>
      </c>
    </row>
    <row r="224" spans="1:16" x14ac:dyDescent="0.35">
      <c r="A224" s="5">
        <v>44715</v>
      </c>
      <c r="B224" s="2">
        <v>451</v>
      </c>
      <c r="C224" s="2">
        <v>258</v>
      </c>
      <c r="D224" s="2">
        <v>188.62</v>
      </c>
      <c r="E224" s="2">
        <v>335</v>
      </c>
      <c r="F224" s="2">
        <v>11.95</v>
      </c>
      <c r="G224" s="2">
        <v>233.05</v>
      </c>
      <c r="H224" s="2">
        <v>1773</v>
      </c>
      <c r="I224" s="2">
        <v>1750</v>
      </c>
      <c r="J224" s="2">
        <v>1079</v>
      </c>
      <c r="K224" s="2">
        <v>4350</v>
      </c>
      <c r="L224" s="2">
        <v>129</v>
      </c>
      <c r="M224" s="2">
        <v>8.5</v>
      </c>
      <c r="N224" s="2">
        <v>70</v>
      </c>
      <c r="O224" s="2">
        <v>24.98</v>
      </c>
      <c r="P224" s="2">
        <v>2234.59</v>
      </c>
    </row>
    <row r="225" spans="1:16" x14ac:dyDescent="0.35">
      <c r="A225" s="5">
        <v>44720</v>
      </c>
      <c r="B225" s="2">
        <v>455.5</v>
      </c>
      <c r="C225" s="2">
        <v>262</v>
      </c>
      <c r="D225" s="2">
        <v>188.62</v>
      </c>
      <c r="E225" s="2">
        <v>335</v>
      </c>
      <c r="F225" s="2">
        <v>11.95</v>
      </c>
      <c r="G225" s="2">
        <v>235</v>
      </c>
      <c r="H225" s="2">
        <v>1830</v>
      </c>
      <c r="I225" s="2">
        <v>1760</v>
      </c>
      <c r="J225" s="2">
        <v>1100</v>
      </c>
      <c r="K225" s="2">
        <v>4400</v>
      </c>
      <c r="L225" s="2">
        <v>128.94999999999999</v>
      </c>
      <c r="M225" s="2">
        <v>8.65</v>
      </c>
      <c r="N225" s="2">
        <v>69</v>
      </c>
      <c r="O225" s="2">
        <v>25</v>
      </c>
      <c r="P225" s="2">
        <v>2239.5100000000002</v>
      </c>
    </row>
    <row r="226" spans="1:16" x14ac:dyDescent="0.35">
      <c r="A226" s="5">
        <v>44722</v>
      </c>
      <c r="B226" s="2">
        <v>454.95</v>
      </c>
      <c r="C226" s="2">
        <v>260</v>
      </c>
      <c r="D226" s="2">
        <v>186.68</v>
      </c>
      <c r="E226" s="2">
        <v>335</v>
      </c>
      <c r="F226" s="2">
        <v>11.85</v>
      </c>
      <c r="G226" s="2">
        <v>230</v>
      </c>
      <c r="H226" s="2">
        <v>1780</v>
      </c>
      <c r="I226" s="2">
        <v>1760</v>
      </c>
      <c r="J226" s="2">
        <v>1110</v>
      </c>
      <c r="K226" s="2">
        <v>4070</v>
      </c>
      <c r="L226" s="2">
        <v>128.5</v>
      </c>
      <c r="M226" s="2">
        <v>8.49</v>
      </c>
      <c r="N226" s="2">
        <v>69</v>
      </c>
      <c r="O226" s="2">
        <v>24.81</v>
      </c>
      <c r="P226" s="2">
        <v>2265.12</v>
      </c>
    </row>
    <row r="227" spans="1:16" x14ac:dyDescent="0.35">
      <c r="A227" s="5">
        <v>44725</v>
      </c>
      <c r="B227" s="2">
        <v>447</v>
      </c>
      <c r="C227" s="2">
        <v>260</v>
      </c>
      <c r="D227" s="2">
        <v>186.68</v>
      </c>
      <c r="E227" s="2">
        <v>333.25</v>
      </c>
      <c r="F227" s="2">
        <v>11.7</v>
      </c>
      <c r="G227" s="2">
        <v>228</v>
      </c>
      <c r="H227" s="2">
        <v>1800</v>
      </c>
      <c r="I227" s="2">
        <v>1730</v>
      </c>
      <c r="J227" s="2">
        <v>1110</v>
      </c>
      <c r="K227" s="2">
        <v>4250</v>
      </c>
      <c r="L227" s="2">
        <v>128.19999999999999</v>
      </c>
      <c r="M227" s="2">
        <v>8.15</v>
      </c>
      <c r="N227" s="2">
        <v>67.959999999999994</v>
      </c>
      <c r="O227" s="2">
        <v>24.84</v>
      </c>
      <c r="P227" s="2">
        <v>2235.58</v>
      </c>
    </row>
    <row r="228" spans="1:16" x14ac:dyDescent="0.35">
      <c r="A228" s="5">
        <v>44726</v>
      </c>
      <c r="B228" s="2">
        <v>435</v>
      </c>
      <c r="C228" s="2">
        <v>253</v>
      </c>
      <c r="D228" s="2">
        <v>185.81</v>
      </c>
      <c r="E228" s="2">
        <v>319.33</v>
      </c>
      <c r="F228" s="2">
        <v>11.85</v>
      </c>
      <c r="G228" s="2">
        <v>214.35</v>
      </c>
      <c r="H228" s="2">
        <v>1770</v>
      </c>
      <c r="I228" s="2">
        <v>1691</v>
      </c>
      <c r="J228" s="2">
        <v>1110</v>
      </c>
      <c r="K228" s="2">
        <v>4360</v>
      </c>
      <c r="L228" s="2">
        <v>125</v>
      </c>
      <c r="M228" s="2">
        <v>7.67</v>
      </c>
      <c r="N228" s="2">
        <v>63.89</v>
      </c>
      <c r="O228" s="2">
        <v>23.92</v>
      </c>
      <c r="P228" s="2">
        <v>2244.44</v>
      </c>
    </row>
    <row r="229" spans="1:16" x14ac:dyDescent="0.35">
      <c r="A229" s="5">
        <v>44727</v>
      </c>
      <c r="B229" s="2">
        <v>448.95</v>
      </c>
      <c r="C229" s="2">
        <v>253</v>
      </c>
      <c r="D229" s="2">
        <v>185.71</v>
      </c>
      <c r="E229" s="2">
        <v>328.31</v>
      </c>
      <c r="F229" s="2">
        <v>11.7</v>
      </c>
      <c r="G229" s="2">
        <v>223</v>
      </c>
      <c r="H229" s="2">
        <v>1760</v>
      </c>
      <c r="I229" s="2">
        <v>1700</v>
      </c>
      <c r="J229" s="2">
        <v>1110</v>
      </c>
      <c r="K229" s="2">
        <v>4490</v>
      </c>
      <c r="L229" s="2">
        <v>124</v>
      </c>
      <c r="M229" s="2">
        <v>7.55</v>
      </c>
      <c r="N229" s="2">
        <v>61</v>
      </c>
      <c r="O229" s="2">
        <v>24.45</v>
      </c>
      <c r="P229" s="2">
        <v>2215.88</v>
      </c>
    </row>
    <row r="230" spans="1:16" x14ac:dyDescent="0.35">
      <c r="A230" s="5">
        <v>44728</v>
      </c>
      <c r="B230" s="2">
        <v>440.2</v>
      </c>
      <c r="C230" s="2">
        <v>255</v>
      </c>
      <c r="D230" s="2">
        <v>184.75</v>
      </c>
      <c r="E230" s="2">
        <v>322.32</v>
      </c>
      <c r="F230" s="2">
        <v>11.6</v>
      </c>
      <c r="G230" s="2">
        <v>215.1</v>
      </c>
      <c r="H230" s="2">
        <v>1755</v>
      </c>
      <c r="I230" s="2">
        <v>1710</v>
      </c>
      <c r="J230" s="2">
        <v>1104</v>
      </c>
      <c r="K230" s="2">
        <v>4230</v>
      </c>
      <c r="L230" s="2">
        <v>125.5</v>
      </c>
      <c r="M230" s="2">
        <v>7.6</v>
      </c>
      <c r="N230" s="2">
        <v>60</v>
      </c>
      <c r="O230" s="2">
        <v>24</v>
      </c>
      <c r="P230" s="2">
        <v>2230.65</v>
      </c>
    </row>
    <row r="231" spans="1:16" x14ac:dyDescent="0.35">
      <c r="A231" s="5">
        <v>44729</v>
      </c>
      <c r="B231" s="2">
        <v>435</v>
      </c>
      <c r="C231" s="2">
        <v>253</v>
      </c>
      <c r="D231" s="2">
        <v>181.85</v>
      </c>
      <c r="E231" s="2">
        <v>322.32</v>
      </c>
      <c r="F231" s="2">
        <v>11.55</v>
      </c>
      <c r="G231" s="2">
        <v>215</v>
      </c>
      <c r="H231" s="2">
        <v>1680</v>
      </c>
      <c r="I231" s="2">
        <v>1700</v>
      </c>
      <c r="J231" s="2">
        <v>1070</v>
      </c>
      <c r="K231" s="2">
        <v>4000</v>
      </c>
      <c r="L231" s="2">
        <v>128</v>
      </c>
      <c r="M231" s="2">
        <v>7.7</v>
      </c>
      <c r="N231" s="2">
        <v>60</v>
      </c>
      <c r="O231" s="2">
        <v>24</v>
      </c>
      <c r="P231" s="2">
        <v>2186.33</v>
      </c>
    </row>
    <row r="232" spans="1:16" x14ac:dyDescent="0.35">
      <c r="A232" s="5">
        <v>44734</v>
      </c>
      <c r="B232" s="2">
        <v>429</v>
      </c>
      <c r="C232" s="2">
        <v>251</v>
      </c>
      <c r="D232" s="2">
        <v>181.85</v>
      </c>
      <c r="E232" s="2">
        <v>319.83</v>
      </c>
      <c r="F232" s="2">
        <v>11.55</v>
      </c>
      <c r="G232" s="2">
        <v>213</v>
      </c>
      <c r="H232" s="2">
        <v>1695</v>
      </c>
      <c r="I232" s="2">
        <v>1680</v>
      </c>
      <c r="J232" s="2">
        <v>1050</v>
      </c>
      <c r="K232" s="2">
        <v>4100</v>
      </c>
      <c r="L232" s="2">
        <v>124</v>
      </c>
      <c r="M232" s="2">
        <v>7.7</v>
      </c>
      <c r="N232" s="2">
        <v>60.78</v>
      </c>
      <c r="O232" s="2">
        <v>23.85</v>
      </c>
      <c r="P232" s="2">
        <v>2156.79</v>
      </c>
    </row>
    <row r="233" spans="1:16" x14ac:dyDescent="0.35">
      <c r="A233" s="5">
        <v>44735</v>
      </c>
      <c r="B233" s="2">
        <v>425</v>
      </c>
      <c r="C233" s="2">
        <v>249</v>
      </c>
      <c r="D233" s="2">
        <v>180.88</v>
      </c>
      <c r="E233" s="2">
        <v>309.35000000000002</v>
      </c>
      <c r="F233" s="2">
        <v>11.35</v>
      </c>
      <c r="G233" s="2">
        <v>205</v>
      </c>
      <c r="H233" s="2">
        <v>1660</v>
      </c>
      <c r="I233" s="2">
        <v>1700</v>
      </c>
      <c r="J233" s="2">
        <v>1020</v>
      </c>
      <c r="K233" s="2">
        <v>4300</v>
      </c>
      <c r="L233" s="2">
        <v>119</v>
      </c>
      <c r="M233" s="2">
        <v>7.73</v>
      </c>
      <c r="N233" s="2">
        <v>58.2</v>
      </c>
      <c r="O233" s="2">
        <v>23.97</v>
      </c>
      <c r="P233" s="2">
        <v>2165.65</v>
      </c>
    </row>
    <row r="234" spans="1:16" x14ac:dyDescent="0.35">
      <c r="A234" s="5">
        <v>44736</v>
      </c>
      <c r="B234" s="2">
        <v>435</v>
      </c>
      <c r="C234" s="2">
        <v>255</v>
      </c>
      <c r="D234" s="2">
        <v>180.88</v>
      </c>
      <c r="E234" s="2">
        <v>319.33</v>
      </c>
      <c r="F234" s="2">
        <v>11.4</v>
      </c>
      <c r="G234" s="2">
        <v>212.5</v>
      </c>
      <c r="H234" s="2">
        <v>1700</v>
      </c>
      <c r="I234" s="2">
        <v>1660</v>
      </c>
      <c r="J234" s="2">
        <v>1081</v>
      </c>
      <c r="K234" s="2">
        <v>4300</v>
      </c>
      <c r="L234" s="2">
        <v>112</v>
      </c>
      <c r="M234" s="2">
        <v>7.65</v>
      </c>
      <c r="N234" s="2">
        <v>58</v>
      </c>
      <c r="O234" s="2">
        <v>23.8</v>
      </c>
      <c r="P234" s="2">
        <v>2115.4299999999998</v>
      </c>
    </row>
    <row r="235" spans="1:16" x14ac:dyDescent="0.35">
      <c r="A235" s="5">
        <v>44742</v>
      </c>
      <c r="B235" s="2">
        <v>428.5</v>
      </c>
      <c r="C235" s="2">
        <v>254.9</v>
      </c>
      <c r="D235" s="2">
        <v>180.88</v>
      </c>
      <c r="E235" s="2">
        <v>317.33</v>
      </c>
      <c r="F235" s="2">
        <v>11.25</v>
      </c>
      <c r="G235" s="2">
        <v>220</v>
      </c>
      <c r="H235" s="2">
        <v>1700</v>
      </c>
      <c r="I235" s="2">
        <v>1700</v>
      </c>
      <c r="J235" s="2">
        <v>1080</v>
      </c>
      <c r="K235" s="2">
        <v>4200</v>
      </c>
      <c r="L235" s="2">
        <v>126.5</v>
      </c>
      <c r="M235" s="2">
        <v>7.7</v>
      </c>
      <c r="N235" s="2">
        <v>59</v>
      </c>
      <c r="O235" s="2">
        <v>23.67</v>
      </c>
      <c r="P235" s="2">
        <v>2008.08</v>
      </c>
    </row>
    <row r="236" spans="1:16" x14ac:dyDescent="0.35">
      <c r="A236" s="5">
        <v>44743</v>
      </c>
      <c r="B236" s="2">
        <v>425</v>
      </c>
      <c r="C236" s="2">
        <v>245</v>
      </c>
      <c r="D236" s="2">
        <v>178.94</v>
      </c>
      <c r="E236" s="2">
        <v>309.35000000000002</v>
      </c>
      <c r="F236" s="2">
        <v>11.4</v>
      </c>
      <c r="G236" s="2">
        <v>206.85</v>
      </c>
      <c r="H236" s="2">
        <v>1630</v>
      </c>
      <c r="I236" s="2">
        <v>1630</v>
      </c>
      <c r="J236" s="2">
        <v>1040</v>
      </c>
      <c r="K236" s="2">
        <v>4000</v>
      </c>
      <c r="L236" s="2">
        <v>123</v>
      </c>
      <c r="M236" s="2">
        <v>7.47</v>
      </c>
      <c r="N236" s="2">
        <v>55.47</v>
      </c>
      <c r="O236" s="2">
        <v>24.29</v>
      </c>
      <c r="P236" s="2">
        <v>1887.93</v>
      </c>
    </row>
    <row r="237" spans="1:16" x14ac:dyDescent="0.35">
      <c r="A237" s="5">
        <v>44747</v>
      </c>
      <c r="B237" s="2">
        <v>410</v>
      </c>
      <c r="C237" s="2">
        <v>246</v>
      </c>
      <c r="D237" s="2">
        <v>178.94</v>
      </c>
      <c r="E237" s="2">
        <v>304.36</v>
      </c>
      <c r="F237" s="2">
        <v>11.45</v>
      </c>
      <c r="G237" s="2">
        <v>204.1</v>
      </c>
      <c r="H237" s="2">
        <v>1610</v>
      </c>
      <c r="I237" s="2">
        <v>1557</v>
      </c>
      <c r="J237" s="2">
        <v>1050</v>
      </c>
      <c r="K237" s="2">
        <v>3800</v>
      </c>
      <c r="L237" s="2">
        <v>120</v>
      </c>
      <c r="M237" s="2">
        <v>7.38</v>
      </c>
      <c r="N237" s="2">
        <v>53</v>
      </c>
      <c r="O237" s="2">
        <v>24.18</v>
      </c>
      <c r="P237" s="2">
        <v>1759.9</v>
      </c>
    </row>
    <row r="238" spans="1:16" x14ac:dyDescent="0.35">
      <c r="A238" s="5">
        <v>44748</v>
      </c>
      <c r="B238" s="2">
        <v>415</v>
      </c>
      <c r="C238" s="2">
        <v>252</v>
      </c>
      <c r="D238" s="2">
        <v>182.57</v>
      </c>
      <c r="E238" s="2">
        <v>306.36</v>
      </c>
      <c r="F238" s="2">
        <v>11.45</v>
      </c>
      <c r="G238" s="2">
        <v>205</v>
      </c>
      <c r="H238" s="2">
        <v>1685</v>
      </c>
      <c r="I238" s="2">
        <v>1540</v>
      </c>
      <c r="J238" s="2">
        <v>1057</v>
      </c>
      <c r="K238" s="2">
        <v>3900</v>
      </c>
      <c r="L238" s="2">
        <v>120</v>
      </c>
      <c r="M238" s="2">
        <v>7.45</v>
      </c>
      <c r="N238" s="2">
        <v>53.99</v>
      </c>
      <c r="O238" s="2">
        <v>23.1</v>
      </c>
      <c r="P238" s="2">
        <v>1677.17</v>
      </c>
    </row>
    <row r="239" spans="1:16" x14ac:dyDescent="0.35">
      <c r="A239" s="5">
        <v>44750</v>
      </c>
      <c r="B239" s="2">
        <v>425.1</v>
      </c>
      <c r="C239" s="2">
        <v>255</v>
      </c>
      <c r="D239" s="2">
        <v>178.94</v>
      </c>
      <c r="E239" s="2">
        <v>309.35000000000002</v>
      </c>
      <c r="F239" s="2">
        <v>11.55</v>
      </c>
      <c r="G239" s="2">
        <v>215</v>
      </c>
      <c r="H239" s="2">
        <v>1603</v>
      </c>
      <c r="I239" s="2">
        <v>1560</v>
      </c>
      <c r="J239" s="2">
        <v>1050</v>
      </c>
      <c r="K239" s="2">
        <v>3700</v>
      </c>
      <c r="L239" s="2">
        <v>125</v>
      </c>
      <c r="M239" s="2">
        <v>7.3</v>
      </c>
      <c r="N239" s="2">
        <v>54.1</v>
      </c>
      <c r="O239" s="2">
        <v>23.11</v>
      </c>
      <c r="P239" s="2">
        <v>1812.1</v>
      </c>
    </row>
    <row r="240" spans="1:16" x14ac:dyDescent="0.35">
      <c r="A240" s="5">
        <v>44756</v>
      </c>
      <c r="B240" s="2">
        <v>427</v>
      </c>
      <c r="C240" s="2">
        <v>248</v>
      </c>
      <c r="D240" s="2">
        <v>176.04</v>
      </c>
      <c r="E240" s="2">
        <v>303.66000000000003</v>
      </c>
      <c r="F240" s="2">
        <v>11.7</v>
      </c>
      <c r="G240" s="2">
        <v>217</v>
      </c>
      <c r="H240" s="2">
        <v>1650</v>
      </c>
      <c r="I240" s="2">
        <v>1599</v>
      </c>
      <c r="J240" s="2">
        <v>1038</v>
      </c>
      <c r="K240" s="2">
        <v>3701</v>
      </c>
      <c r="L240" s="2">
        <v>127.5</v>
      </c>
      <c r="M240" s="2">
        <v>7.49</v>
      </c>
      <c r="N240" s="2">
        <v>56.3</v>
      </c>
      <c r="O240" s="2">
        <v>23</v>
      </c>
      <c r="P240" s="2">
        <v>1792.4</v>
      </c>
    </row>
    <row r="241" spans="1:16" x14ac:dyDescent="0.35">
      <c r="A241" s="5">
        <v>44757</v>
      </c>
      <c r="B241" s="2">
        <v>434</v>
      </c>
      <c r="C241" s="2">
        <v>251</v>
      </c>
      <c r="D241" s="2">
        <v>176.04</v>
      </c>
      <c r="E241" s="2">
        <v>309.35000000000002</v>
      </c>
      <c r="F241" s="2">
        <v>11.6</v>
      </c>
      <c r="G241" s="2">
        <v>220</v>
      </c>
      <c r="H241" s="2">
        <v>1661</v>
      </c>
      <c r="I241" s="2">
        <v>1571</v>
      </c>
      <c r="J241" s="2">
        <v>1061</v>
      </c>
      <c r="K241" s="2">
        <v>3704</v>
      </c>
      <c r="L241" s="2">
        <v>130</v>
      </c>
      <c r="M241" s="2">
        <v>7.45</v>
      </c>
      <c r="N241" s="2">
        <v>55.23</v>
      </c>
      <c r="O241" s="2">
        <v>23</v>
      </c>
      <c r="P241" s="2">
        <v>1782.55</v>
      </c>
    </row>
    <row r="242" spans="1:16" x14ac:dyDescent="0.35">
      <c r="A242" s="5">
        <v>44760</v>
      </c>
      <c r="B242" s="2">
        <v>430.25</v>
      </c>
      <c r="C242" s="2">
        <v>251</v>
      </c>
      <c r="D242" s="2">
        <v>176.04</v>
      </c>
      <c r="E242" s="2">
        <v>309.35000000000002</v>
      </c>
      <c r="F242" s="2">
        <v>11.55</v>
      </c>
      <c r="G242" s="2">
        <v>220</v>
      </c>
      <c r="H242" s="2">
        <v>1670</v>
      </c>
      <c r="I242" s="2">
        <v>1574</v>
      </c>
      <c r="J242" s="2">
        <v>1078</v>
      </c>
      <c r="K242" s="2">
        <v>3725</v>
      </c>
      <c r="L242" s="2">
        <v>130</v>
      </c>
      <c r="M242" s="2">
        <v>7.6</v>
      </c>
      <c r="N242" s="2">
        <v>56</v>
      </c>
      <c r="O242" s="2">
        <v>22.93</v>
      </c>
      <c r="P242" s="2">
        <v>1797.32</v>
      </c>
    </row>
    <row r="243" spans="1:16" x14ac:dyDescent="0.35">
      <c r="A243" s="5">
        <v>44761</v>
      </c>
      <c r="B243" s="2">
        <v>435.2</v>
      </c>
      <c r="C243" s="2">
        <v>252</v>
      </c>
      <c r="D243" s="2">
        <v>176.04</v>
      </c>
      <c r="E243" s="2">
        <v>307.36</v>
      </c>
      <c r="F243" s="2">
        <v>11.65</v>
      </c>
      <c r="G243" s="2">
        <v>220.05</v>
      </c>
      <c r="H243" s="2">
        <v>1700</v>
      </c>
      <c r="I243" s="2">
        <v>1577</v>
      </c>
      <c r="J243" s="2">
        <v>1100</v>
      </c>
      <c r="K243" s="2">
        <v>3725</v>
      </c>
      <c r="L243" s="2">
        <v>128</v>
      </c>
      <c r="M243" s="2">
        <v>7.6</v>
      </c>
      <c r="N243" s="2">
        <v>57.5</v>
      </c>
      <c r="O243" s="2">
        <v>23.45</v>
      </c>
      <c r="P243" s="2">
        <v>1846.57</v>
      </c>
    </row>
    <row r="244" spans="1:16" x14ac:dyDescent="0.35">
      <c r="A244" s="5">
        <v>44762</v>
      </c>
      <c r="B244" s="2">
        <v>437</v>
      </c>
      <c r="C244" s="2">
        <v>252.05</v>
      </c>
      <c r="D244" s="2">
        <v>176.14</v>
      </c>
      <c r="E244" s="2">
        <v>307.36</v>
      </c>
      <c r="F244" s="2">
        <v>11.55</v>
      </c>
      <c r="G244" s="2">
        <v>218</v>
      </c>
      <c r="H244" s="2">
        <v>1705</v>
      </c>
      <c r="I244" s="2">
        <v>1586</v>
      </c>
      <c r="J244" s="2">
        <v>1060</v>
      </c>
      <c r="K244" s="2">
        <v>3726</v>
      </c>
      <c r="L244" s="2">
        <v>128</v>
      </c>
      <c r="M244" s="2">
        <v>7.6</v>
      </c>
      <c r="N244" s="2">
        <v>54.06</v>
      </c>
      <c r="O244" s="2">
        <v>23.12</v>
      </c>
      <c r="P244" s="2">
        <v>1827.85</v>
      </c>
    </row>
    <row r="245" spans="1:16" x14ac:dyDescent="0.35">
      <c r="A245" s="5">
        <v>44763</v>
      </c>
      <c r="B245" s="2">
        <v>435</v>
      </c>
      <c r="C245" s="2">
        <v>252.1</v>
      </c>
      <c r="D245" s="2">
        <v>176.04</v>
      </c>
      <c r="E245" s="2">
        <v>301.47000000000003</v>
      </c>
      <c r="F245" s="2">
        <v>11.75</v>
      </c>
      <c r="G245" s="2">
        <v>219</v>
      </c>
      <c r="H245" s="2">
        <v>1705</v>
      </c>
      <c r="I245" s="2">
        <v>1583</v>
      </c>
      <c r="J245" s="2">
        <v>1070</v>
      </c>
      <c r="K245" s="2">
        <v>3726</v>
      </c>
      <c r="L245" s="2">
        <v>130</v>
      </c>
      <c r="M245" s="2">
        <v>7.35</v>
      </c>
      <c r="N245" s="2">
        <v>54.51</v>
      </c>
      <c r="O245" s="2">
        <v>23.9</v>
      </c>
      <c r="P245" s="2">
        <v>1829.82</v>
      </c>
    </row>
    <row r="246" spans="1:16" x14ac:dyDescent="0.35">
      <c r="A246" s="5">
        <v>44764</v>
      </c>
      <c r="B246" s="2">
        <v>435</v>
      </c>
      <c r="C246" s="2">
        <v>252</v>
      </c>
      <c r="D246" s="2">
        <v>174.11</v>
      </c>
      <c r="E246" s="2">
        <v>309.35000000000002</v>
      </c>
      <c r="F246" s="2">
        <v>11.85</v>
      </c>
      <c r="G246" s="2">
        <v>217</v>
      </c>
      <c r="H246" s="2">
        <v>1700</v>
      </c>
      <c r="I246" s="2">
        <v>1585</v>
      </c>
      <c r="J246" s="2">
        <v>1130</v>
      </c>
      <c r="K246" s="2">
        <v>3723</v>
      </c>
      <c r="L246" s="2">
        <v>129</v>
      </c>
      <c r="M246" s="2">
        <v>7.42</v>
      </c>
      <c r="N246" s="2">
        <v>55.64</v>
      </c>
      <c r="O246" s="2">
        <v>23.1</v>
      </c>
      <c r="P246" s="2">
        <v>1827.85</v>
      </c>
    </row>
    <row r="247" spans="1:16" x14ac:dyDescent="0.35">
      <c r="A247" s="5">
        <v>44769</v>
      </c>
      <c r="B247" s="2">
        <v>426.3</v>
      </c>
      <c r="C247" s="2">
        <v>252</v>
      </c>
      <c r="D247" s="2">
        <v>174.11</v>
      </c>
      <c r="E247" s="2">
        <v>309.35000000000002</v>
      </c>
      <c r="F247" s="2">
        <v>11.3</v>
      </c>
      <c r="G247" s="2">
        <v>210</v>
      </c>
      <c r="H247" s="2">
        <v>1680</v>
      </c>
      <c r="I247" s="2">
        <v>1556</v>
      </c>
      <c r="J247" s="2">
        <v>1100</v>
      </c>
      <c r="K247" s="2">
        <v>3735</v>
      </c>
      <c r="L247" s="2">
        <v>128.94999999999999</v>
      </c>
      <c r="M247" s="2">
        <v>7.45</v>
      </c>
      <c r="N247" s="2">
        <v>54</v>
      </c>
      <c r="O247" s="2">
        <v>23</v>
      </c>
      <c r="P247" s="2">
        <v>1826.87</v>
      </c>
    </row>
    <row r="248" spans="1:16" x14ac:dyDescent="0.35">
      <c r="A248" s="5">
        <v>44771</v>
      </c>
      <c r="B248" s="2">
        <v>430</v>
      </c>
      <c r="C248" s="2">
        <v>250</v>
      </c>
      <c r="D248" s="2">
        <v>174.11</v>
      </c>
      <c r="E248" s="2">
        <v>314.33999999999997</v>
      </c>
      <c r="F248" s="2">
        <v>11.45</v>
      </c>
      <c r="G248" s="2">
        <v>214.85</v>
      </c>
      <c r="H248" s="2">
        <v>1688</v>
      </c>
      <c r="I248" s="2">
        <v>1581</v>
      </c>
      <c r="J248" s="2">
        <v>1100</v>
      </c>
      <c r="K248" s="2">
        <v>3730</v>
      </c>
      <c r="L248" s="2">
        <v>130</v>
      </c>
      <c r="M248" s="2">
        <v>7.6</v>
      </c>
      <c r="N248" s="2">
        <v>54.47</v>
      </c>
      <c r="O248" s="2">
        <v>23</v>
      </c>
      <c r="P248" s="2">
        <v>1841.64</v>
      </c>
    </row>
    <row r="249" spans="1:16" x14ac:dyDescent="0.35">
      <c r="A249" s="5">
        <v>44778</v>
      </c>
      <c r="B249" s="2">
        <v>430.25</v>
      </c>
      <c r="C249" s="2">
        <v>255</v>
      </c>
      <c r="D249" s="2">
        <v>174.11</v>
      </c>
      <c r="E249" s="2">
        <v>307.36</v>
      </c>
      <c r="F249" s="2">
        <v>11.3</v>
      </c>
      <c r="G249" s="2">
        <v>220</v>
      </c>
      <c r="H249" s="2">
        <v>1702</v>
      </c>
      <c r="I249" s="2">
        <v>1590</v>
      </c>
      <c r="J249" s="2">
        <v>1170</v>
      </c>
      <c r="K249" s="2">
        <v>3743</v>
      </c>
      <c r="L249" s="2">
        <v>130</v>
      </c>
      <c r="M249" s="2">
        <v>7.56</v>
      </c>
      <c r="N249" s="2">
        <v>55.8</v>
      </c>
      <c r="O249" s="2">
        <v>23.45</v>
      </c>
      <c r="P249" s="2">
        <v>2042.55</v>
      </c>
    </row>
    <row r="250" spans="1:16" x14ac:dyDescent="0.35">
      <c r="A250" s="5">
        <v>44782</v>
      </c>
      <c r="B250" s="2">
        <v>436</v>
      </c>
      <c r="C250" s="2">
        <v>255</v>
      </c>
      <c r="D250" s="2">
        <v>174.11</v>
      </c>
      <c r="E250" s="2">
        <v>313.33999999999997</v>
      </c>
      <c r="F250" s="2">
        <v>11.45</v>
      </c>
      <c r="G250" s="2">
        <v>214</v>
      </c>
      <c r="H250" s="2">
        <v>1717</v>
      </c>
      <c r="I250" s="2">
        <v>1600</v>
      </c>
      <c r="J250" s="2">
        <v>1170</v>
      </c>
      <c r="K250" s="2">
        <v>3841</v>
      </c>
      <c r="L250" s="2">
        <v>129</v>
      </c>
      <c r="M250" s="2">
        <v>7.68</v>
      </c>
      <c r="N250" s="2">
        <v>56</v>
      </c>
      <c r="O250" s="2">
        <v>23.49</v>
      </c>
      <c r="P250" s="2">
        <v>1989.37</v>
      </c>
    </row>
    <row r="251" spans="1:16" x14ac:dyDescent="0.35">
      <c r="A251" s="5">
        <v>44785</v>
      </c>
      <c r="B251" s="2">
        <v>446.1</v>
      </c>
      <c r="C251" s="2">
        <v>259.95</v>
      </c>
      <c r="D251" s="2">
        <v>174.11</v>
      </c>
      <c r="E251" s="2">
        <v>314.24</v>
      </c>
      <c r="F251" s="2">
        <v>11.45</v>
      </c>
      <c r="G251" s="2">
        <v>220.25</v>
      </c>
      <c r="H251" s="2">
        <v>1770</v>
      </c>
      <c r="I251" s="2">
        <v>1610</v>
      </c>
      <c r="J251" s="2">
        <v>1190</v>
      </c>
      <c r="K251" s="2">
        <v>3904</v>
      </c>
      <c r="L251" s="2">
        <v>130</v>
      </c>
      <c r="M251" s="2">
        <v>8.1999999999999993</v>
      </c>
      <c r="N251" s="2">
        <v>61.21</v>
      </c>
      <c r="O251" s="2">
        <v>25.69</v>
      </c>
      <c r="P251" s="2">
        <v>1986.41</v>
      </c>
    </row>
    <row r="252" spans="1:16" x14ac:dyDescent="0.35">
      <c r="A252" s="5">
        <v>44788</v>
      </c>
      <c r="B252" s="2">
        <v>448</v>
      </c>
      <c r="C252" s="2">
        <v>259.5</v>
      </c>
      <c r="D252" s="2">
        <v>176.04</v>
      </c>
      <c r="E252" s="2">
        <v>314.33999999999997</v>
      </c>
      <c r="F252" s="2">
        <v>11.5</v>
      </c>
      <c r="G252" s="2">
        <v>220</v>
      </c>
      <c r="H252" s="2">
        <v>1761</v>
      </c>
      <c r="I252" s="2">
        <v>1610</v>
      </c>
      <c r="J252" s="2">
        <v>1162</v>
      </c>
      <c r="K252" s="2">
        <v>3919</v>
      </c>
      <c r="L252" s="2">
        <v>133.5</v>
      </c>
      <c r="M252" s="2">
        <v>8.3000000000000007</v>
      </c>
      <c r="N252" s="2">
        <v>62.38</v>
      </c>
      <c r="O252" s="2">
        <v>26.07</v>
      </c>
      <c r="P252" s="2">
        <v>1991.34</v>
      </c>
    </row>
    <row r="253" spans="1:16" x14ac:dyDescent="0.35">
      <c r="A253" s="5">
        <v>44789</v>
      </c>
      <c r="B253" s="2">
        <v>450.1</v>
      </c>
      <c r="C253" s="2">
        <v>260</v>
      </c>
      <c r="D253" s="2">
        <v>174.16</v>
      </c>
      <c r="E253" s="2">
        <v>311.35000000000002</v>
      </c>
      <c r="F253" s="2">
        <v>11.6</v>
      </c>
      <c r="G253" s="2">
        <v>220</v>
      </c>
      <c r="H253" s="2">
        <v>1745</v>
      </c>
      <c r="I253" s="2">
        <v>1605</v>
      </c>
      <c r="J253" s="2">
        <v>1160</v>
      </c>
      <c r="K253" s="2">
        <v>3810</v>
      </c>
      <c r="L253" s="2">
        <v>133</v>
      </c>
      <c r="M253" s="2">
        <v>8.15</v>
      </c>
      <c r="N253" s="2">
        <v>62.09</v>
      </c>
      <c r="O253" s="2">
        <v>25.8</v>
      </c>
      <c r="P253" s="2">
        <v>2022.85</v>
      </c>
    </row>
    <row r="254" spans="1:16" x14ac:dyDescent="0.35">
      <c r="A254" s="5">
        <v>44790</v>
      </c>
      <c r="B254" s="2">
        <v>448</v>
      </c>
      <c r="C254" s="2">
        <v>260</v>
      </c>
      <c r="D254" s="2">
        <v>174.11</v>
      </c>
      <c r="E254" s="2">
        <v>314.33999999999997</v>
      </c>
      <c r="F254" s="2">
        <v>11.45</v>
      </c>
      <c r="G254" s="2">
        <v>220</v>
      </c>
      <c r="H254" s="2">
        <v>1760</v>
      </c>
      <c r="I254" s="2">
        <v>1610</v>
      </c>
      <c r="J254" s="2">
        <v>1120</v>
      </c>
      <c r="K254" s="2">
        <v>3900</v>
      </c>
      <c r="L254" s="2">
        <v>130</v>
      </c>
      <c r="M254" s="2">
        <v>8.17</v>
      </c>
      <c r="N254" s="2">
        <v>61.89</v>
      </c>
      <c r="O254" s="2">
        <v>25.11</v>
      </c>
      <c r="P254" s="2">
        <v>2004.14</v>
      </c>
    </row>
    <row r="255" spans="1:16" x14ac:dyDescent="0.35">
      <c r="A255" s="5">
        <v>44792</v>
      </c>
      <c r="B255" s="2">
        <v>445</v>
      </c>
      <c r="C255" s="2">
        <v>259.89999999999998</v>
      </c>
      <c r="D255" s="2">
        <v>174.11</v>
      </c>
      <c r="E255" s="2">
        <v>314.33999999999997</v>
      </c>
      <c r="F255" s="2">
        <v>11.65</v>
      </c>
      <c r="G255" s="2">
        <v>225</v>
      </c>
      <c r="H255" s="2">
        <v>1760</v>
      </c>
      <c r="I255" s="2">
        <v>1600</v>
      </c>
      <c r="J255" s="2">
        <v>1184</v>
      </c>
      <c r="K255" s="2">
        <v>3950</v>
      </c>
      <c r="L255" s="2">
        <v>131.5</v>
      </c>
      <c r="M255" s="2">
        <v>8.2100000000000009</v>
      </c>
      <c r="N255" s="2">
        <v>64.8</v>
      </c>
      <c r="O255" s="2">
        <v>25.75</v>
      </c>
      <c r="P255" s="2">
        <v>1990.35</v>
      </c>
    </row>
    <row r="256" spans="1:16" x14ac:dyDescent="0.35">
      <c r="A256" s="5">
        <v>44798</v>
      </c>
      <c r="B256" s="2">
        <v>440</v>
      </c>
      <c r="C256" s="2">
        <v>258</v>
      </c>
      <c r="D256" s="2">
        <v>174.11</v>
      </c>
      <c r="E256" s="2">
        <v>316.29000000000002</v>
      </c>
      <c r="F256" s="2">
        <v>11.55</v>
      </c>
      <c r="G256" s="2">
        <v>225</v>
      </c>
      <c r="H256" s="2">
        <v>1870</v>
      </c>
      <c r="I256" s="2">
        <v>1610</v>
      </c>
      <c r="J256" s="2">
        <v>1200</v>
      </c>
      <c r="K256" s="2">
        <v>3905</v>
      </c>
      <c r="L256" s="2">
        <v>128.55000000000001</v>
      </c>
      <c r="M256" s="2">
        <v>8.06</v>
      </c>
      <c r="N256" s="2">
        <v>64</v>
      </c>
      <c r="O256" s="2">
        <v>24.96</v>
      </c>
      <c r="P256" s="2">
        <v>2010.05</v>
      </c>
    </row>
    <row r="257" spans="1:16" x14ac:dyDescent="0.35">
      <c r="A257" s="5">
        <v>44799</v>
      </c>
      <c r="B257" s="2">
        <v>440</v>
      </c>
      <c r="C257" s="2">
        <v>258</v>
      </c>
      <c r="D257" s="2">
        <v>174.11</v>
      </c>
      <c r="E257" s="2">
        <v>315.33999999999997</v>
      </c>
      <c r="F257" s="2">
        <v>11.5</v>
      </c>
      <c r="G257" s="2">
        <v>222.65</v>
      </c>
      <c r="H257" s="2">
        <v>1833</v>
      </c>
      <c r="I257" s="2">
        <v>1600</v>
      </c>
      <c r="J257" s="2">
        <v>1174</v>
      </c>
      <c r="K257" s="2">
        <v>3950</v>
      </c>
      <c r="L257" s="2">
        <v>132.80000000000001</v>
      </c>
      <c r="M257" s="2">
        <v>8.17</v>
      </c>
      <c r="N257" s="2">
        <v>65</v>
      </c>
      <c r="O257" s="2">
        <v>25</v>
      </c>
      <c r="P257" s="2">
        <v>2013.99</v>
      </c>
    </row>
    <row r="258" spans="1:16" x14ac:dyDescent="0.35">
      <c r="A258" s="5">
        <v>44806</v>
      </c>
      <c r="B258" s="2">
        <v>435</v>
      </c>
      <c r="C258" s="2">
        <v>258.39999999999998</v>
      </c>
      <c r="D258" s="2">
        <v>174.11</v>
      </c>
      <c r="E258" s="2">
        <v>319.33</v>
      </c>
      <c r="F258" s="2">
        <v>11.55</v>
      </c>
      <c r="G258" s="2">
        <v>224.5</v>
      </c>
      <c r="H258" s="2">
        <v>1762</v>
      </c>
      <c r="I258" s="2">
        <v>1585</v>
      </c>
      <c r="J258" s="2">
        <v>1155</v>
      </c>
      <c r="K258" s="2">
        <v>3800</v>
      </c>
      <c r="L258" s="2">
        <v>132</v>
      </c>
      <c r="M258" s="2">
        <v>8.4</v>
      </c>
      <c r="N258" s="2">
        <v>66</v>
      </c>
      <c r="O258" s="2">
        <v>24.4</v>
      </c>
      <c r="P258" s="2">
        <v>2016.94</v>
      </c>
    </row>
    <row r="259" spans="1:16" x14ac:dyDescent="0.35">
      <c r="A259" s="5">
        <v>44810</v>
      </c>
      <c r="B259" s="2">
        <v>435</v>
      </c>
      <c r="C259" s="2">
        <v>256</v>
      </c>
      <c r="D259" s="2">
        <v>174.11</v>
      </c>
      <c r="E259" s="2">
        <v>314.44</v>
      </c>
      <c r="F259" s="2">
        <v>11.15</v>
      </c>
      <c r="G259" s="2">
        <v>222</v>
      </c>
      <c r="H259" s="2">
        <v>1758</v>
      </c>
      <c r="I259" s="2">
        <v>1600</v>
      </c>
      <c r="J259" s="2">
        <v>1179</v>
      </c>
      <c r="K259" s="2">
        <v>3870</v>
      </c>
      <c r="L259" s="2">
        <v>130</v>
      </c>
      <c r="M259" s="2">
        <v>8.4</v>
      </c>
      <c r="N259" s="2">
        <v>66.790000000000006</v>
      </c>
      <c r="O259" s="2">
        <v>25.1</v>
      </c>
      <c r="P259" s="2">
        <v>2099.67</v>
      </c>
    </row>
    <row r="260" spans="1:16" x14ac:dyDescent="0.35">
      <c r="A260" s="5">
        <v>44811</v>
      </c>
      <c r="B260" s="2">
        <v>435.5</v>
      </c>
      <c r="C260" s="2">
        <v>255.05</v>
      </c>
      <c r="D260" s="2">
        <v>174.11</v>
      </c>
      <c r="E260" s="2">
        <v>319.23</v>
      </c>
      <c r="F260" s="2">
        <v>11</v>
      </c>
      <c r="G260" s="2">
        <v>224.75</v>
      </c>
      <c r="H260" s="2">
        <v>1800</v>
      </c>
      <c r="I260" s="2">
        <v>1610</v>
      </c>
      <c r="J260" s="2">
        <v>1175</v>
      </c>
      <c r="K260" s="2">
        <v>3990</v>
      </c>
      <c r="L260" s="2">
        <v>132</v>
      </c>
      <c r="M260" s="2">
        <v>8.32</v>
      </c>
      <c r="N260" s="2">
        <v>66.5</v>
      </c>
      <c r="O260" s="2">
        <v>25.09</v>
      </c>
      <c r="P260" s="2">
        <v>2166.64</v>
      </c>
    </row>
    <row r="261" spans="1:16" x14ac:dyDescent="0.35">
      <c r="A261" s="5">
        <v>44813</v>
      </c>
      <c r="B261" s="2">
        <v>437</v>
      </c>
      <c r="C261" s="2">
        <v>256</v>
      </c>
      <c r="D261" s="2">
        <v>174.11</v>
      </c>
      <c r="E261" s="2">
        <v>317.33</v>
      </c>
      <c r="F261" s="2">
        <v>11.35</v>
      </c>
      <c r="G261" s="2">
        <v>220</v>
      </c>
      <c r="H261" s="2">
        <v>1766</v>
      </c>
      <c r="I261" s="2">
        <v>1580</v>
      </c>
      <c r="J261" s="2">
        <v>1177</v>
      </c>
      <c r="K261" s="2">
        <v>3900</v>
      </c>
      <c r="L261" s="2">
        <v>132</v>
      </c>
      <c r="M261" s="2">
        <v>8.5500000000000007</v>
      </c>
      <c r="N261" s="2">
        <v>68</v>
      </c>
      <c r="O261" s="2">
        <v>24.51</v>
      </c>
      <c r="P261" s="2">
        <v>2117.4</v>
      </c>
    </row>
    <row r="262" spans="1:16" x14ac:dyDescent="0.35">
      <c r="A262" s="5">
        <v>44817</v>
      </c>
      <c r="B262" s="2">
        <v>438</v>
      </c>
      <c r="C262" s="2">
        <v>256</v>
      </c>
      <c r="D262" s="2">
        <v>171.51</v>
      </c>
      <c r="E262" s="2">
        <v>318.33</v>
      </c>
      <c r="F262" s="2">
        <v>11.5</v>
      </c>
      <c r="G262" s="2">
        <v>221.6</v>
      </c>
      <c r="H262" s="2">
        <v>1780</v>
      </c>
      <c r="I262" s="2">
        <v>1600</v>
      </c>
      <c r="J262" s="2">
        <v>1180</v>
      </c>
      <c r="K262" s="2">
        <v>3950</v>
      </c>
      <c r="L262" s="2">
        <v>130</v>
      </c>
      <c r="M262" s="2">
        <v>8.36</v>
      </c>
      <c r="N262" s="2">
        <v>66.7</v>
      </c>
      <c r="O262" s="2">
        <v>24.26</v>
      </c>
      <c r="P262" s="2">
        <v>2127.2399999999998</v>
      </c>
    </row>
    <row r="263" spans="1:16" x14ac:dyDescent="0.35">
      <c r="A263" s="5">
        <v>44820</v>
      </c>
      <c r="B263" s="2">
        <v>441</v>
      </c>
      <c r="C263" s="2">
        <v>256.5</v>
      </c>
      <c r="D263" s="2">
        <v>171.7</v>
      </c>
      <c r="E263" s="2">
        <v>319.33</v>
      </c>
      <c r="F263" s="2">
        <v>11</v>
      </c>
      <c r="G263" s="2">
        <v>225</v>
      </c>
      <c r="H263" s="2">
        <v>1780</v>
      </c>
      <c r="I263" s="2">
        <v>1595</v>
      </c>
      <c r="J263" s="2">
        <v>1197</v>
      </c>
      <c r="K263" s="2">
        <v>4097</v>
      </c>
      <c r="L263" s="2">
        <v>135</v>
      </c>
      <c r="M263" s="2">
        <v>8.2200000000000006</v>
      </c>
      <c r="N263" s="2">
        <v>66.209999999999994</v>
      </c>
      <c r="O263" s="2">
        <v>24.62</v>
      </c>
      <c r="P263" s="2">
        <v>2106.56</v>
      </c>
    </row>
    <row r="264" spans="1:16" x14ac:dyDescent="0.35">
      <c r="A264" s="5">
        <v>44823</v>
      </c>
      <c r="B264" s="2">
        <v>438</v>
      </c>
      <c r="C264" s="2">
        <v>256.5</v>
      </c>
      <c r="D264" s="2">
        <v>171.98</v>
      </c>
      <c r="E264" s="2">
        <v>319.33</v>
      </c>
      <c r="F264" s="2">
        <v>11.05</v>
      </c>
      <c r="G264" s="2">
        <v>222</v>
      </c>
      <c r="H264" s="2">
        <v>1800</v>
      </c>
      <c r="I264" s="2">
        <v>1570</v>
      </c>
      <c r="J264" s="2">
        <v>1171</v>
      </c>
      <c r="K264" s="2">
        <v>4342</v>
      </c>
      <c r="L264" s="2">
        <v>135.5</v>
      </c>
      <c r="M264" s="2">
        <v>8.25</v>
      </c>
      <c r="N264" s="2">
        <v>65.02</v>
      </c>
      <c r="O264" s="2">
        <v>24.99</v>
      </c>
      <c r="P264" s="2">
        <v>2107.5500000000002</v>
      </c>
    </row>
    <row r="265" spans="1:16" x14ac:dyDescent="0.35">
      <c r="A265" s="5">
        <v>44824</v>
      </c>
      <c r="B265" s="2">
        <v>439.8</v>
      </c>
      <c r="C265" s="2">
        <v>256.5</v>
      </c>
      <c r="D265" s="2">
        <v>172.08</v>
      </c>
      <c r="E265" s="2">
        <v>323.12</v>
      </c>
      <c r="F265" s="2">
        <v>11.2</v>
      </c>
      <c r="G265" s="2">
        <v>222</v>
      </c>
      <c r="H265" s="2">
        <v>1810</v>
      </c>
      <c r="I265" s="2">
        <v>1595</v>
      </c>
      <c r="J265" s="2">
        <v>1177</v>
      </c>
      <c r="K265" s="2">
        <v>4400</v>
      </c>
      <c r="L265" s="2">
        <v>135.6</v>
      </c>
      <c r="M265" s="2">
        <v>8.1999999999999993</v>
      </c>
      <c r="N265" s="2">
        <v>65.77</v>
      </c>
      <c r="O265" s="2">
        <v>24.77</v>
      </c>
      <c r="P265" s="2">
        <v>2116.41</v>
      </c>
    </row>
    <row r="266" spans="1:16" x14ac:dyDescent="0.35">
      <c r="A266" s="5">
        <v>44825</v>
      </c>
      <c r="B266" s="2">
        <v>439</v>
      </c>
      <c r="C266" s="2">
        <v>257.95</v>
      </c>
      <c r="D266" s="2">
        <v>172.03</v>
      </c>
      <c r="E266" s="2">
        <v>319.33</v>
      </c>
      <c r="F266" s="2">
        <v>11</v>
      </c>
      <c r="G266" s="2">
        <v>222</v>
      </c>
      <c r="H266" s="2">
        <v>1815</v>
      </c>
      <c r="I266" s="2">
        <v>1600</v>
      </c>
      <c r="J266" s="2">
        <v>1190</v>
      </c>
      <c r="K266" s="2">
        <v>4450</v>
      </c>
      <c r="L266" s="2">
        <v>132</v>
      </c>
      <c r="M266" s="2">
        <v>8.15</v>
      </c>
      <c r="N266" s="2">
        <v>63.4</v>
      </c>
      <c r="O266" s="2">
        <v>24.6</v>
      </c>
      <c r="P266" s="2">
        <v>2115.4299999999998</v>
      </c>
    </row>
    <row r="267" spans="1:16" x14ac:dyDescent="0.35">
      <c r="A267" s="5">
        <v>44826</v>
      </c>
      <c r="B267" s="2">
        <v>441.95</v>
      </c>
      <c r="C267" s="2">
        <v>256</v>
      </c>
      <c r="D267" s="2">
        <v>171.65</v>
      </c>
      <c r="E267" s="2">
        <v>322.32</v>
      </c>
      <c r="F267" s="2">
        <v>11.2</v>
      </c>
      <c r="G267" s="2">
        <v>217.95</v>
      </c>
      <c r="H267" s="2">
        <v>1815</v>
      </c>
      <c r="I267" s="2">
        <v>1598</v>
      </c>
      <c r="J267" s="2">
        <v>1190</v>
      </c>
      <c r="K267" s="2">
        <v>4480</v>
      </c>
      <c r="L267" s="2">
        <v>132</v>
      </c>
      <c r="M267" s="2">
        <v>8.0500000000000007</v>
      </c>
      <c r="N267" s="2">
        <v>63.31</v>
      </c>
      <c r="O267" s="2">
        <v>23.87</v>
      </c>
      <c r="P267" s="2">
        <v>2212.92</v>
      </c>
    </row>
    <row r="268" spans="1:16" x14ac:dyDescent="0.35">
      <c r="A268" s="5">
        <v>44827</v>
      </c>
      <c r="B268" s="2">
        <v>440.5</v>
      </c>
      <c r="C268" s="2">
        <v>256</v>
      </c>
      <c r="D268" s="2">
        <v>171.98</v>
      </c>
      <c r="E268" s="2">
        <v>322.32</v>
      </c>
      <c r="F268" s="2">
        <v>10.95</v>
      </c>
      <c r="G268" s="2">
        <v>220</v>
      </c>
      <c r="H268" s="2">
        <v>1814</v>
      </c>
      <c r="I268" s="2">
        <v>1599</v>
      </c>
      <c r="J268" s="2">
        <v>1200</v>
      </c>
      <c r="K268" s="2">
        <v>4300</v>
      </c>
      <c r="L268" s="2">
        <v>135</v>
      </c>
      <c r="M268" s="2">
        <v>8.01</v>
      </c>
      <c r="N268" s="2">
        <v>62</v>
      </c>
      <c r="O268" s="2">
        <v>24.45</v>
      </c>
      <c r="P268" s="2">
        <v>2344.89</v>
      </c>
    </row>
    <row r="269" spans="1:16" x14ac:dyDescent="0.35">
      <c r="A269" s="5">
        <v>44830</v>
      </c>
      <c r="B269" s="2">
        <v>440.5</v>
      </c>
      <c r="C269" s="2">
        <v>255.9</v>
      </c>
      <c r="D269" s="2">
        <v>171.51</v>
      </c>
      <c r="E269" s="2">
        <v>322.32</v>
      </c>
      <c r="F269" s="2">
        <v>11</v>
      </c>
      <c r="G269" s="2">
        <v>215</v>
      </c>
      <c r="H269" s="2">
        <v>1735</v>
      </c>
      <c r="I269" s="2">
        <v>1550</v>
      </c>
      <c r="J269" s="2">
        <v>1200</v>
      </c>
      <c r="K269" s="2">
        <v>4450</v>
      </c>
      <c r="L269" s="2">
        <v>130.5</v>
      </c>
      <c r="M269" s="2">
        <v>8</v>
      </c>
      <c r="N269" s="2">
        <v>62.3</v>
      </c>
      <c r="O269" s="2">
        <v>23.58</v>
      </c>
      <c r="P269" s="2">
        <v>2484.7399999999998</v>
      </c>
    </row>
    <row r="270" spans="1:16" x14ac:dyDescent="0.35">
      <c r="A270" s="5">
        <v>44831</v>
      </c>
      <c r="B270" s="2">
        <v>438</v>
      </c>
      <c r="C270" s="2">
        <v>253.95</v>
      </c>
      <c r="D270" s="2">
        <v>171.51</v>
      </c>
      <c r="E270" s="2">
        <v>319.33</v>
      </c>
      <c r="F270" s="2">
        <v>11.15</v>
      </c>
      <c r="G270" s="2">
        <v>213.95</v>
      </c>
      <c r="H270" s="2">
        <v>1700</v>
      </c>
      <c r="I270" s="2">
        <v>1499</v>
      </c>
      <c r="J270" s="2">
        <v>1200</v>
      </c>
      <c r="K270" s="2">
        <v>4300</v>
      </c>
      <c r="L270" s="2">
        <v>134.80000000000001</v>
      </c>
      <c r="M270" s="2">
        <v>7.86</v>
      </c>
      <c r="N270" s="2">
        <v>60.3</v>
      </c>
      <c r="O270" s="2">
        <v>23.58</v>
      </c>
      <c r="P270" s="2">
        <v>2465.04</v>
      </c>
    </row>
    <row r="271" spans="1:16" x14ac:dyDescent="0.35">
      <c r="A271" s="5">
        <v>44832</v>
      </c>
      <c r="B271" s="2">
        <v>425</v>
      </c>
      <c r="C271" s="2">
        <v>245</v>
      </c>
      <c r="D271" s="2">
        <v>168.34</v>
      </c>
      <c r="E271" s="2">
        <v>312.54000000000002</v>
      </c>
      <c r="F271" s="2">
        <v>11</v>
      </c>
      <c r="G271" s="2">
        <v>209.9</v>
      </c>
      <c r="H271" s="2">
        <v>1699</v>
      </c>
      <c r="I271" s="2">
        <v>1490</v>
      </c>
      <c r="J271" s="2">
        <v>1149</v>
      </c>
      <c r="K271" s="2">
        <v>4199</v>
      </c>
      <c r="L271" s="2">
        <v>127.65</v>
      </c>
      <c r="M271" s="2">
        <v>7.86</v>
      </c>
      <c r="N271" s="2">
        <v>63.79</v>
      </c>
      <c r="O271" s="2">
        <v>23.46</v>
      </c>
      <c r="P271" s="2">
        <v>2380.35</v>
      </c>
    </row>
    <row r="272" spans="1:16" x14ac:dyDescent="0.35">
      <c r="A272" s="5">
        <v>44833</v>
      </c>
      <c r="B272" s="2">
        <v>421</v>
      </c>
      <c r="C272" s="2">
        <v>242</v>
      </c>
      <c r="D272" s="2">
        <v>164.47</v>
      </c>
      <c r="E272" s="2">
        <v>309.35000000000002</v>
      </c>
      <c r="F272" s="2">
        <v>10.8</v>
      </c>
      <c r="G272" s="2">
        <v>205</v>
      </c>
      <c r="H272" s="2">
        <v>1650</v>
      </c>
      <c r="I272" s="2">
        <v>1447</v>
      </c>
      <c r="J272" s="2">
        <v>1140</v>
      </c>
      <c r="K272" s="2">
        <v>4270</v>
      </c>
      <c r="L272" s="2">
        <v>127</v>
      </c>
      <c r="M272" s="2">
        <v>7.75</v>
      </c>
      <c r="N272" s="2">
        <v>63</v>
      </c>
      <c r="O272" s="2">
        <v>23.06</v>
      </c>
      <c r="P272" s="2">
        <v>2383.3000000000002</v>
      </c>
    </row>
    <row r="273" spans="1:16" x14ac:dyDescent="0.35">
      <c r="A273" s="5">
        <v>44834</v>
      </c>
      <c r="B273" s="2">
        <v>425</v>
      </c>
      <c r="C273" s="2">
        <v>243</v>
      </c>
      <c r="D273" s="2">
        <v>155.76</v>
      </c>
      <c r="E273" s="2">
        <v>309.35000000000002</v>
      </c>
      <c r="F273" s="2">
        <v>11.05</v>
      </c>
      <c r="G273" s="2">
        <v>209</v>
      </c>
      <c r="H273" s="2">
        <v>1605</v>
      </c>
      <c r="I273" s="2">
        <v>1470</v>
      </c>
      <c r="J273" s="2">
        <v>1140</v>
      </c>
      <c r="K273" s="2">
        <v>4014</v>
      </c>
      <c r="L273" s="2">
        <v>127</v>
      </c>
      <c r="M273" s="2">
        <v>7.45</v>
      </c>
      <c r="N273" s="2">
        <v>63.99</v>
      </c>
      <c r="O273" s="2">
        <v>21.85</v>
      </c>
      <c r="P273" s="2">
        <v>2363.6</v>
      </c>
    </row>
    <row r="274" spans="1:16" x14ac:dyDescent="0.35">
      <c r="A274" s="5">
        <v>44846</v>
      </c>
      <c r="B274" s="2">
        <v>424</v>
      </c>
      <c r="C274" s="2">
        <v>240</v>
      </c>
      <c r="D274" s="2">
        <v>169.31</v>
      </c>
      <c r="E274" s="2">
        <v>309.35000000000002</v>
      </c>
      <c r="F274" s="2">
        <v>10.6</v>
      </c>
      <c r="G274" s="2">
        <v>206.7</v>
      </c>
      <c r="H274" s="2">
        <v>1640</v>
      </c>
      <c r="I274" s="2">
        <v>1431</v>
      </c>
      <c r="J274" s="2">
        <v>1136</v>
      </c>
      <c r="K274" s="2">
        <v>4010</v>
      </c>
      <c r="L274" s="2">
        <v>125</v>
      </c>
      <c r="M274" s="2">
        <v>7.67</v>
      </c>
      <c r="N274" s="2">
        <v>63</v>
      </c>
      <c r="O274" s="2">
        <v>22.64</v>
      </c>
      <c r="P274" s="2">
        <v>2412.85</v>
      </c>
    </row>
    <row r="275" spans="1:16" x14ac:dyDescent="0.35">
      <c r="A275" s="5">
        <v>44847</v>
      </c>
      <c r="B275" s="2">
        <v>419</v>
      </c>
      <c r="C275" s="2">
        <v>240</v>
      </c>
      <c r="D275" s="2">
        <v>167.28</v>
      </c>
      <c r="E275" s="2">
        <v>299.57</v>
      </c>
      <c r="F275" s="2">
        <v>10.6</v>
      </c>
      <c r="G275" s="2">
        <v>204.95</v>
      </c>
      <c r="H275" s="2">
        <v>1556</v>
      </c>
      <c r="I275" s="2">
        <v>1400</v>
      </c>
      <c r="J275" s="2">
        <v>1130</v>
      </c>
      <c r="K275" s="2">
        <v>4015</v>
      </c>
      <c r="L275" s="2">
        <v>125.25</v>
      </c>
      <c r="M275" s="2">
        <v>7.62</v>
      </c>
      <c r="N275" s="2">
        <v>60.5</v>
      </c>
      <c r="O275" s="2">
        <v>22</v>
      </c>
      <c r="P275" s="2">
        <v>2368.5300000000002</v>
      </c>
    </row>
    <row r="276" spans="1:16" x14ac:dyDescent="0.35">
      <c r="A276" s="5">
        <v>44848</v>
      </c>
      <c r="B276" s="2">
        <v>411.05</v>
      </c>
      <c r="C276" s="2">
        <v>236.9</v>
      </c>
      <c r="D276" s="2">
        <v>165.44</v>
      </c>
      <c r="E276" s="2">
        <v>299.37</v>
      </c>
      <c r="F276" s="2">
        <v>10.85</v>
      </c>
      <c r="G276" s="2">
        <v>204.05</v>
      </c>
      <c r="H276" s="2">
        <v>1550</v>
      </c>
      <c r="I276" s="2">
        <v>1385</v>
      </c>
      <c r="J276" s="2">
        <v>1120</v>
      </c>
      <c r="K276" s="2">
        <v>3900</v>
      </c>
      <c r="L276" s="2">
        <v>128</v>
      </c>
      <c r="M276" s="2">
        <v>7.48</v>
      </c>
      <c r="N276" s="2">
        <v>60.02</v>
      </c>
      <c r="O276" s="2">
        <v>22</v>
      </c>
      <c r="P276" s="2">
        <v>2381.33</v>
      </c>
    </row>
    <row r="277" spans="1:16" x14ac:dyDescent="0.35">
      <c r="A277" s="5">
        <v>44851</v>
      </c>
      <c r="B277" s="2">
        <v>412.05</v>
      </c>
      <c r="C277" s="2">
        <v>235</v>
      </c>
      <c r="D277" s="2">
        <v>164.47</v>
      </c>
      <c r="E277" s="2">
        <v>298.37</v>
      </c>
      <c r="F277" s="2">
        <v>10.7</v>
      </c>
      <c r="G277" s="2">
        <v>201</v>
      </c>
      <c r="H277" s="2">
        <v>1535</v>
      </c>
      <c r="I277" s="2">
        <v>1385</v>
      </c>
      <c r="J277" s="2">
        <v>1080</v>
      </c>
      <c r="K277" s="2">
        <v>3801</v>
      </c>
      <c r="L277" s="2">
        <v>128</v>
      </c>
      <c r="M277" s="2">
        <v>7.41</v>
      </c>
      <c r="N277" s="2">
        <v>59</v>
      </c>
      <c r="O277" s="2">
        <v>21.8</v>
      </c>
      <c r="P277" s="2">
        <v>2381.33</v>
      </c>
    </row>
    <row r="278" spans="1:16" x14ac:dyDescent="0.35">
      <c r="A278" s="5">
        <v>44853</v>
      </c>
      <c r="B278" s="2">
        <v>408</v>
      </c>
      <c r="C278" s="2">
        <v>235</v>
      </c>
      <c r="D278" s="2">
        <v>162.54</v>
      </c>
      <c r="E278" s="2">
        <v>296.38</v>
      </c>
      <c r="F278" s="2">
        <v>10.65</v>
      </c>
      <c r="G278" s="2">
        <v>199</v>
      </c>
      <c r="H278" s="2">
        <v>1550</v>
      </c>
      <c r="I278" s="2">
        <v>1400</v>
      </c>
      <c r="J278" s="2">
        <v>1080</v>
      </c>
      <c r="K278" s="2">
        <v>3801</v>
      </c>
      <c r="L278" s="2">
        <v>121.7</v>
      </c>
      <c r="M278" s="2">
        <v>7.29</v>
      </c>
      <c r="N278" s="2">
        <v>59</v>
      </c>
      <c r="O278" s="2">
        <v>21.5</v>
      </c>
      <c r="P278" s="2">
        <v>2347.85</v>
      </c>
    </row>
    <row r="279" spans="1:16" x14ac:dyDescent="0.35">
      <c r="A279" s="5">
        <v>44854</v>
      </c>
      <c r="B279" s="2">
        <v>399</v>
      </c>
      <c r="C279" s="2">
        <v>224</v>
      </c>
      <c r="D279" s="2">
        <v>158.62</v>
      </c>
      <c r="E279" s="2">
        <v>289.39</v>
      </c>
      <c r="F279" s="2">
        <v>10.85</v>
      </c>
      <c r="G279" s="2">
        <v>199</v>
      </c>
      <c r="H279" s="2">
        <v>1515</v>
      </c>
      <c r="I279" s="2">
        <v>1361</v>
      </c>
      <c r="J279" s="2">
        <v>1040</v>
      </c>
      <c r="K279" s="2">
        <v>3750</v>
      </c>
      <c r="L279" s="2">
        <v>117</v>
      </c>
      <c r="M279" s="2">
        <v>6.86</v>
      </c>
      <c r="N279" s="2">
        <v>55.47</v>
      </c>
      <c r="O279" s="2">
        <v>21.07</v>
      </c>
      <c r="P279" s="2">
        <v>2304.5100000000002</v>
      </c>
    </row>
    <row r="280" spans="1:16" x14ac:dyDescent="0.35">
      <c r="A280" s="5">
        <v>44855</v>
      </c>
      <c r="B280" s="2">
        <v>398</v>
      </c>
      <c r="C280" s="2">
        <v>223.9</v>
      </c>
      <c r="D280" s="2">
        <v>157.69999999999999</v>
      </c>
      <c r="E280" s="2">
        <v>287.39999999999998</v>
      </c>
      <c r="F280" s="2">
        <v>10.5</v>
      </c>
      <c r="G280" s="2">
        <v>191.05</v>
      </c>
      <c r="H280" s="2">
        <v>1432</v>
      </c>
      <c r="I280" s="2">
        <v>1400</v>
      </c>
      <c r="J280" s="2">
        <v>1070</v>
      </c>
      <c r="K280" s="2">
        <v>3700</v>
      </c>
      <c r="L280" s="2">
        <v>118</v>
      </c>
      <c r="M280" s="2">
        <v>7.03</v>
      </c>
      <c r="N280" s="2">
        <v>54.5</v>
      </c>
      <c r="O280" s="2">
        <v>21</v>
      </c>
      <c r="P280" s="2">
        <v>2230.65</v>
      </c>
    </row>
    <row r="281" spans="1:16" x14ac:dyDescent="0.35">
      <c r="A281" s="5">
        <v>44862</v>
      </c>
      <c r="B281" s="2">
        <v>390.1</v>
      </c>
      <c r="C281" s="2">
        <v>220</v>
      </c>
      <c r="D281" s="2">
        <v>155.76</v>
      </c>
      <c r="E281" s="2">
        <v>297.38</v>
      </c>
      <c r="F281" s="2">
        <v>10.15</v>
      </c>
      <c r="G281" s="2">
        <v>186</v>
      </c>
      <c r="H281" s="2">
        <v>1439</v>
      </c>
      <c r="I281" s="2">
        <v>1375</v>
      </c>
      <c r="J281" s="2">
        <v>1070</v>
      </c>
      <c r="K281" s="2">
        <v>3749</v>
      </c>
      <c r="L281" s="2">
        <v>119.85</v>
      </c>
      <c r="M281" s="2">
        <v>7</v>
      </c>
      <c r="N281" s="2">
        <v>57.33</v>
      </c>
      <c r="O281" s="2">
        <v>21.89</v>
      </c>
      <c r="P281" s="2">
        <v>2245.42</v>
      </c>
    </row>
    <row r="282" spans="1:16" x14ac:dyDescent="0.35">
      <c r="A282" s="5">
        <v>44865</v>
      </c>
      <c r="B282" s="2">
        <v>385</v>
      </c>
      <c r="C282" s="2">
        <v>220</v>
      </c>
      <c r="D282" s="2">
        <v>154.80000000000001</v>
      </c>
      <c r="E282" s="2">
        <v>289.39</v>
      </c>
      <c r="F282" s="2">
        <v>10.15</v>
      </c>
      <c r="G282" s="2">
        <v>186</v>
      </c>
      <c r="H282" s="2">
        <v>1480</v>
      </c>
      <c r="I282" s="2">
        <v>1350</v>
      </c>
      <c r="J282" s="2">
        <v>1070</v>
      </c>
      <c r="K282" s="2">
        <v>3750</v>
      </c>
      <c r="L282" s="2">
        <v>116.25</v>
      </c>
      <c r="M282" s="2">
        <v>6.86</v>
      </c>
      <c r="N282" s="2">
        <v>57.5</v>
      </c>
      <c r="O282" s="2">
        <v>21.49</v>
      </c>
      <c r="P282" s="2">
        <v>2215.88</v>
      </c>
    </row>
    <row r="283" spans="1:16" x14ac:dyDescent="0.35">
      <c r="A283" s="5">
        <v>44867</v>
      </c>
      <c r="B283" s="2">
        <v>390</v>
      </c>
      <c r="C283" s="2">
        <v>220</v>
      </c>
      <c r="D283" s="2">
        <v>154.69999999999999</v>
      </c>
      <c r="E283" s="2">
        <v>299.37</v>
      </c>
      <c r="F283" s="2">
        <v>9.44</v>
      </c>
      <c r="G283" s="2">
        <v>188.95</v>
      </c>
      <c r="H283" s="2">
        <v>1490</v>
      </c>
      <c r="I283" s="2">
        <v>1368</v>
      </c>
      <c r="J283" s="2">
        <v>1050</v>
      </c>
      <c r="K283" s="2">
        <v>3730</v>
      </c>
      <c r="L283" s="2">
        <v>116</v>
      </c>
      <c r="M283" s="2">
        <v>6.9</v>
      </c>
      <c r="N283" s="2">
        <v>57.49</v>
      </c>
      <c r="O283" s="2">
        <v>21.45</v>
      </c>
      <c r="P283" s="2">
        <v>2225.73</v>
      </c>
    </row>
    <row r="284" spans="1:16" x14ac:dyDescent="0.35">
      <c r="A284" s="5">
        <v>44868</v>
      </c>
      <c r="B284" s="2">
        <v>390</v>
      </c>
      <c r="C284" s="2">
        <v>220</v>
      </c>
      <c r="D284" s="2">
        <v>154.80000000000001</v>
      </c>
      <c r="E284" s="2">
        <v>289.49</v>
      </c>
      <c r="F284" s="2">
        <v>9.34</v>
      </c>
      <c r="G284" s="2">
        <v>187</v>
      </c>
      <c r="H284" s="2">
        <v>1440</v>
      </c>
      <c r="I284" s="2">
        <v>1375</v>
      </c>
      <c r="J284" s="2">
        <v>1050</v>
      </c>
      <c r="K284" s="2">
        <v>3700</v>
      </c>
      <c r="L284" s="2">
        <v>116</v>
      </c>
      <c r="M284" s="2">
        <v>6.88</v>
      </c>
      <c r="N284" s="2">
        <v>57.9</v>
      </c>
      <c r="O284" s="2">
        <v>21.38</v>
      </c>
      <c r="P284" s="2">
        <v>2234.59</v>
      </c>
    </row>
    <row r="285" spans="1:16" x14ac:dyDescent="0.35">
      <c r="A285" s="5">
        <v>44869</v>
      </c>
      <c r="B285" s="2">
        <v>388</v>
      </c>
      <c r="C285" s="2">
        <v>219.8</v>
      </c>
      <c r="D285" s="2">
        <v>154.31</v>
      </c>
      <c r="E285" s="2">
        <v>306.36</v>
      </c>
      <c r="F285" s="2">
        <v>9.34</v>
      </c>
      <c r="G285" s="2">
        <v>186</v>
      </c>
      <c r="H285" s="2">
        <v>1420</v>
      </c>
      <c r="I285" s="2">
        <v>1350</v>
      </c>
      <c r="J285" s="2">
        <v>1055</v>
      </c>
      <c r="K285" s="2">
        <v>3600</v>
      </c>
      <c r="L285" s="2">
        <v>120</v>
      </c>
      <c r="M285" s="2">
        <v>6.85</v>
      </c>
      <c r="N285" s="2">
        <v>57</v>
      </c>
      <c r="O285" s="2">
        <v>21.34</v>
      </c>
      <c r="P285" s="2">
        <v>2214.89</v>
      </c>
    </row>
    <row r="286" spans="1:16" x14ac:dyDescent="0.35">
      <c r="A286" s="5">
        <v>44874</v>
      </c>
      <c r="B286" s="2">
        <v>387</v>
      </c>
      <c r="C286" s="2">
        <v>218</v>
      </c>
      <c r="D286" s="2">
        <v>152.86000000000001</v>
      </c>
      <c r="E286" s="2">
        <v>299.37</v>
      </c>
      <c r="F286" s="2">
        <v>9.3000000000000007</v>
      </c>
      <c r="G286" s="2">
        <v>183</v>
      </c>
      <c r="H286" s="2">
        <v>1430</v>
      </c>
      <c r="I286" s="2">
        <v>1340</v>
      </c>
      <c r="J286" s="2">
        <v>1030</v>
      </c>
      <c r="K286" s="2">
        <v>3600</v>
      </c>
      <c r="L286" s="2">
        <v>115</v>
      </c>
      <c r="M286" s="2">
        <v>6.49</v>
      </c>
      <c r="N286" s="2">
        <v>55</v>
      </c>
      <c r="O286" s="2">
        <v>20.68</v>
      </c>
      <c r="P286" s="2">
        <v>2151.86</v>
      </c>
    </row>
    <row r="287" spans="1:16" x14ac:dyDescent="0.35">
      <c r="A287" s="5">
        <v>44875</v>
      </c>
      <c r="B287" s="2">
        <v>372</v>
      </c>
      <c r="C287" s="2">
        <v>215</v>
      </c>
      <c r="D287" s="2">
        <v>150.93</v>
      </c>
      <c r="E287" s="2">
        <v>287.39999999999998</v>
      </c>
      <c r="F287" s="2">
        <v>9.3000000000000007</v>
      </c>
      <c r="G287" s="2">
        <v>181.45</v>
      </c>
      <c r="H287" s="2">
        <v>1400</v>
      </c>
      <c r="I287" s="2">
        <v>1290</v>
      </c>
      <c r="J287" s="2">
        <v>1020</v>
      </c>
      <c r="K287" s="2">
        <v>3600</v>
      </c>
      <c r="L287" s="2">
        <v>116.9</v>
      </c>
      <c r="M287" s="2">
        <v>6.2</v>
      </c>
      <c r="N287" s="2">
        <v>54.99</v>
      </c>
      <c r="O287" s="2">
        <v>20.12</v>
      </c>
      <c r="P287" s="2">
        <v>2196.1799999999998</v>
      </c>
    </row>
    <row r="288" spans="1:16" x14ac:dyDescent="0.35">
      <c r="A288" s="5">
        <v>44876</v>
      </c>
      <c r="B288" s="2">
        <v>373</v>
      </c>
      <c r="C288" s="2">
        <v>210</v>
      </c>
      <c r="D288" s="2">
        <v>150.93</v>
      </c>
      <c r="E288" s="2">
        <v>298.17</v>
      </c>
      <c r="F288" s="2">
        <v>9.08</v>
      </c>
      <c r="G288" s="2">
        <v>177.5</v>
      </c>
      <c r="H288" s="2">
        <v>1400</v>
      </c>
      <c r="I288" s="2">
        <v>1290</v>
      </c>
      <c r="J288" s="2">
        <v>1025</v>
      </c>
      <c r="K288" s="2">
        <v>3500</v>
      </c>
      <c r="L288" s="2">
        <v>119</v>
      </c>
      <c r="M288" s="2">
        <v>6.5</v>
      </c>
      <c r="N288" s="2">
        <v>54</v>
      </c>
      <c r="O288" s="2">
        <v>20.14</v>
      </c>
      <c r="P288" s="2">
        <v>2235.58</v>
      </c>
    </row>
    <row r="289" spans="1:16" x14ac:dyDescent="0.35">
      <c r="A289" s="5">
        <v>44880</v>
      </c>
      <c r="B289" s="2">
        <v>383.1</v>
      </c>
      <c r="C289" s="2">
        <v>220</v>
      </c>
      <c r="D289" s="2">
        <v>154.80000000000001</v>
      </c>
      <c r="E289" s="2">
        <v>284.39999999999998</v>
      </c>
      <c r="F289" s="2">
        <v>9.02</v>
      </c>
      <c r="G289" s="2">
        <v>180.95</v>
      </c>
      <c r="H289" s="2">
        <v>1439</v>
      </c>
      <c r="I289" s="2">
        <v>1302</v>
      </c>
      <c r="J289" s="2">
        <v>1021</v>
      </c>
      <c r="K289" s="2">
        <v>3570</v>
      </c>
      <c r="L289" s="2">
        <v>115.6</v>
      </c>
      <c r="M289" s="2">
        <v>6.55</v>
      </c>
      <c r="N289" s="2">
        <v>55.4</v>
      </c>
      <c r="O289" s="2">
        <v>20.5</v>
      </c>
      <c r="P289" s="2">
        <v>2294.67</v>
      </c>
    </row>
    <row r="290" spans="1:16" x14ac:dyDescent="0.35">
      <c r="A290" s="5">
        <v>44881</v>
      </c>
      <c r="B290" s="2">
        <v>390</v>
      </c>
      <c r="C290" s="2">
        <v>220.05</v>
      </c>
      <c r="D290" s="2">
        <v>154.80000000000001</v>
      </c>
      <c r="E290" s="2">
        <v>283.39999999999998</v>
      </c>
      <c r="F290" s="2">
        <v>9.16</v>
      </c>
      <c r="G290" s="2">
        <v>175.35</v>
      </c>
      <c r="H290" s="2">
        <v>1439</v>
      </c>
      <c r="I290" s="2">
        <v>1310</v>
      </c>
      <c r="J290" s="2">
        <v>1020</v>
      </c>
      <c r="K290" s="2">
        <v>3500</v>
      </c>
      <c r="L290" s="2">
        <v>119</v>
      </c>
      <c r="M290" s="2">
        <v>6.5</v>
      </c>
      <c r="N290" s="2">
        <v>54.2</v>
      </c>
      <c r="O290" s="2">
        <v>20.49</v>
      </c>
      <c r="P290" s="2">
        <v>2231.64</v>
      </c>
    </row>
    <row r="291" spans="1:16" x14ac:dyDescent="0.35">
      <c r="A291" s="5">
        <v>44882</v>
      </c>
      <c r="B291" s="2">
        <v>405</v>
      </c>
      <c r="C291" s="2">
        <v>227</v>
      </c>
      <c r="D291" s="2">
        <v>157.69999999999999</v>
      </c>
      <c r="E291" s="2">
        <v>283.39999999999998</v>
      </c>
      <c r="F291" s="2">
        <v>9.2799999999999994</v>
      </c>
      <c r="G291" s="2">
        <v>179.95</v>
      </c>
      <c r="H291" s="2">
        <v>1450</v>
      </c>
      <c r="I291" s="2">
        <v>1385</v>
      </c>
      <c r="J291" s="2">
        <v>1005</v>
      </c>
      <c r="K291" s="2">
        <v>3501</v>
      </c>
      <c r="L291" s="2">
        <v>122.5</v>
      </c>
      <c r="M291" s="2">
        <v>6.49</v>
      </c>
      <c r="N291" s="2">
        <v>55</v>
      </c>
      <c r="O291" s="2">
        <v>20.49</v>
      </c>
      <c r="P291" s="2">
        <v>2265.12</v>
      </c>
    </row>
    <row r="292" spans="1:16" x14ac:dyDescent="0.35">
      <c r="A292" s="5">
        <v>44886</v>
      </c>
      <c r="B292" s="2">
        <v>401</v>
      </c>
      <c r="C292" s="2">
        <v>226.9</v>
      </c>
      <c r="D292" s="2">
        <v>157.69999999999999</v>
      </c>
      <c r="E292" s="2">
        <v>291.44</v>
      </c>
      <c r="F292" s="2">
        <v>9.1999999999999993</v>
      </c>
      <c r="G292" s="2">
        <v>179.9</v>
      </c>
      <c r="H292" s="2">
        <v>1431</v>
      </c>
      <c r="I292" s="2">
        <v>1367</v>
      </c>
      <c r="J292" s="2">
        <v>1061</v>
      </c>
      <c r="K292" s="2">
        <v>3550</v>
      </c>
      <c r="L292" s="2">
        <v>120</v>
      </c>
      <c r="M292" s="2">
        <v>6.51</v>
      </c>
      <c r="N292" s="2">
        <v>55</v>
      </c>
      <c r="O292" s="2">
        <v>20.48</v>
      </c>
      <c r="P292" s="2">
        <v>2292.6999999999998</v>
      </c>
    </row>
    <row r="293" spans="1:16" x14ac:dyDescent="0.35">
      <c r="A293" s="5">
        <v>44895</v>
      </c>
      <c r="B293" s="2">
        <v>403</v>
      </c>
      <c r="C293" s="2">
        <v>227</v>
      </c>
      <c r="D293" s="2">
        <v>159.63</v>
      </c>
      <c r="E293" s="2">
        <v>296.38</v>
      </c>
      <c r="F293" s="2">
        <v>9.34</v>
      </c>
      <c r="G293" s="2">
        <v>200</v>
      </c>
      <c r="H293" s="2">
        <v>1429</v>
      </c>
      <c r="I293" s="2">
        <v>1282</v>
      </c>
      <c r="J293" s="2">
        <v>1100</v>
      </c>
      <c r="K293" s="2">
        <v>3800</v>
      </c>
      <c r="L293" s="2">
        <v>118.95</v>
      </c>
      <c r="M293" s="2">
        <v>6.61</v>
      </c>
      <c r="N293" s="2">
        <v>57</v>
      </c>
      <c r="O293" s="2">
        <v>19.52</v>
      </c>
      <c r="P293" s="2">
        <v>2215.88</v>
      </c>
    </row>
    <row r="294" spans="1:16" x14ac:dyDescent="0.35">
      <c r="A294" s="5">
        <v>44897</v>
      </c>
      <c r="B294" s="2">
        <v>410</v>
      </c>
      <c r="C294" s="2">
        <v>229.9</v>
      </c>
      <c r="D294" s="2">
        <v>162.54</v>
      </c>
      <c r="E294" s="2">
        <v>296.38</v>
      </c>
      <c r="F294" s="2">
        <v>9.4</v>
      </c>
      <c r="G294" s="2">
        <v>204.9</v>
      </c>
      <c r="H294" s="2">
        <v>1450</v>
      </c>
      <c r="I294" s="2">
        <v>1300</v>
      </c>
      <c r="J294" s="2">
        <v>1080</v>
      </c>
      <c r="K294" s="2">
        <v>3700</v>
      </c>
      <c r="L294" s="2">
        <v>119.9</v>
      </c>
      <c r="M294" s="2">
        <v>6.46</v>
      </c>
      <c r="N294" s="2">
        <v>57.5</v>
      </c>
      <c r="O294" s="2">
        <v>20.399999999999999</v>
      </c>
      <c r="P294" s="2">
        <v>2245.42</v>
      </c>
    </row>
    <row r="295" spans="1:16" x14ac:dyDescent="0.35">
      <c r="A295" s="5">
        <v>44900</v>
      </c>
      <c r="B295" s="2">
        <v>410</v>
      </c>
      <c r="C295" s="2">
        <v>231.5</v>
      </c>
      <c r="D295" s="2">
        <v>165.44</v>
      </c>
      <c r="E295" s="2">
        <v>296.38</v>
      </c>
      <c r="F295" s="2">
        <v>9.4</v>
      </c>
      <c r="G295" s="2">
        <v>217.15</v>
      </c>
      <c r="H295" s="2">
        <v>1530</v>
      </c>
      <c r="I295" s="2">
        <v>1338</v>
      </c>
      <c r="J295" s="2">
        <v>1099</v>
      </c>
      <c r="K295" s="2">
        <v>3814</v>
      </c>
      <c r="L295" s="2">
        <v>118.9</v>
      </c>
      <c r="M295" s="2">
        <v>6.4</v>
      </c>
      <c r="N295" s="2">
        <v>56</v>
      </c>
      <c r="O295" s="2">
        <v>20.3</v>
      </c>
      <c r="P295" s="2">
        <v>2255.27</v>
      </c>
    </row>
    <row r="296" spans="1:16" x14ac:dyDescent="0.35">
      <c r="A296" s="5">
        <v>44903</v>
      </c>
      <c r="B296" s="2">
        <v>409.95</v>
      </c>
      <c r="C296" s="2">
        <v>232.95</v>
      </c>
      <c r="D296" s="2">
        <v>164.52</v>
      </c>
      <c r="E296" s="2">
        <v>299.37</v>
      </c>
      <c r="F296" s="2">
        <v>10.1</v>
      </c>
      <c r="G296" s="2">
        <v>223</v>
      </c>
      <c r="H296" s="2">
        <v>1536</v>
      </c>
      <c r="I296" s="2">
        <v>1337</v>
      </c>
      <c r="J296" s="2">
        <v>1090</v>
      </c>
      <c r="K296" s="2">
        <v>3800</v>
      </c>
      <c r="L296" s="2">
        <v>119.85</v>
      </c>
      <c r="M296" s="2">
        <v>6.41</v>
      </c>
      <c r="N296" s="2">
        <v>57.44</v>
      </c>
      <c r="O296" s="2">
        <v>18.5</v>
      </c>
      <c r="P296" s="2">
        <v>2358.6799999999998</v>
      </c>
    </row>
    <row r="297" spans="1:16" x14ac:dyDescent="0.35">
      <c r="A297" s="5">
        <v>44904</v>
      </c>
      <c r="B297" s="2">
        <v>409.9</v>
      </c>
      <c r="C297" s="2">
        <v>232</v>
      </c>
      <c r="D297" s="2">
        <v>164.47</v>
      </c>
      <c r="E297" s="2">
        <v>299.92</v>
      </c>
      <c r="F297" s="2">
        <v>10.199999999999999</v>
      </c>
      <c r="G297" s="2">
        <v>223</v>
      </c>
      <c r="H297" s="2">
        <v>1501</v>
      </c>
      <c r="I297" s="2">
        <v>1352</v>
      </c>
      <c r="J297" s="2">
        <v>1098</v>
      </c>
      <c r="K297" s="2">
        <v>3800</v>
      </c>
      <c r="L297" s="2">
        <v>120</v>
      </c>
      <c r="M297" s="2">
        <v>6.4</v>
      </c>
      <c r="N297" s="2">
        <v>56.99</v>
      </c>
      <c r="O297" s="2">
        <v>18.600000000000001</v>
      </c>
      <c r="P297" s="2">
        <v>2358.6799999999998</v>
      </c>
    </row>
    <row r="298" spans="1:16" x14ac:dyDescent="0.35">
      <c r="A298" s="5">
        <v>44907</v>
      </c>
      <c r="B298" s="2">
        <v>409.9</v>
      </c>
      <c r="C298" s="2">
        <v>233</v>
      </c>
      <c r="D298" s="2">
        <v>164.47</v>
      </c>
      <c r="E298" s="2">
        <v>299.57</v>
      </c>
      <c r="F298" s="2">
        <v>9.9</v>
      </c>
      <c r="G298" s="2">
        <v>220</v>
      </c>
      <c r="H298" s="2">
        <v>1536</v>
      </c>
      <c r="I298" s="2">
        <v>1354</v>
      </c>
      <c r="J298" s="2">
        <v>1098</v>
      </c>
      <c r="K298" s="2">
        <v>3800</v>
      </c>
      <c r="L298" s="2">
        <v>120</v>
      </c>
      <c r="M298" s="2">
        <v>6.41</v>
      </c>
      <c r="N298" s="2">
        <v>55.68</v>
      </c>
      <c r="O298" s="2">
        <v>19.260000000000002</v>
      </c>
      <c r="P298" s="2">
        <v>2358.6799999999998</v>
      </c>
    </row>
    <row r="299" spans="1:16" x14ac:dyDescent="0.35">
      <c r="A299" s="5">
        <v>44908</v>
      </c>
      <c r="B299" s="2">
        <v>409.8</v>
      </c>
      <c r="C299" s="2">
        <v>233</v>
      </c>
      <c r="D299" s="2">
        <v>164.47</v>
      </c>
      <c r="E299" s="2">
        <v>304.31</v>
      </c>
      <c r="F299" s="2">
        <v>9.8000000000000007</v>
      </c>
      <c r="G299" s="2">
        <v>229.9</v>
      </c>
      <c r="H299" s="2">
        <v>1536</v>
      </c>
      <c r="I299" s="2">
        <v>1355</v>
      </c>
      <c r="J299" s="2">
        <v>1090</v>
      </c>
      <c r="K299" s="2">
        <v>4000</v>
      </c>
      <c r="L299" s="2">
        <v>123.85</v>
      </c>
      <c r="M299" s="2">
        <v>6.5</v>
      </c>
      <c r="N299" s="2">
        <v>56</v>
      </c>
      <c r="O299" s="2">
        <v>18.5</v>
      </c>
      <c r="P299" s="2">
        <v>2381.33</v>
      </c>
    </row>
    <row r="300" spans="1:16" x14ac:dyDescent="0.35">
      <c r="A300" s="5">
        <v>44909</v>
      </c>
      <c r="B300" s="2">
        <v>410</v>
      </c>
      <c r="C300" s="2">
        <v>232.95</v>
      </c>
      <c r="D300" s="2">
        <v>164.47</v>
      </c>
      <c r="E300" s="2">
        <v>300.37</v>
      </c>
      <c r="F300" s="2">
        <v>9.6999999999999993</v>
      </c>
      <c r="G300" s="2">
        <v>228.95</v>
      </c>
      <c r="H300" s="2">
        <v>1536</v>
      </c>
      <c r="I300" s="2">
        <v>1360</v>
      </c>
      <c r="J300" s="2">
        <v>1099</v>
      </c>
      <c r="K300" s="2">
        <v>4000</v>
      </c>
      <c r="L300" s="2">
        <v>123.5</v>
      </c>
      <c r="M300" s="2">
        <v>6.46</v>
      </c>
      <c r="N300" s="2">
        <v>56</v>
      </c>
      <c r="O300" s="2">
        <v>18.48</v>
      </c>
      <c r="P300" s="2">
        <v>2421.71</v>
      </c>
    </row>
    <row r="301" spans="1:16" x14ac:dyDescent="0.35">
      <c r="A301" s="5">
        <v>44911</v>
      </c>
      <c r="B301" s="2">
        <v>401.95</v>
      </c>
      <c r="C301" s="2">
        <v>228.5</v>
      </c>
      <c r="D301" s="2">
        <v>164.47</v>
      </c>
      <c r="E301" s="2">
        <v>296.38</v>
      </c>
      <c r="F301" s="2">
        <v>9.42</v>
      </c>
      <c r="G301" s="2">
        <v>216.5</v>
      </c>
      <c r="H301" s="2">
        <v>1500</v>
      </c>
      <c r="I301" s="2">
        <v>1320</v>
      </c>
      <c r="J301" s="2">
        <v>1095</v>
      </c>
      <c r="K301" s="2">
        <v>3800</v>
      </c>
      <c r="L301" s="2">
        <v>126</v>
      </c>
      <c r="M301" s="2">
        <v>6.5</v>
      </c>
      <c r="N301" s="2">
        <v>52.33</v>
      </c>
      <c r="O301" s="2">
        <v>19.670000000000002</v>
      </c>
      <c r="P301" s="2">
        <v>2294.67</v>
      </c>
    </row>
    <row r="302" spans="1:16" x14ac:dyDescent="0.35">
      <c r="A302" s="5">
        <v>44917</v>
      </c>
      <c r="B302" s="2">
        <v>395</v>
      </c>
      <c r="C302" s="2">
        <v>232</v>
      </c>
      <c r="D302" s="2">
        <v>163.99</v>
      </c>
      <c r="E302" s="2">
        <v>294.38</v>
      </c>
      <c r="F302" s="2">
        <v>9.06</v>
      </c>
      <c r="G302" s="2">
        <v>214</v>
      </c>
      <c r="H302" s="2">
        <v>1440</v>
      </c>
      <c r="I302" s="2">
        <v>1325</v>
      </c>
      <c r="J302" s="2">
        <v>1099</v>
      </c>
      <c r="K302" s="2">
        <v>3800</v>
      </c>
      <c r="L302" s="2">
        <v>125</v>
      </c>
      <c r="M302" s="2">
        <v>6.27</v>
      </c>
      <c r="N302" s="2">
        <v>53.73</v>
      </c>
      <c r="O302" s="2">
        <v>18.899999999999999</v>
      </c>
      <c r="P302" s="2">
        <v>2463.0700000000002</v>
      </c>
    </row>
    <row r="303" spans="1:16" x14ac:dyDescent="0.35">
      <c r="A303" s="5">
        <v>44918</v>
      </c>
      <c r="B303" s="2">
        <v>400</v>
      </c>
      <c r="C303" s="2">
        <v>231</v>
      </c>
      <c r="D303" s="2">
        <v>164.47</v>
      </c>
      <c r="E303" s="2">
        <v>293.38</v>
      </c>
      <c r="F303" s="2">
        <v>9.02</v>
      </c>
      <c r="G303" s="2">
        <v>210</v>
      </c>
      <c r="H303" s="2">
        <v>1450</v>
      </c>
      <c r="I303" s="2">
        <v>1325</v>
      </c>
      <c r="J303" s="2">
        <v>1098</v>
      </c>
      <c r="K303" s="2">
        <v>3800</v>
      </c>
      <c r="L303" s="2">
        <v>120</v>
      </c>
      <c r="M303" s="2">
        <v>6.3</v>
      </c>
      <c r="N303" s="2">
        <v>54</v>
      </c>
      <c r="O303" s="2">
        <v>18.899999999999999</v>
      </c>
      <c r="P303" s="2">
        <v>2462.09</v>
      </c>
    </row>
    <row r="304" spans="1:16" x14ac:dyDescent="0.35">
      <c r="A304" s="5">
        <v>44922</v>
      </c>
      <c r="B304" s="2">
        <v>397</v>
      </c>
      <c r="C304" s="2">
        <v>230</v>
      </c>
      <c r="D304" s="2">
        <v>164.47</v>
      </c>
      <c r="E304" s="2">
        <v>299.27</v>
      </c>
      <c r="F304" s="2">
        <v>9.0399999999999991</v>
      </c>
      <c r="G304" s="2">
        <v>210</v>
      </c>
      <c r="H304" s="2">
        <v>1450</v>
      </c>
      <c r="I304" s="2">
        <v>1320</v>
      </c>
      <c r="J304" s="2">
        <v>1130</v>
      </c>
      <c r="K304" s="2">
        <v>3800</v>
      </c>
      <c r="L304" s="2">
        <v>120</v>
      </c>
      <c r="M304" s="2">
        <v>6.3</v>
      </c>
      <c r="N304" s="2">
        <v>52.51</v>
      </c>
      <c r="O304" s="2">
        <v>17.91</v>
      </c>
      <c r="P304" s="2">
        <v>2457.16</v>
      </c>
    </row>
    <row r="305" spans="1:16" x14ac:dyDescent="0.35">
      <c r="A305" s="5">
        <v>44924</v>
      </c>
      <c r="B305" s="2">
        <v>395</v>
      </c>
      <c r="C305" s="2">
        <v>239</v>
      </c>
      <c r="D305" s="2">
        <v>166.41</v>
      </c>
      <c r="E305" s="2">
        <v>289.39</v>
      </c>
      <c r="F305" s="2">
        <v>8.94</v>
      </c>
      <c r="G305" s="2">
        <v>190</v>
      </c>
      <c r="H305" s="2">
        <v>1400</v>
      </c>
      <c r="I305" s="2">
        <v>1280</v>
      </c>
      <c r="J305" s="2">
        <v>1126</v>
      </c>
      <c r="K305" s="2">
        <v>3997</v>
      </c>
      <c r="L305" s="2">
        <v>119.4</v>
      </c>
      <c r="M305" s="2">
        <v>6.3</v>
      </c>
      <c r="N305" s="2">
        <v>52.5</v>
      </c>
      <c r="O305" s="2">
        <v>17.399999999999999</v>
      </c>
      <c r="P305" s="2">
        <v>2437.4699999999998</v>
      </c>
    </row>
    <row r="306" spans="1:16" x14ac:dyDescent="0.35">
      <c r="A306" s="5">
        <v>44925</v>
      </c>
      <c r="B306" s="2">
        <v>392</v>
      </c>
      <c r="C306" s="2">
        <v>231</v>
      </c>
      <c r="D306" s="2">
        <v>166.41</v>
      </c>
      <c r="E306" s="2">
        <v>303.36</v>
      </c>
      <c r="F306" s="2">
        <v>8.6</v>
      </c>
      <c r="G306" s="2">
        <v>190</v>
      </c>
      <c r="H306" s="2">
        <v>1350</v>
      </c>
      <c r="I306" s="2">
        <v>1280</v>
      </c>
      <c r="J306" s="2">
        <v>1098</v>
      </c>
      <c r="K306" s="2">
        <v>3760</v>
      </c>
      <c r="L306" s="2">
        <v>125</v>
      </c>
      <c r="M306" s="2">
        <v>6.28</v>
      </c>
      <c r="N306" s="2">
        <v>52</v>
      </c>
      <c r="O306" s="2">
        <v>18</v>
      </c>
      <c r="P306" s="2">
        <v>2491.63</v>
      </c>
    </row>
    <row r="307" spans="1:16" x14ac:dyDescent="0.35">
      <c r="A307" s="5">
        <v>44930</v>
      </c>
      <c r="B307" s="2">
        <v>379.5</v>
      </c>
      <c r="C307" s="2">
        <v>220</v>
      </c>
      <c r="D307" s="2">
        <v>164.47</v>
      </c>
      <c r="E307" s="2">
        <v>294.38</v>
      </c>
      <c r="F307" s="2">
        <v>9</v>
      </c>
      <c r="G307" s="2">
        <v>184.85</v>
      </c>
      <c r="H307" s="2">
        <v>1335</v>
      </c>
      <c r="I307" s="2">
        <v>1177</v>
      </c>
      <c r="J307" s="2">
        <v>1000</v>
      </c>
      <c r="K307" s="2">
        <v>3550</v>
      </c>
      <c r="L307" s="2">
        <v>120</v>
      </c>
      <c r="M307" s="2">
        <v>6.12</v>
      </c>
      <c r="N307" s="2">
        <v>47</v>
      </c>
      <c r="O307" s="2">
        <v>15.9</v>
      </c>
      <c r="P307" s="2">
        <v>2388.2199999999998</v>
      </c>
    </row>
    <row r="308" spans="1:16" x14ac:dyDescent="0.35">
      <c r="A308" s="5">
        <v>44931</v>
      </c>
      <c r="B308" s="2">
        <v>364.9</v>
      </c>
      <c r="C308" s="2">
        <v>207</v>
      </c>
      <c r="D308" s="2">
        <v>159.59</v>
      </c>
      <c r="E308" s="2">
        <v>281.41000000000003</v>
      </c>
      <c r="F308" s="2">
        <v>8.76</v>
      </c>
      <c r="G308" s="2">
        <v>173.8</v>
      </c>
      <c r="H308" s="2">
        <v>1255</v>
      </c>
      <c r="I308" s="2">
        <v>1245</v>
      </c>
      <c r="J308" s="2">
        <v>940.1</v>
      </c>
      <c r="K308" s="2">
        <v>3338</v>
      </c>
      <c r="L308" s="2">
        <v>114.5</v>
      </c>
      <c r="M308" s="2">
        <v>5.76</v>
      </c>
      <c r="N308" s="2">
        <v>44.19</v>
      </c>
      <c r="O308" s="2">
        <v>15.45</v>
      </c>
      <c r="P308" s="2">
        <v>2314.36</v>
      </c>
    </row>
    <row r="309" spans="1:16" x14ac:dyDescent="0.35">
      <c r="A309" s="5">
        <v>44932</v>
      </c>
      <c r="B309" s="2">
        <v>359</v>
      </c>
      <c r="C309" s="2">
        <v>194.6</v>
      </c>
      <c r="D309" s="2">
        <v>157.69999999999999</v>
      </c>
      <c r="E309" s="2">
        <v>294.27999999999997</v>
      </c>
      <c r="F309" s="2">
        <v>8.52</v>
      </c>
      <c r="G309" s="2">
        <v>163.4</v>
      </c>
      <c r="H309" s="2">
        <v>1187</v>
      </c>
      <c r="I309" s="2">
        <v>1171</v>
      </c>
      <c r="J309" s="2">
        <v>884</v>
      </c>
      <c r="K309" s="2">
        <v>3138</v>
      </c>
      <c r="L309" s="2">
        <v>120</v>
      </c>
      <c r="M309" s="2">
        <v>5.8</v>
      </c>
      <c r="N309" s="2">
        <v>45</v>
      </c>
      <c r="O309" s="2">
        <v>15.5</v>
      </c>
      <c r="P309" s="2">
        <v>2265.12</v>
      </c>
    </row>
    <row r="310" spans="1:16" x14ac:dyDescent="0.35">
      <c r="A310" s="5">
        <v>44935</v>
      </c>
      <c r="B310" s="2">
        <v>360</v>
      </c>
      <c r="C310" s="2">
        <v>197.05</v>
      </c>
      <c r="D310" s="2">
        <v>157.69999999999999</v>
      </c>
      <c r="E310" s="2">
        <v>289.39</v>
      </c>
      <c r="F310" s="2">
        <v>8.7799999999999994</v>
      </c>
      <c r="G310" s="2">
        <v>164.5</v>
      </c>
      <c r="H310" s="2">
        <v>1202</v>
      </c>
      <c r="I310" s="2">
        <v>1206</v>
      </c>
      <c r="J310" s="2">
        <v>884</v>
      </c>
      <c r="K310" s="2">
        <v>3326</v>
      </c>
      <c r="L310" s="2">
        <v>113.5</v>
      </c>
      <c r="M310" s="2">
        <v>5.75</v>
      </c>
      <c r="N310" s="2">
        <v>44</v>
      </c>
      <c r="O310" s="2">
        <v>15.36</v>
      </c>
      <c r="P310" s="2">
        <v>2260.1999999999998</v>
      </c>
    </row>
    <row r="311" spans="1:16" x14ac:dyDescent="0.35">
      <c r="A311" s="5">
        <v>44936</v>
      </c>
      <c r="B311" s="2">
        <v>360</v>
      </c>
      <c r="C311" s="2">
        <v>205</v>
      </c>
      <c r="D311" s="2">
        <v>165.39</v>
      </c>
      <c r="E311" s="2">
        <v>293.77999999999997</v>
      </c>
      <c r="F311" s="2">
        <v>8.66</v>
      </c>
      <c r="G311" s="2">
        <v>174.35</v>
      </c>
      <c r="H311" s="2">
        <v>1203</v>
      </c>
      <c r="I311" s="2">
        <v>1216</v>
      </c>
      <c r="J311" s="2">
        <v>882</v>
      </c>
      <c r="K311" s="2">
        <v>3300</v>
      </c>
      <c r="L311" s="2">
        <v>120</v>
      </c>
      <c r="M311" s="2">
        <v>5.75</v>
      </c>
      <c r="N311" s="2">
        <v>42.98</v>
      </c>
      <c r="O311" s="2">
        <v>15.38</v>
      </c>
      <c r="P311" s="2">
        <v>2363.6</v>
      </c>
    </row>
    <row r="312" spans="1:16" x14ac:dyDescent="0.35">
      <c r="A312" s="5">
        <v>44939</v>
      </c>
      <c r="B312" s="2">
        <v>374</v>
      </c>
      <c r="C312" s="2">
        <v>215</v>
      </c>
      <c r="D312" s="2">
        <v>164.47</v>
      </c>
      <c r="E312" s="2">
        <v>301.37</v>
      </c>
      <c r="F312" s="2">
        <v>8.9</v>
      </c>
      <c r="G312" s="2">
        <v>179</v>
      </c>
      <c r="H312" s="2">
        <v>1340</v>
      </c>
      <c r="I312" s="2">
        <v>1280</v>
      </c>
      <c r="J312" s="2">
        <v>980</v>
      </c>
      <c r="K312" s="2">
        <v>3349</v>
      </c>
      <c r="L312" s="2">
        <v>125</v>
      </c>
      <c r="M312" s="2">
        <v>5.95</v>
      </c>
      <c r="N312" s="2">
        <v>48.22</v>
      </c>
      <c r="O312" s="2">
        <v>15.62</v>
      </c>
      <c r="P312" s="2">
        <v>2452.2399999999998</v>
      </c>
    </row>
    <row r="313" spans="1:16" x14ac:dyDescent="0.35">
      <c r="A313" s="5">
        <v>44945</v>
      </c>
      <c r="B313" s="2">
        <v>368</v>
      </c>
      <c r="C313" s="2">
        <v>218.15</v>
      </c>
      <c r="D313" s="2">
        <v>157.69999999999999</v>
      </c>
      <c r="E313" s="2">
        <v>292.39</v>
      </c>
      <c r="F313" s="2">
        <v>9.14</v>
      </c>
      <c r="G313" s="2">
        <v>170</v>
      </c>
      <c r="H313" s="2">
        <v>1370</v>
      </c>
      <c r="I313" s="2">
        <v>1251</v>
      </c>
      <c r="J313" s="2">
        <v>984</v>
      </c>
      <c r="K313" s="2">
        <v>3300</v>
      </c>
      <c r="L313" s="2">
        <v>120</v>
      </c>
      <c r="M313" s="2">
        <v>5.86</v>
      </c>
      <c r="N313" s="2">
        <v>49.95</v>
      </c>
      <c r="O313" s="2">
        <v>13.7</v>
      </c>
      <c r="P313" s="2">
        <v>2444.36</v>
      </c>
    </row>
    <row r="314" spans="1:16" x14ac:dyDescent="0.35">
      <c r="A314" s="5">
        <v>44946</v>
      </c>
      <c r="B314" s="2">
        <v>368</v>
      </c>
      <c r="C314" s="2">
        <v>217.9</v>
      </c>
      <c r="D314" s="2">
        <v>157.69999999999999</v>
      </c>
      <c r="E314" s="2">
        <v>299.32</v>
      </c>
      <c r="F314" s="2">
        <v>9.14</v>
      </c>
      <c r="G314" s="2">
        <v>170</v>
      </c>
      <c r="H314" s="2">
        <v>1360</v>
      </c>
      <c r="I314" s="2">
        <v>1251</v>
      </c>
      <c r="J314" s="2">
        <v>935</v>
      </c>
      <c r="K314" s="2">
        <v>3190</v>
      </c>
      <c r="L314" s="2">
        <v>114</v>
      </c>
      <c r="M314" s="2">
        <v>5.9</v>
      </c>
      <c r="N314" s="2">
        <v>48.9</v>
      </c>
      <c r="O314" s="2">
        <v>13</v>
      </c>
      <c r="P314" s="2">
        <v>2461.1</v>
      </c>
    </row>
    <row r="315" spans="1:16" x14ac:dyDescent="0.35">
      <c r="A315" s="5">
        <v>44952</v>
      </c>
      <c r="B315" s="2">
        <v>360</v>
      </c>
      <c r="C315" s="2">
        <v>217</v>
      </c>
      <c r="D315" s="2">
        <v>154.80000000000001</v>
      </c>
      <c r="E315" s="2">
        <v>289.44</v>
      </c>
      <c r="F315" s="2">
        <v>8.5399999999999991</v>
      </c>
      <c r="G315" s="2">
        <v>170</v>
      </c>
      <c r="H315" s="2">
        <v>1302</v>
      </c>
      <c r="I315" s="2">
        <v>1284</v>
      </c>
      <c r="J315" s="2">
        <v>950</v>
      </c>
      <c r="K315" s="2">
        <v>3001</v>
      </c>
      <c r="L315" s="2">
        <v>114.65</v>
      </c>
      <c r="M315" s="2">
        <v>6</v>
      </c>
      <c r="N315" s="2">
        <v>51</v>
      </c>
      <c r="O315" s="2">
        <v>14.75</v>
      </c>
      <c r="P315" s="2">
        <v>2452.2399999999998</v>
      </c>
    </row>
    <row r="316" spans="1:16" x14ac:dyDescent="0.35">
      <c r="A316" s="5">
        <v>44957</v>
      </c>
      <c r="B316" s="2">
        <v>360</v>
      </c>
      <c r="C316" s="2">
        <v>223.5</v>
      </c>
      <c r="D316" s="2">
        <v>154.80000000000001</v>
      </c>
      <c r="E316" s="2">
        <v>297.88</v>
      </c>
      <c r="F316" s="2">
        <v>8.7799999999999994</v>
      </c>
      <c r="G316" s="2">
        <v>178</v>
      </c>
      <c r="H316" s="2">
        <v>1425</v>
      </c>
      <c r="I316" s="2">
        <v>1273</v>
      </c>
      <c r="J316" s="2">
        <v>949</v>
      </c>
      <c r="K316" s="2">
        <v>3150</v>
      </c>
      <c r="L316" s="2">
        <v>117.9</v>
      </c>
      <c r="M316" s="2">
        <v>6.09</v>
      </c>
      <c r="N316" s="2">
        <v>52.2</v>
      </c>
      <c r="O316" s="2">
        <v>14</v>
      </c>
      <c r="P316" s="2">
        <v>2403</v>
      </c>
    </row>
    <row r="317" spans="1:16" x14ac:dyDescent="0.35">
      <c r="A317" s="5">
        <v>44958</v>
      </c>
      <c r="B317" s="2">
        <v>365</v>
      </c>
      <c r="C317" s="2">
        <v>218</v>
      </c>
      <c r="D317" s="2">
        <v>154.80000000000001</v>
      </c>
      <c r="E317" s="2">
        <v>294.33</v>
      </c>
      <c r="F317" s="2">
        <v>8.86</v>
      </c>
      <c r="G317" s="2">
        <v>172</v>
      </c>
      <c r="H317" s="2">
        <v>1370</v>
      </c>
      <c r="I317" s="2">
        <v>1261</v>
      </c>
      <c r="J317" s="2">
        <v>950</v>
      </c>
      <c r="K317" s="2">
        <v>3150</v>
      </c>
      <c r="L317" s="2">
        <v>117.8</v>
      </c>
      <c r="M317" s="2">
        <v>6.05</v>
      </c>
      <c r="N317" s="2">
        <v>52</v>
      </c>
      <c r="O317" s="2">
        <v>13.6</v>
      </c>
      <c r="P317" s="2">
        <v>2403</v>
      </c>
    </row>
    <row r="318" spans="1:16" x14ac:dyDescent="0.35">
      <c r="A318" s="5">
        <v>44959</v>
      </c>
      <c r="B318" s="2">
        <v>372.9</v>
      </c>
      <c r="C318" s="2">
        <v>218.05</v>
      </c>
      <c r="D318" s="2">
        <v>154.80000000000001</v>
      </c>
      <c r="E318" s="2">
        <v>286.39999999999998</v>
      </c>
      <c r="F318" s="2">
        <v>8.9</v>
      </c>
      <c r="G318" s="2">
        <v>179.95</v>
      </c>
      <c r="H318" s="2">
        <v>1400</v>
      </c>
      <c r="I318" s="2">
        <v>1280</v>
      </c>
      <c r="J318" s="2">
        <v>949</v>
      </c>
      <c r="K318" s="2">
        <v>3152</v>
      </c>
      <c r="L318" s="2">
        <v>117.9</v>
      </c>
      <c r="M318" s="2">
        <v>6.1</v>
      </c>
      <c r="N318" s="2">
        <v>51.5</v>
      </c>
      <c r="O318" s="2">
        <v>13.38</v>
      </c>
      <c r="P318" s="2">
        <v>2476.86</v>
      </c>
    </row>
    <row r="319" spans="1:16" x14ac:dyDescent="0.35">
      <c r="A319" s="5">
        <v>44960</v>
      </c>
      <c r="B319" s="2">
        <v>373</v>
      </c>
      <c r="C319" s="2">
        <v>221</v>
      </c>
      <c r="D319" s="2">
        <v>154.80000000000001</v>
      </c>
      <c r="E319" s="2">
        <v>294.23</v>
      </c>
      <c r="F319" s="2">
        <v>8.86</v>
      </c>
      <c r="G319" s="2">
        <v>179.95</v>
      </c>
      <c r="H319" s="2">
        <v>1376</v>
      </c>
      <c r="I319" s="2">
        <v>1275</v>
      </c>
      <c r="J319" s="2">
        <v>930</v>
      </c>
      <c r="K319" s="2">
        <v>3200</v>
      </c>
      <c r="L319" s="2">
        <v>118</v>
      </c>
      <c r="M319" s="2">
        <v>6.02</v>
      </c>
      <c r="N319" s="2">
        <v>51.5</v>
      </c>
      <c r="O319" s="2">
        <v>13.75</v>
      </c>
      <c r="P319" s="2">
        <v>2462.09</v>
      </c>
    </row>
    <row r="320" spans="1:16" x14ac:dyDescent="0.35">
      <c r="A320" s="5">
        <v>44963</v>
      </c>
      <c r="B320" s="2">
        <v>375</v>
      </c>
      <c r="C320" s="2">
        <v>222</v>
      </c>
      <c r="D320" s="2">
        <v>155.76</v>
      </c>
      <c r="E320" s="2">
        <v>289.39</v>
      </c>
      <c r="F320" s="2">
        <v>8.9600000000000009</v>
      </c>
      <c r="G320" s="2">
        <v>176</v>
      </c>
      <c r="H320" s="2">
        <v>1350</v>
      </c>
      <c r="I320" s="2">
        <v>1276</v>
      </c>
      <c r="J320" s="2">
        <v>930</v>
      </c>
      <c r="K320" s="2">
        <v>3150</v>
      </c>
      <c r="L320" s="2">
        <v>115.15</v>
      </c>
      <c r="M320" s="2">
        <v>6.04</v>
      </c>
      <c r="N320" s="2">
        <v>52.94</v>
      </c>
      <c r="O320" s="2">
        <v>13.1</v>
      </c>
      <c r="P320" s="2">
        <v>2462.09</v>
      </c>
    </row>
    <row r="321" spans="1:16" x14ac:dyDescent="0.35">
      <c r="A321" s="5">
        <v>44964</v>
      </c>
      <c r="B321" s="2">
        <v>397.45</v>
      </c>
      <c r="C321" s="2">
        <v>220.1</v>
      </c>
      <c r="D321" s="2">
        <v>155.76</v>
      </c>
      <c r="E321" s="2">
        <v>289.39</v>
      </c>
      <c r="F321" s="2">
        <v>8.94</v>
      </c>
      <c r="G321" s="2">
        <v>180</v>
      </c>
      <c r="H321" s="2">
        <v>1371</v>
      </c>
      <c r="I321" s="2">
        <v>1283</v>
      </c>
      <c r="J321" s="2">
        <v>932</v>
      </c>
      <c r="K321" s="2">
        <v>3200</v>
      </c>
      <c r="L321" s="2">
        <v>117.9</v>
      </c>
      <c r="M321" s="2">
        <v>6.08</v>
      </c>
      <c r="N321" s="2">
        <v>52.8</v>
      </c>
      <c r="O321" s="2">
        <v>13.54</v>
      </c>
      <c r="P321" s="2">
        <v>2462.09</v>
      </c>
    </row>
    <row r="322" spans="1:16" x14ac:dyDescent="0.35">
      <c r="A322" s="5">
        <v>44965</v>
      </c>
      <c r="B322" s="2">
        <v>394</v>
      </c>
      <c r="C322" s="2">
        <v>225</v>
      </c>
      <c r="D322" s="2">
        <v>163.31</v>
      </c>
      <c r="E322" s="2">
        <v>297.33</v>
      </c>
      <c r="F322" s="2">
        <v>9</v>
      </c>
      <c r="G322" s="2">
        <v>185</v>
      </c>
      <c r="H322" s="2">
        <v>1400</v>
      </c>
      <c r="I322" s="2">
        <v>1330</v>
      </c>
      <c r="J322" s="2">
        <v>950</v>
      </c>
      <c r="K322" s="2">
        <v>3333</v>
      </c>
      <c r="L322" s="2">
        <v>117.95</v>
      </c>
      <c r="M322" s="2">
        <v>6.12</v>
      </c>
      <c r="N322" s="2">
        <v>52</v>
      </c>
      <c r="O322" s="2">
        <v>13.52</v>
      </c>
      <c r="P322" s="2">
        <v>2511.33</v>
      </c>
    </row>
    <row r="323" spans="1:16" x14ac:dyDescent="0.35">
      <c r="A323" s="5">
        <v>44966</v>
      </c>
      <c r="B323" s="2">
        <v>396</v>
      </c>
      <c r="C323" s="2">
        <v>229.5</v>
      </c>
      <c r="D323" s="2">
        <v>163.02000000000001</v>
      </c>
      <c r="E323" s="2">
        <v>302.37</v>
      </c>
      <c r="F323" s="2">
        <v>8.9600000000000009</v>
      </c>
      <c r="G323" s="2">
        <v>184.95</v>
      </c>
      <c r="H323" s="2">
        <v>1405</v>
      </c>
      <c r="I323" s="2">
        <v>1329</v>
      </c>
      <c r="J323" s="2">
        <v>960</v>
      </c>
      <c r="K323" s="2">
        <v>3230</v>
      </c>
      <c r="L323" s="2">
        <v>118</v>
      </c>
      <c r="M323" s="2">
        <v>6.27</v>
      </c>
      <c r="N323" s="2">
        <v>52.99</v>
      </c>
      <c r="O323" s="2">
        <v>13.4</v>
      </c>
      <c r="P323" s="2">
        <v>2511.33</v>
      </c>
    </row>
    <row r="324" spans="1:16" x14ac:dyDescent="0.35">
      <c r="A324" s="5">
        <v>44967</v>
      </c>
      <c r="B324" s="2">
        <v>395</v>
      </c>
      <c r="C324" s="2">
        <v>225</v>
      </c>
      <c r="D324" s="2">
        <v>159.63</v>
      </c>
      <c r="E324" s="2">
        <v>294.38</v>
      </c>
      <c r="F324" s="2">
        <v>8.9600000000000009</v>
      </c>
      <c r="G324" s="2">
        <v>190.05</v>
      </c>
      <c r="H324" s="2">
        <v>1405</v>
      </c>
      <c r="I324" s="2">
        <v>1315</v>
      </c>
      <c r="J324" s="2">
        <v>965</v>
      </c>
      <c r="K324" s="2">
        <v>3423</v>
      </c>
      <c r="L324" s="2">
        <v>120.5</v>
      </c>
      <c r="M324" s="2">
        <v>6.41</v>
      </c>
      <c r="N324" s="2">
        <v>54.42</v>
      </c>
      <c r="O324" s="2">
        <v>13.59</v>
      </c>
      <c r="P324" s="2">
        <v>2531.0300000000002</v>
      </c>
    </row>
    <row r="325" spans="1:16" x14ac:dyDescent="0.35">
      <c r="A325" s="5">
        <v>44972</v>
      </c>
      <c r="B325" s="2">
        <v>382</v>
      </c>
      <c r="C325" s="2">
        <v>227.4</v>
      </c>
      <c r="D325" s="2">
        <v>157.69999999999999</v>
      </c>
      <c r="E325" s="2">
        <v>292.39</v>
      </c>
      <c r="F325" s="2">
        <v>8.92</v>
      </c>
      <c r="G325" s="2">
        <v>180</v>
      </c>
      <c r="H325" s="2">
        <v>1400</v>
      </c>
      <c r="I325" s="2">
        <v>1300</v>
      </c>
      <c r="J325" s="2">
        <v>966</v>
      </c>
      <c r="K325" s="2">
        <v>3321</v>
      </c>
      <c r="L325" s="2">
        <v>121</v>
      </c>
      <c r="M325" s="2">
        <v>6.4</v>
      </c>
      <c r="N325" s="2">
        <v>52.8</v>
      </c>
      <c r="O325" s="2">
        <v>13.3</v>
      </c>
      <c r="P325" s="2">
        <v>2560.5700000000002</v>
      </c>
    </row>
    <row r="326" spans="1:16" x14ac:dyDescent="0.35">
      <c r="A326" s="5">
        <v>44973</v>
      </c>
      <c r="B326" s="2">
        <v>385</v>
      </c>
      <c r="C326" s="2">
        <v>225</v>
      </c>
      <c r="D326" s="2">
        <v>158.66999999999999</v>
      </c>
      <c r="E326" s="2">
        <v>299.37</v>
      </c>
      <c r="F326" s="2">
        <v>8.86</v>
      </c>
      <c r="G326" s="2">
        <v>176</v>
      </c>
      <c r="H326" s="2">
        <v>1405</v>
      </c>
      <c r="I326" s="2">
        <v>1320</v>
      </c>
      <c r="J326" s="2">
        <v>975</v>
      </c>
      <c r="K326" s="2">
        <v>3500</v>
      </c>
      <c r="L326" s="2">
        <v>119</v>
      </c>
      <c r="M326" s="2">
        <v>6.57</v>
      </c>
      <c r="N326" s="2">
        <v>54.49</v>
      </c>
      <c r="O326" s="2">
        <v>13.26</v>
      </c>
      <c r="P326" s="2">
        <v>2561.56</v>
      </c>
    </row>
    <row r="327" spans="1:16" x14ac:dyDescent="0.35">
      <c r="A327" s="5">
        <v>44981</v>
      </c>
      <c r="B327" s="2">
        <v>409</v>
      </c>
      <c r="C327" s="2">
        <v>240</v>
      </c>
      <c r="D327" s="2">
        <v>159.54</v>
      </c>
      <c r="E327" s="2">
        <v>317.14</v>
      </c>
      <c r="F327" s="2">
        <v>8.66</v>
      </c>
      <c r="G327" s="2">
        <v>178.95</v>
      </c>
      <c r="H327" s="2">
        <v>1420</v>
      </c>
      <c r="I327" s="2">
        <v>1325</v>
      </c>
      <c r="J327" s="2">
        <v>999</v>
      </c>
      <c r="K327" s="2">
        <v>3800</v>
      </c>
      <c r="L327" s="2">
        <v>135</v>
      </c>
      <c r="M327" s="2">
        <v>6.18</v>
      </c>
      <c r="N327" s="2">
        <v>52.78</v>
      </c>
      <c r="O327" s="2">
        <v>12.86</v>
      </c>
      <c r="P327" s="2">
        <v>2703.37</v>
      </c>
    </row>
    <row r="328" spans="1:16" x14ac:dyDescent="0.35">
      <c r="A328" s="5">
        <v>44987</v>
      </c>
      <c r="B328" s="2">
        <v>406.1</v>
      </c>
      <c r="C328" s="2">
        <v>238.05</v>
      </c>
      <c r="D328" s="2">
        <v>162.68</v>
      </c>
      <c r="E328" s="2">
        <v>316.33999999999997</v>
      </c>
      <c r="F328" s="2">
        <v>8.8800000000000008</v>
      </c>
      <c r="G328" s="2">
        <v>181.95</v>
      </c>
      <c r="H328" s="2">
        <v>1389</v>
      </c>
      <c r="I328" s="2">
        <v>1300</v>
      </c>
      <c r="J328" s="2">
        <v>998</v>
      </c>
      <c r="K328" s="2">
        <v>3800</v>
      </c>
      <c r="L328" s="2">
        <v>132.30000000000001</v>
      </c>
      <c r="M328" s="2">
        <v>6.37</v>
      </c>
      <c r="N328" s="2">
        <v>54.7</v>
      </c>
      <c r="O328" s="2">
        <v>12.9</v>
      </c>
      <c r="P328" s="2">
        <v>2540.87</v>
      </c>
    </row>
    <row r="329" spans="1:16" x14ac:dyDescent="0.35">
      <c r="A329" s="5">
        <v>45007</v>
      </c>
      <c r="B329" s="2">
        <v>400</v>
      </c>
      <c r="C329" s="2">
        <v>235</v>
      </c>
      <c r="D329" s="2">
        <v>159.63</v>
      </c>
      <c r="E329" s="2">
        <v>310.35000000000002</v>
      </c>
      <c r="F329" s="2">
        <v>8.9</v>
      </c>
      <c r="G329" s="2">
        <v>174.9</v>
      </c>
      <c r="H329" s="2">
        <v>1419</v>
      </c>
      <c r="I329" s="2">
        <v>1205</v>
      </c>
      <c r="J329" s="2">
        <v>950</v>
      </c>
      <c r="K329" s="2">
        <v>3749</v>
      </c>
      <c r="L329" s="2">
        <v>121.95</v>
      </c>
      <c r="M329" s="2">
        <v>5.66</v>
      </c>
      <c r="N329" s="2">
        <v>52.48</v>
      </c>
      <c r="O329" s="2">
        <v>10.9</v>
      </c>
      <c r="P329" s="2">
        <v>2643.3</v>
      </c>
    </row>
    <row r="330" spans="1:16" x14ac:dyDescent="0.35">
      <c r="A330" s="5">
        <v>45014</v>
      </c>
      <c r="B330" s="2">
        <v>400</v>
      </c>
      <c r="C330" s="2">
        <v>237</v>
      </c>
      <c r="D330" s="2">
        <v>160.41</v>
      </c>
      <c r="E330" s="2">
        <v>311.35000000000002</v>
      </c>
      <c r="F330" s="2">
        <v>8.84</v>
      </c>
      <c r="G330" s="2">
        <v>175</v>
      </c>
      <c r="H330" s="2">
        <v>1380</v>
      </c>
      <c r="I330" s="2">
        <v>1200</v>
      </c>
      <c r="J330" s="2">
        <v>970</v>
      </c>
      <c r="K330" s="2">
        <v>3800</v>
      </c>
      <c r="L330" s="2">
        <v>123.5</v>
      </c>
      <c r="M330" s="2">
        <v>5.66</v>
      </c>
      <c r="N330" s="2">
        <v>57.48</v>
      </c>
      <c r="O330" s="2">
        <v>10.3</v>
      </c>
      <c r="P330" s="2">
        <v>2560.5700000000002</v>
      </c>
    </row>
    <row r="331" spans="1:16" x14ac:dyDescent="0.35">
      <c r="A331" s="5">
        <v>45015</v>
      </c>
      <c r="B331" s="2">
        <v>403</v>
      </c>
      <c r="C331" s="2">
        <v>230.1</v>
      </c>
      <c r="D331" s="2">
        <v>157.69999999999999</v>
      </c>
      <c r="E331" s="2">
        <v>309.35000000000002</v>
      </c>
      <c r="F331" s="2">
        <v>8.84</v>
      </c>
      <c r="G331" s="2">
        <v>175</v>
      </c>
      <c r="H331" s="2">
        <v>1380</v>
      </c>
      <c r="I331" s="2">
        <v>1195</v>
      </c>
      <c r="J331" s="2">
        <v>950</v>
      </c>
      <c r="K331" s="2">
        <v>3794</v>
      </c>
      <c r="L331" s="2">
        <v>119</v>
      </c>
      <c r="M331" s="2">
        <v>5.88</v>
      </c>
      <c r="N331" s="2">
        <v>60.92</v>
      </c>
      <c r="O331" s="2">
        <v>10.3</v>
      </c>
      <c r="P331" s="2">
        <v>2590.12</v>
      </c>
    </row>
    <row r="332" spans="1:16" x14ac:dyDescent="0.35">
      <c r="A332" s="5">
        <v>45016</v>
      </c>
      <c r="B332" s="2">
        <v>396.15</v>
      </c>
      <c r="C332" s="2">
        <v>227</v>
      </c>
      <c r="D332" s="2">
        <v>157.22</v>
      </c>
      <c r="E332" s="2">
        <v>312.35000000000002</v>
      </c>
      <c r="F332" s="2">
        <v>8.84</v>
      </c>
      <c r="G332" s="2">
        <v>172</v>
      </c>
      <c r="H332" s="2">
        <v>1382</v>
      </c>
      <c r="I332" s="2">
        <v>1190</v>
      </c>
      <c r="J332" s="2">
        <v>960</v>
      </c>
      <c r="K332" s="2">
        <v>3750</v>
      </c>
      <c r="L332" s="2">
        <v>123.5</v>
      </c>
      <c r="M332" s="2">
        <v>5.8</v>
      </c>
      <c r="N332" s="2">
        <v>62.12</v>
      </c>
      <c r="O332" s="2">
        <v>10</v>
      </c>
      <c r="P332" s="2">
        <v>2481.7800000000002</v>
      </c>
    </row>
    <row r="333" spans="1:16" x14ac:dyDescent="0.35">
      <c r="A333" s="5">
        <v>45022</v>
      </c>
      <c r="B333" s="2">
        <v>400</v>
      </c>
      <c r="C333" s="2">
        <v>230</v>
      </c>
      <c r="D333" s="2">
        <v>159.59</v>
      </c>
      <c r="E333" s="2">
        <v>309.35000000000002</v>
      </c>
      <c r="F333" s="2">
        <v>8.85</v>
      </c>
      <c r="G333" s="2">
        <v>177.55</v>
      </c>
      <c r="H333" s="2">
        <v>1390</v>
      </c>
      <c r="I333" s="2">
        <v>1190</v>
      </c>
      <c r="J333" s="2">
        <v>960</v>
      </c>
      <c r="K333" s="2">
        <v>3750</v>
      </c>
      <c r="L333" s="2">
        <v>122.8</v>
      </c>
      <c r="M333" s="2">
        <v>5.75</v>
      </c>
      <c r="N333" s="2">
        <v>61.37</v>
      </c>
      <c r="O333" s="2">
        <v>10.38</v>
      </c>
      <c r="P333" s="2">
        <v>2557.62</v>
      </c>
    </row>
    <row r="334" spans="1:16" x14ac:dyDescent="0.35">
      <c r="A334" s="5">
        <v>45029</v>
      </c>
      <c r="B334" s="2">
        <v>400</v>
      </c>
      <c r="C334" s="2">
        <v>230.05</v>
      </c>
      <c r="D334" s="2">
        <v>159.15</v>
      </c>
      <c r="E334" s="2">
        <v>307.36</v>
      </c>
      <c r="F334" s="2">
        <v>8.1999999999999993</v>
      </c>
      <c r="G334" s="2">
        <v>180.5</v>
      </c>
      <c r="H334" s="2">
        <v>1405</v>
      </c>
      <c r="I334" s="2">
        <v>1235</v>
      </c>
      <c r="J334" s="2">
        <v>970.1</v>
      </c>
      <c r="K334" s="2">
        <v>3750</v>
      </c>
      <c r="L334" s="2">
        <v>123</v>
      </c>
      <c r="M334" s="2">
        <v>5.73</v>
      </c>
      <c r="N334" s="2">
        <v>60</v>
      </c>
      <c r="O334" s="2">
        <v>10</v>
      </c>
      <c r="P334" s="2">
        <v>2478.83</v>
      </c>
    </row>
    <row r="335" spans="1:16" x14ac:dyDescent="0.35">
      <c r="A335" s="5">
        <v>45037</v>
      </c>
      <c r="B335" s="2">
        <v>402</v>
      </c>
      <c r="C335" s="2">
        <v>231</v>
      </c>
      <c r="D335" s="2">
        <v>157.69999999999999</v>
      </c>
      <c r="E335" s="2">
        <v>311.35000000000002</v>
      </c>
      <c r="F335" s="2">
        <v>7.7</v>
      </c>
      <c r="G335" s="2">
        <v>182</v>
      </c>
      <c r="H335" s="2">
        <v>1470</v>
      </c>
      <c r="I335" s="2">
        <v>1230</v>
      </c>
      <c r="J335" s="2">
        <v>963</v>
      </c>
      <c r="K335" s="2">
        <v>3800</v>
      </c>
      <c r="L335" s="2">
        <v>132</v>
      </c>
      <c r="M335" s="2">
        <v>5.75</v>
      </c>
      <c r="N335" s="2">
        <v>59.5</v>
      </c>
      <c r="O335" s="2">
        <v>10.39</v>
      </c>
      <c r="P335" s="2">
        <v>2414.8200000000002</v>
      </c>
    </row>
    <row r="336" spans="1:16" x14ac:dyDescent="0.35">
      <c r="A336" s="5">
        <v>45041</v>
      </c>
      <c r="B336" s="2">
        <v>405</v>
      </c>
      <c r="C336" s="2">
        <v>230</v>
      </c>
      <c r="D336" s="2">
        <v>157.69999999999999</v>
      </c>
      <c r="E336" s="2">
        <v>311.35000000000002</v>
      </c>
      <c r="F336" s="2">
        <v>7.6</v>
      </c>
      <c r="G336" s="2">
        <v>183</v>
      </c>
      <c r="H336" s="2">
        <v>1471</v>
      </c>
      <c r="I336" s="2">
        <v>1230</v>
      </c>
      <c r="J336" s="2">
        <v>960</v>
      </c>
      <c r="K336" s="2">
        <v>3700</v>
      </c>
      <c r="L336" s="2">
        <v>129.5</v>
      </c>
      <c r="M336" s="2">
        <v>5.82</v>
      </c>
      <c r="N336" s="2">
        <v>59.97</v>
      </c>
      <c r="O336" s="2">
        <v>10.71</v>
      </c>
      <c r="P336" s="2">
        <v>2270.04</v>
      </c>
    </row>
    <row r="337" spans="1:16" x14ac:dyDescent="0.35">
      <c r="A337" s="5">
        <v>45050</v>
      </c>
      <c r="B337" s="2">
        <v>398</v>
      </c>
      <c r="C337" s="2">
        <v>227.1</v>
      </c>
      <c r="D337" s="2">
        <v>156.72999999999999</v>
      </c>
      <c r="E337" s="2">
        <v>313.83999999999997</v>
      </c>
      <c r="F337" s="2">
        <v>7.35</v>
      </c>
      <c r="G337" s="2">
        <v>177</v>
      </c>
      <c r="H337" s="2">
        <v>1450</v>
      </c>
      <c r="I337" s="2">
        <v>1239</v>
      </c>
      <c r="J337" s="2">
        <v>950</v>
      </c>
      <c r="K337" s="2">
        <v>3650</v>
      </c>
      <c r="L337" s="2">
        <v>127.2</v>
      </c>
      <c r="M337" s="2">
        <v>6.99</v>
      </c>
      <c r="N337" s="2">
        <v>63.87</v>
      </c>
      <c r="O337" s="2">
        <v>12.1</v>
      </c>
      <c r="P337" s="2">
        <v>2298.6</v>
      </c>
    </row>
    <row r="338" spans="1:16" x14ac:dyDescent="0.35">
      <c r="A338" s="5">
        <v>45056</v>
      </c>
      <c r="B338" s="2">
        <v>397.5</v>
      </c>
      <c r="C338" s="2">
        <v>228.5</v>
      </c>
      <c r="D338" s="2">
        <v>155.86000000000001</v>
      </c>
      <c r="E338" s="2">
        <v>313.89</v>
      </c>
      <c r="F338" s="2">
        <v>7.3</v>
      </c>
      <c r="G338" s="2">
        <v>182.95</v>
      </c>
      <c r="H338" s="2">
        <v>1510</v>
      </c>
      <c r="I338" s="2">
        <v>1315</v>
      </c>
      <c r="J338" s="2">
        <v>965</v>
      </c>
      <c r="K338" s="2">
        <v>3650</v>
      </c>
      <c r="L338" s="2">
        <v>127</v>
      </c>
      <c r="M338" s="2">
        <v>7.58</v>
      </c>
      <c r="N338" s="2">
        <v>64.34</v>
      </c>
      <c r="O338" s="2">
        <v>13.42</v>
      </c>
      <c r="P338" s="2">
        <v>2333.0700000000002</v>
      </c>
    </row>
    <row r="339" spans="1:16" x14ac:dyDescent="0.35">
      <c r="A339" s="5">
        <v>45057</v>
      </c>
      <c r="B339" s="2">
        <v>398</v>
      </c>
      <c r="C339" s="2">
        <v>228</v>
      </c>
      <c r="D339" s="2">
        <v>157.69999999999999</v>
      </c>
      <c r="E339" s="2">
        <v>319.33</v>
      </c>
      <c r="F339" s="2">
        <v>7.25</v>
      </c>
      <c r="G339" s="2">
        <v>183</v>
      </c>
      <c r="H339" s="2">
        <v>1549</v>
      </c>
      <c r="I339" s="2">
        <v>1350</v>
      </c>
      <c r="J339" s="2">
        <v>984</v>
      </c>
      <c r="K339" s="2">
        <v>3850</v>
      </c>
      <c r="L339" s="2">
        <v>127.9</v>
      </c>
      <c r="M339" s="2">
        <v>7.8</v>
      </c>
      <c r="N339" s="2">
        <v>64.489999999999995</v>
      </c>
      <c r="O339" s="2">
        <v>12.62</v>
      </c>
      <c r="P339" s="2">
        <v>2314.36</v>
      </c>
    </row>
    <row r="340" spans="1:16" x14ac:dyDescent="0.35">
      <c r="A340" s="5">
        <v>45058</v>
      </c>
      <c r="B340" s="2">
        <v>406</v>
      </c>
      <c r="C340" s="2">
        <v>230</v>
      </c>
      <c r="D340" s="2">
        <v>159.54</v>
      </c>
      <c r="E340" s="2">
        <v>329.31</v>
      </c>
      <c r="F340" s="2">
        <v>7.35</v>
      </c>
      <c r="G340" s="2">
        <v>185.05</v>
      </c>
      <c r="H340" s="2">
        <v>1577</v>
      </c>
      <c r="I340" s="2">
        <v>1360</v>
      </c>
      <c r="J340" s="2">
        <v>999</v>
      </c>
      <c r="K340" s="2">
        <v>3700</v>
      </c>
      <c r="L340" s="2">
        <v>127.1</v>
      </c>
      <c r="M340" s="2">
        <v>7.79</v>
      </c>
      <c r="N340" s="2">
        <v>64.900000000000006</v>
      </c>
      <c r="O340" s="2">
        <v>12.78</v>
      </c>
      <c r="P340" s="2">
        <v>2314.36</v>
      </c>
    </row>
    <row r="341" spans="1:16" x14ac:dyDescent="0.35">
      <c r="A341" s="5">
        <v>45061</v>
      </c>
      <c r="B341" s="2">
        <v>405</v>
      </c>
      <c r="C341" s="2">
        <v>231</v>
      </c>
      <c r="D341" s="2">
        <v>161.57</v>
      </c>
      <c r="E341" s="2">
        <v>319.33</v>
      </c>
      <c r="F341" s="2">
        <v>7.7</v>
      </c>
      <c r="G341" s="2">
        <v>187.9</v>
      </c>
      <c r="H341" s="2">
        <v>1585</v>
      </c>
      <c r="I341" s="2">
        <v>1372</v>
      </c>
      <c r="J341" s="2">
        <v>967</v>
      </c>
      <c r="K341" s="2">
        <v>3610</v>
      </c>
      <c r="L341" s="2">
        <v>127</v>
      </c>
      <c r="M341" s="2">
        <v>7.9</v>
      </c>
      <c r="N341" s="2">
        <v>66</v>
      </c>
      <c r="O341" s="2">
        <v>13.22</v>
      </c>
      <c r="P341" s="2">
        <v>2284.8200000000002</v>
      </c>
    </row>
    <row r="342" spans="1:16" x14ac:dyDescent="0.35">
      <c r="A342" s="5">
        <v>45062</v>
      </c>
      <c r="B342" s="2">
        <v>412</v>
      </c>
      <c r="C342" s="2">
        <v>232.95</v>
      </c>
      <c r="D342" s="2">
        <v>161.57</v>
      </c>
      <c r="E342" s="2">
        <v>317.43</v>
      </c>
      <c r="F342" s="2">
        <v>7.8</v>
      </c>
      <c r="G342" s="2">
        <v>194.2</v>
      </c>
      <c r="H342" s="2">
        <v>1560</v>
      </c>
      <c r="I342" s="2">
        <v>1360</v>
      </c>
      <c r="J342" s="2">
        <v>969</v>
      </c>
      <c r="K342" s="2">
        <v>3650</v>
      </c>
      <c r="L342" s="2">
        <v>130</v>
      </c>
      <c r="M342" s="2">
        <v>7.95</v>
      </c>
      <c r="N342" s="2">
        <v>67</v>
      </c>
      <c r="O342" s="2">
        <v>13.3</v>
      </c>
      <c r="P342" s="2">
        <v>2284.8200000000002</v>
      </c>
    </row>
    <row r="343" spans="1:16" x14ac:dyDescent="0.35">
      <c r="A343" s="5">
        <v>45063</v>
      </c>
      <c r="B343" s="2">
        <v>408</v>
      </c>
      <c r="C343" s="2">
        <v>230.1</v>
      </c>
      <c r="D343" s="2">
        <v>158.66999999999999</v>
      </c>
      <c r="E343" s="2">
        <v>319.43</v>
      </c>
      <c r="F343" s="2">
        <v>7.6</v>
      </c>
      <c r="G343" s="2">
        <v>191.1</v>
      </c>
      <c r="H343" s="2">
        <v>1560</v>
      </c>
      <c r="I343" s="2">
        <v>1366</v>
      </c>
      <c r="J343" s="2">
        <v>980</v>
      </c>
      <c r="K343" s="2">
        <v>3780</v>
      </c>
      <c r="L343" s="2">
        <v>127.25</v>
      </c>
      <c r="M343" s="2">
        <v>7.56</v>
      </c>
      <c r="N343" s="2">
        <v>65.7</v>
      </c>
      <c r="O343" s="2">
        <v>13.05</v>
      </c>
      <c r="P343" s="2">
        <v>2274.9699999999998</v>
      </c>
    </row>
    <row r="344" spans="1:16" x14ac:dyDescent="0.35">
      <c r="A344" s="5">
        <v>45070</v>
      </c>
      <c r="B344" s="2">
        <v>423.5</v>
      </c>
      <c r="C344" s="2">
        <v>233</v>
      </c>
      <c r="D344" s="2">
        <v>160.6</v>
      </c>
      <c r="E344" s="2">
        <v>348.67</v>
      </c>
      <c r="F344" s="2">
        <v>7.55</v>
      </c>
      <c r="G344" s="2">
        <v>190</v>
      </c>
      <c r="H344" s="2">
        <v>1540</v>
      </c>
      <c r="I344" s="2">
        <v>1376</v>
      </c>
      <c r="J344" s="2">
        <v>1000</v>
      </c>
      <c r="K344" s="2">
        <v>3830</v>
      </c>
      <c r="L344" s="2">
        <v>130</v>
      </c>
      <c r="M344" s="2">
        <v>7.2</v>
      </c>
      <c r="N344" s="2">
        <v>64.5</v>
      </c>
      <c r="O344" s="2">
        <v>12.98</v>
      </c>
      <c r="P344" s="2">
        <v>2259.21</v>
      </c>
    </row>
    <row r="345" spans="1:16" x14ac:dyDescent="0.35">
      <c r="A345" s="5">
        <v>45072</v>
      </c>
      <c r="B345" s="2">
        <v>426</v>
      </c>
      <c r="C345" s="2">
        <v>234</v>
      </c>
      <c r="D345" s="2">
        <v>159.63</v>
      </c>
      <c r="E345" s="2">
        <v>354.26</v>
      </c>
      <c r="F345" s="2">
        <v>7.5</v>
      </c>
      <c r="G345" s="2">
        <v>191.95</v>
      </c>
      <c r="H345" s="2">
        <v>1560</v>
      </c>
      <c r="I345" s="2">
        <v>1380</v>
      </c>
      <c r="J345" s="2">
        <v>989</v>
      </c>
      <c r="K345" s="2">
        <v>3850</v>
      </c>
      <c r="L345" s="2">
        <v>130</v>
      </c>
      <c r="M345" s="2">
        <v>7.32</v>
      </c>
      <c r="N345" s="2">
        <v>65.5</v>
      </c>
      <c r="O345" s="2">
        <v>13.1</v>
      </c>
      <c r="P345" s="2">
        <v>2048.46</v>
      </c>
    </row>
    <row r="346" spans="1:16" x14ac:dyDescent="0.35">
      <c r="A346" s="5">
        <v>45077</v>
      </c>
      <c r="B346" s="2">
        <v>427.5</v>
      </c>
      <c r="C346" s="2">
        <v>233.55</v>
      </c>
      <c r="D346" s="2">
        <v>164.47</v>
      </c>
      <c r="E346" s="2">
        <v>359.25</v>
      </c>
      <c r="F346" s="2">
        <v>7.75</v>
      </c>
      <c r="G346" s="2">
        <v>182.15</v>
      </c>
      <c r="H346" s="2">
        <v>1624</v>
      </c>
      <c r="I346" s="2">
        <v>1423</v>
      </c>
      <c r="J346" s="2">
        <v>999</v>
      </c>
      <c r="K346" s="2">
        <v>3998</v>
      </c>
      <c r="L346" s="2">
        <v>130</v>
      </c>
      <c r="M346" s="2">
        <v>7.71</v>
      </c>
      <c r="N346" s="2">
        <v>69.8</v>
      </c>
      <c r="O346" s="2">
        <v>14.9</v>
      </c>
      <c r="P346" s="2">
        <v>2067.17</v>
      </c>
    </row>
    <row r="347" spans="1:16" x14ac:dyDescent="0.35">
      <c r="A347" s="5">
        <v>45079</v>
      </c>
      <c r="B347" s="2">
        <v>435</v>
      </c>
      <c r="C347" s="2">
        <v>235</v>
      </c>
      <c r="D347" s="2">
        <v>162.54</v>
      </c>
      <c r="E347" s="2">
        <v>355.26</v>
      </c>
      <c r="F347" s="2">
        <v>7.85</v>
      </c>
      <c r="G347" s="2">
        <v>188</v>
      </c>
      <c r="H347" s="2">
        <v>1680</v>
      </c>
      <c r="I347" s="2">
        <v>1489</v>
      </c>
      <c r="J347" s="2">
        <v>990</v>
      </c>
      <c r="K347" s="2">
        <v>3996</v>
      </c>
      <c r="L347" s="2">
        <v>132.5</v>
      </c>
      <c r="M347" s="2">
        <v>8.3000000000000007</v>
      </c>
      <c r="N347" s="2">
        <v>69.97</v>
      </c>
      <c r="O347" s="2">
        <v>14.48</v>
      </c>
      <c r="P347" s="2">
        <v>2068.15</v>
      </c>
    </row>
    <row r="348" spans="1:16" x14ac:dyDescent="0.35">
      <c r="A348" s="5">
        <v>45082</v>
      </c>
      <c r="B348" s="2">
        <v>427.75</v>
      </c>
      <c r="C348" s="2">
        <v>235</v>
      </c>
      <c r="D348" s="2">
        <v>161.09</v>
      </c>
      <c r="E348" s="2">
        <v>351.26</v>
      </c>
      <c r="F348" s="2">
        <v>7.9</v>
      </c>
      <c r="G348" s="2">
        <v>189</v>
      </c>
      <c r="H348" s="2">
        <v>1605</v>
      </c>
      <c r="I348" s="2">
        <v>1490</v>
      </c>
      <c r="J348" s="2">
        <v>990</v>
      </c>
      <c r="K348" s="2">
        <v>3996</v>
      </c>
      <c r="L348" s="2">
        <v>132.4</v>
      </c>
      <c r="M348" s="2">
        <v>8.6999999999999993</v>
      </c>
      <c r="N348" s="2">
        <v>72.2</v>
      </c>
      <c r="O348" s="2">
        <v>14.8</v>
      </c>
      <c r="P348" s="2">
        <v>2048.46</v>
      </c>
    </row>
    <row r="349" spans="1:16" x14ac:dyDescent="0.35">
      <c r="A349" s="5">
        <v>45084</v>
      </c>
      <c r="B349" s="2">
        <v>425.3</v>
      </c>
      <c r="C349" s="2">
        <v>237.95</v>
      </c>
      <c r="D349" s="2">
        <v>159.63</v>
      </c>
      <c r="E349" s="2">
        <v>354.26</v>
      </c>
      <c r="F349" s="2">
        <v>7.8</v>
      </c>
      <c r="G349" s="2">
        <v>188.5</v>
      </c>
      <c r="H349" s="2">
        <v>1664</v>
      </c>
      <c r="I349" s="2">
        <v>1451</v>
      </c>
      <c r="J349" s="2">
        <v>970.1</v>
      </c>
      <c r="K349" s="2">
        <v>3990</v>
      </c>
      <c r="L349" s="2">
        <v>129.6</v>
      </c>
      <c r="M349" s="2">
        <v>8.74</v>
      </c>
      <c r="N349" s="2">
        <v>69.5</v>
      </c>
      <c r="O349" s="2">
        <v>14.7</v>
      </c>
      <c r="P349" s="2">
        <v>2048.46</v>
      </c>
    </row>
    <row r="350" spans="1:16" x14ac:dyDescent="0.35">
      <c r="A350" s="5">
        <v>45089</v>
      </c>
      <c r="B350" s="2">
        <v>425.2</v>
      </c>
      <c r="C350" s="2">
        <v>239.5</v>
      </c>
      <c r="D350" s="2">
        <v>164.33</v>
      </c>
      <c r="E350" s="2">
        <v>359.2</v>
      </c>
      <c r="F350" s="2">
        <v>7.95</v>
      </c>
      <c r="G350" s="2">
        <v>187.5</v>
      </c>
      <c r="H350" s="2">
        <v>1660</v>
      </c>
      <c r="I350" s="2">
        <v>1460</v>
      </c>
      <c r="J350" s="2">
        <v>995</v>
      </c>
      <c r="K350" s="2">
        <v>3900</v>
      </c>
      <c r="L350" s="2">
        <v>129.80000000000001</v>
      </c>
      <c r="M350" s="2">
        <v>9.23</v>
      </c>
      <c r="N350" s="2">
        <v>70</v>
      </c>
      <c r="O350" s="2">
        <v>13.9</v>
      </c>
      <c r="P350" s="2">
        <v>1926.34</v>
      </c>
    </row>
    <row r="351" spans="1:16" x14ac:dyDescent="0.35">
      <c r="A351" s="5">
        <v>45091</v>
      </c>
      <c r="B351" s="2">
        <v>434.95</v>
      </c>
      <c r="C351" s="2">
        <v>244</v>
      </c>
      <c r="D351" s="2">
        <v>164.47</v>
      </c>
      <c r="E351" s="2">
        <v>359.25</v>
      </c>
      <c r="F351" s="2">
        <v>8</v>
      </c>
      <c r="G351" s="2">
        <v>187.5</v>
      </c>
      <c r="H351" s="2">
        <v>1695</v>
      </c>
      <c r="I351" s="2">
        <v>1480</v>
      </c>
      <c r="J351" s="2">
        <v>985</v>
      </c>
      <c r="K351" s="2">
        <v>3970</v>
      </c>
      <c r="L351" s="2">
        <v>129.9</v>
      </c>
      <c r="M351" s="2">
        <v>10.36</v>
      </c>
      <c r="N351" s="2">
        <v>73.900000000000006</v>
      </c>
      <c r="O351" s="2">
        <v>15.46</v>
      </c>
      <c r="P351" s="2">
        <v>1860.35</v>
      </c>
    </row>
    <row r="352" spans="1:16" x14ac:dyDescent="0.35">
      <c r="A352" s="5">
        <v>45097</v>
      </c>
      <c r="B352" s="2">
        <v>449.9</v>
      </c>
      <c r="C352" s="2">
        <v>252</v>
      </c>
      <c r="D352" s="2">
        <v>174.15</v>
      </c>
      <c r="E352" s="2">
        <v>376.21</v>
      </c>
      <c r="F352" s="2">
        <v>8.75</v>
      </c>
      <c r="G352" s="2">
        <v>192</v>
      </c>
      <c r="H352" s="2">
        <v>1750</v>
      </c>
      <c r="I352" s="2">
        <v>1585</v>
      </c>
      <c r="J352" s="2">
        <v>1050</v>
      </c>
      <c r="K352" s="2">
        <v>4170</v>
      </c>
      <c r="L352" s="2">
        <v>126</v>
      </c>
      <c r="M352" s="2">
        <v>10.3</v>
      </c>
      <c r="N352" s="2">
        <v>79.709999999999994</v>
      </c>
      <c r="O352" s="2">
        <v>15.74</v>
      </c>
      <c r="P352" s="2">
        <v>1998.23</v>
      </c>
    </row>
    <row r="353" spans="1:16" x14ac:dyDescent="0.35">
      <c r="A353" s="5">
        <v>45099</v>
      </c>
      <c r="B353" s="2">
        <v>439</v>
      </c>
      <c r="C353" s="2">
        <v>244</v>
      </c>
      <c r="D353" s="2">
        <v>177.05</v>
      </c>
      <c r="E353" s="2">
        <v>361.24</v>
      </c>
      <c r="F353" s="2">
        <v>8.6999999999999993</v>
      </c>
      <c r="G353" s="2">
        <v>193.5</v>
      </c>
      <c r="H353" s="2">
        <v>1650</v>
      </c>
      <c r="I353" s="2">
        <v>1510</v>
      </c>
      <c r="J353" s="2">
        <v>1050</v>
      </c>
      <c r="K353" s="2">
        <v>4200</v>
      </c>
      <c r="L353" s="2">
        <v>126</v>
      </c>
      <c r="M353" s="2">
        <v>10.1</v>
      </c>
      <c r="N353" s="2">
        <v>79.27</v>
      </c>
      <c r="O353" s="2">
        <v>16.100000000000001</v>
      </c>
      <c r="P353" s="2">
        <v>1925.35</v>
      </c>
    </row>
    <row r="354" spans="1:16" x14ac:dyDescent="0.35">
      <c r="A354" s="5">
        <v>45100</v>
      </c>
      <c r="B354" s="2">
        <v>445</v>
      </c>
      <c r="C354" s="2">
        <v>245.05</v>
      </c>
      <c r="D354" s="2">
        <v>177.05</v>
      </c>
      <c r="E354" s="2">
        <v>362.24</v>
      </c>
      <c r="F354" s="2">
        <v>8.75</v>
      </c>
      <c r="G354" s="2">
        <v>195</v>
      </c>
      <c r="H354" s="2">
        <v>1740</v>
      </c>
      <c r="I354" s="2">
        <v>1545</v>
      </c>
      <c r="J354" s="2">
        <v>990</v>
      </c>
      <c r="K354" s="2">
        <v>4069</v>
      </c>
      <c r="L354" s="2">
        <v>125</v>
      </c>
      <c r="M354" s="2">
        <v>9.99</v>
      </c>
      <c r="N354" s="2">
        <v>80.3</v>
      </c>
      <c r="O354" s="2">
        <v>16.399999999999999</v>
      </c>
      <c r="P354" s="2">
        <v>1881.03</v>
      </c>
    </row>
    <row r="355" spans="1:16" x14ac:dyDescent="0.35">
      <c r="A355" s="5">
        <v>45104</v>
      </c>
      <c r="B355" s="2">
        <v>443</v>
      </c>
      <c r="C355" s="2">
        <v>260</v>
      </c>
      <c r="D355" s="2">
        <v>169.31</v>
      </c>
      <c r="E355" s="2">
        <v>367.98</v>
      </c>
      <c r="F355" s="2">
        <v>8.65</v>
      </c>
      <c r="G355" s="2">
        <v>193.55</v>
      </c>
      <c r="H355" s="2">
        <v>1740</v>
      </c>
      <c r="I355" s="2">
        <v>1528</v>
      </c>
      <c r="J355" s="2">
        <v>992.5</v>
      </c>
      <c r="K355" s="2">
        <v>4249</v>
      </c>
      <c r="L355" s="2">
        <v>124</v>
      </c>
      <c r="M355" s="2">
        <v>9.9</v>
      </c>
      <c r="N355" s="2">
        <v>80.8</v>
      </c>
      <c r="O355" s="2">
        <v>16.399999999999999</v>
      </c>
      <c r="P355" s="2">
        <v>1938.16</v>
      </c>
    </row>
    <row r="356" spans="1:16" x14ac:dyDescent="0.35">
      <c r="A356" s="5">
        <v>45105</v>
      </c>
      <c r="B356" s="2">
        <v>444</v>
      </c>
      <c r="C356" s="2">
        <v>264</v>
      </c>
      <c r="D356" s="2">
        <v>171.24</v>
      </c>
      <c r="E356" s="2">
        <v>367.53</v>
      </c>
      <c r="F356" s="2">
        <v>8.8000000000000007</v>
      </c>
      <c r="G356" s="2">
        <v>195</v>
      </c>
      <c r="H356" s="2">
        <v>1780</v>
      </c>
      <c r="I356" s="2">
        <v>1530</v>
      </c>
      <c r="J356" s="2">
        <v>1016</v>
      </c>
      <c r="K356" s="2">
        <v>4100</v>
      </c>
      <c r="L356" s="2">
        <v>123</v>
      </c>
      <c r="M356" s="2">
        <v>9.8000000000000007</v>
      </c>
      <c r="N356" s="2">
        <v>81.2</v>
      </c>
      <c r="O356" s="2">
        <v>17.3</v>
      </c>
      <c r="P356" s="2">
        <v>1930.28</v>
      </c>
    </row>
    <row r="357" spans="1:16" x14ac:dyDescent="0.35">
      <c r="A357" s="5">
        <v>45113</v>
      </c>
      <c r="B357" s="2">
        <v>437.5</v>
      </c>
      <c r="C357" s="2">
        <v>262.05</v>
      </c>
      <c r="D357" s="2">
        <v>174.15</v>
      </c>
      <c r="E357" s="2">
        <v>358.25</v>
      </c>
      <c r="F357" s="2">
        <v>8.85</v>
      </c>
      <c r="G357" s="2">
        <v>195</v>
      </c>
      <c r="H357" s="2">
        <v>1785</v>
      </c>
      <c r="I357" s="2">
        <v>1491</v>
      </c>
      <c r="J357" s="2">
        <v>1100</v>
      </c>
      <c r="K357" s="2">
        <v>4100</v>
      </c>
      <c r="L357" s="2">
        <v>124.95</v>
      </c>
      <c r="M357" s="2">
        <v>10.78</v>
      </c>
      <c r="N357" s="2">
        <v>88</v>
      </c>
      <c r="O357" s="2">
        <v>19.38</v>
      </c>
      <c r="P357" s="2">
        <v>1862.32</v>
      </c>
    </row>
    <row r="358" spans="1:16" x14ac:dyDescent="0.35">
      <c r="A358" s="5">
        <v>45114</v>
      </c>
      <c r="B358" s="2">
        <v>433</v>
      </c>
      <c r="C358" s="2">
        <v>261.10000000000002</v>
      </c>
      <c r="D358" s="2">
        <v>174.05</v>
      </c>
      <c r="E358" s="2">
        <v>358.25</v>
      </c>
      <c r="F358" s="2">
        <v>8.9</v>
      </c>
      <c r="G358" s="2">
        <v>195.9</v>
      </c>
      <c r="H358" s="2">
        <v>1761</v>
      </c>
      <c r="I358" s="2">
        <v>1474</v>
      </c>
      <c r="J358" s="2">
        <v>1100</v>
      </c>
      <c r="K358" s="2">
        <v>4050</v>
      </c>
      <c r="L358" s="2">
        <v>124.5</v>
      </c>
      <c r="M358" s="2">
        <v>10.61</v>
      </c>
      <c r="N358" s="2">
        <v>88.6</v>
      </c>
      <c r="O358" s="2">
        <v>19.149999999999999</v>
      </c>
      <c r="P358" s="2">
        <v>1866.26</v>
      </c>
    </row>
    <row r="359" spans="1:16" x14ac:dyDescent="0.35">
      <c r="A359" s="5">
        <v>45117</v>
      </c>
      <c r="B359" s="2">
        <v>433</v>
      </c>
      <c r="C359" s="2">
        <v>261.14999999999998</v>
      </c>
      <c r="D359" s="2">
        <v>172.7</v>
      </c>
      <c r="E359" s="2">
        <v>354.26</v>
      </c>
      <c r="F359" s="2">
        <v>9</v>
      </c>
      <c r="G359" s="2">
        <v>196.95</v>
      </c>
      <c r="H359" s="2">
        <v>1785</v>
      </c>
      <c r="I359" s="2">
        <v>1500</v>
      </c>
      <c r="J359" s="2">
        <v>1069</v>
      </c>
      <c r="K359" s="2">
        <v>4027</v>
      </c>
      <c r="L359" s="2">
        <v>124.5</v>
      </c>
      <c r="M359" s="2">
        <v>10.210000000000001</v>
      </c>
      <c r="N359" s="2">
        <v>87</v>
      </c>
      <c r="O359" s="2">
        <v>18.600000000000001</v>
      </c>
      <c r="P359" s="2">
        <v>1872.17</v>
      </c>
    </row>
    <row r="360" spans="1:16" x14ac:dyDescent="0.35">
      <c r="A360" s="5">
        <v>45121</v>
      </c>
      <c r="B360" s="2">
        <v>437.15</v>
      </c>
      <c r="C360" s="2">
        <v>254.1</v>
      </c>
      <c r="D360" s="2">
        <v>174.15</v>
      </c>
      <c r="E360" s="2">
        <v>349.27</v>
      </c>
      <c r="F360" s="2">
        <v>8.85</v>
      </c>
      <c r="G360" s="2">
        <v>197</v>
      </c>
      <c r="H360" s="2">
        <v>1735</v>
      </c>
      <c r="I360" s="2">
        <v>1479</v>
      </c>
      <c r="J360" s="2">
        <v>1080</v>
      </c>
      <c r="K360" s="2">
        <v>4000</v>
      </c>
      <c r="L360" s="2">
        <v>121</v>
      </c>
      <c r="M360" s="2">
        <v>10</v>
      </c>
      <c r="N360" s="2">
        <v>84.25</v>
      </c>
      <c r="O360" s="2">
        <v>19.3</v>
      </c>
      <c r="P360" s="2">
        <v>1866.26</v>
      </c>
    </row>
    <row r="361" spans="1:16" x14ac:dyDescent="0.35">
      <c r="A361" s="5">
        <v>45125</v>
      </c>
      <c r="B361" s="2">
        <v>442</v>
      </c>
      <c r="C361" s="2">
        <v>262</v>
      </c>
      <c r="D361" s="2">
        <v>172.65</v>
      </c>
      <c r="E361" s="2">
        <v>350.27</v>
      </c>
      <c r="F361" s="2">
        <v>8.85</v>
      </c>
      <c r="G361" s="2">
        <v>198</v>
      </c>
      <c r="H361" s="2">
        <v>1775</v>
      </c>
      <c r="I361" s="2">
        <v>1500</v>
      </c>
      <c r="J361" s="2">
        <v>1095</v>
      </c>
      <c r="K361" s="2">
        <v>4015</v>
      </c>
      <c r="L361" s="2">
        <v>120</v>
      </c>
      <c r="M361" s="2">
        <v>10.34</v>
      </c>
      <c r="N361" s="2">
        <v>87.4</v>
      </c>
      <c r="O361" s="2">
        <v>19.100000000000001</v>
      </c>
      <c r="P361" s="2">
        <v>1861.34</v>
      </c>
    </row>
    <row r="362" spans="1:16" x14ac:dyDescent="0.35">
      <c r="A362" s="5">
        <v>45135</v>
      </c>
      <c r="B362" s="2">
        <v>452</v>
      </c>
      <c r="C362" s="2">
        <v>263</v>
      </c>
      <c r="D362" s="2">
        <v>171.73</v>
      </c>
      <c r="E362" s="2">
        <v>364.24</v>
      </c>
      <c r="F362" s="2">
        <v>10.1</v>
      </c>
      <c r="G362" s="2">
        <v>214.95</v>
      </c>
      <c r="H362" s="2">
        <v>1798</v>
      </c>
      <c r="I362" s="2">
        <v>1495</v>
      </c>
      <c r="J362" s="2">
        <v>1150</v>
      </c>
      <c r="K362" s="2">
        <v>4025</v>
      </c>
      <c r="L362" s="2">
        <v>123</v>
      </c>
      <c r="M362" s="2">
        <v>10</v>
      </c>
      <c r="N362" s="2">
        <v>85.98</v>
      </c>
      <c r="O362" s="2">
        <v>18.79</v>
      </c>
      <c r="P362" s="2">
        <v>1920.43</v>
      </c>
    </row>
    <row r="363" spans="1:16" x14ac:dyDescent="0.35">
      <c r="A363" s="5">
        <v>45139</v>
      </c>
      <c r="B363" s="2">
        <v>460</v>
      </c>
      <c r="C363" s="2">
        <v>264</v>
      </c>
      <c r="D363" s="2">
        <v>173.28</v>
      </c>
      <c r="E363" s="2">
        <v>368.23</v>
      </c>
      <c r="F363" s="2">
        <v>9.6</v>
      </c>
      <c r="G363" s="2">
        <v>218.55</v>
      </c>
      <c r="H363" s="2">
        <v>1756</v>
      </c>
      <c r="I363" s="2">
        <v>1509</v>
      </c>
      <c r="J363" s="2">
        <v>1101</v>
      </c>
      <c r="K363" s="2">
        <v>4010</v>
      </c>
      <c r="L363" s="2">
        <v>121</v>
      </c>
      <c r="M363" s="2">
        <v>10.25</v>
      </c>
      <c r="N363" s="2">
        <v>87</v>
      </c>
      <c r="O363" s="2">
        <v>18.98</v>
      </c>
      <c r="P363" s="2">
        <v>1918.46</v>
      </c>
    </row>
    <row r="364" spans="1:16" x14ac:dyDescent="0.35">
      <c r="A364" s="5">
        <v>45140</v>
      </c>
      <c r="B364" s="2">
        <v>461</v>
      </c>
      <c r="C364" s="2">
        <v>264</v>
      </c>
      <c r="D364" s="2">
        <v>173.28</v>
      </c>
      <c r="E364" s="2">
        <v>368.08</v>
      </c>
      <c r="F364" s="2">
        <v>10</v>
      </c>
      <c r="G364" s="2">
        <v>215</v>
      </c>
      <c r="H364" s="2">
        <v>1800</v>
      </c>
      <c r="I364" s="2">
        <v>1540</v>
      </c>
      <c r="J364" s="2">
        <v>1147</v>
      </c>
      <c r="K364" s="2">
        <v>4050</v>
      </c>
      <c r="L364" s="2">
        <v>120.5</v>
      </c>
      <c r="M364" s="2">
        <v>10.3</v>
      </c>
      <c r="N364" s="2">
        <v>87.08</v>
      </c>
      <c r="O364" s="2">
        <v>18.95</v>
      </c>
      <c r="P364" s="2">
        <v>1871.19</v>
      </c>
    </row>
    <row r="365" spans="1:16" x14ac:dyDescent="0.35">
      <c r="A365" s="5">
        <v>45141</v>
      </c>
      <c r="B365" s="2">
        <v>456.5</v>
      </c>
      <c r="C365" s="2">
        <v>265</v>
      </c>
      <c r="D365" s="2">
        <v>174.24</v>
      </c>
      <c r="E365" s="2">
        <v>360.24</v>
      </c>
      <c r="F365" s="2">
        <v>10</v>
      </c>
      <c r="G365" s="2">
        <v>212</v>
      </c>
      <c r="H365" s="2">
        <v>1795</v>
      </c>
      <c r="I365" s="2">
        <v>1565</v>
      </c>
      <c r="J365" s="2">
        <v>1147</v>
      </c>
      <c r="K365" s="2">
        <v>4146</v>
      </c>
      <c r="L365" s="2">
        <v>121</v>
      </c>
      <c r="M365" s="2">
        <v>10.220000000000001</v>
      </c>
      <c r="N365" s="2">
        <v>85.7</v>
      </c>
      <c r="O365" s="2">
        <v>18.850000000000001</v>
      </c>
      <c r="P365" s="2">
        <v>1802.25</v>
      </c>
    </row>
    <row r="366" spans="1:16" x14ac:dyDescent="0.35">
      <c r="A366" s="5">
        <v>45145</v>
      </c>
      <c r="B366" s="2">
        <v>451</v>
      </c>
      <c r="C366" s="2">
        <v>264</v>
      </c>
      <c r="D366" s="2">
        <v>178.98</v>
      </c>
      <c r="E366" s="2">
        <v>359.25</v>
      </c>
      <c r="F366" s="2">
        <v>9.85</v>
      </c>
      <c r="G366" s="2">
        <v>211</v>
      </c>
      <c r="H366" s="2">
        <v>1780</v>
      </c>
      <c r="I366" s="2">
        <v>1550</v>
      </c>
      <c r="J366" s="2">
        <v>1128</v>
      </c>
      <c r="K366" s="2">
        <v>4100</v>
      </c>
      <c r="L366" s="2">
        <v>120</v>
      </c>
      <c r="M366" s="2">
        <v>10.220000000000001</v>
      </c>
      <c r="N366" s="2">
        <v>85.8</v>
      </c>
      <c r="O366" s="2">
        <v>18.59</v>
      </c>
      <c r="P366" s="2">
        <v>1812.1</v>
      </c>
    </row>
    <row r="367" spans="1:16" x14ac:dyDescent="0.35">
      <c r="A367" s="5">
        <v>45146</v>
      </c>
      <c r="B367" s="2">
        <v>450.25</v>
      </c>
      <c r="C367" s="2">
        <v>263</v>
      </c>
      <c r="D367" s="2">
        <v>178.02</v>
      </c>
      <c r="E367" s="2">
        <v>359.25</v>
      </c>
      <c r="F367" s="2">
        <v>9.85</v>
      </c>
      <c r="G367" s="2">
        <v>210</v>
      </c>
      <c r="H367" s="2">
        <v>1800</v>
      </c>
      <c r="I367" s="2">
        <v>1530</v>
      </c>
      <c r="J367" s="2">
        <v>1139</v>
      </c>
      <c r="K367" s="2">
        <v>4000</v>
      </c>
      <c r="L367" s="2">
        <v>120</v>
      </c>
      <c r="M367" s="2">
        <v>10.15</v>
      </c>
      <c r="N367" s="2">
        <v>84.6</v>
      </c>
      <c r="O367" s="2">
        <v>18.3</v>
      </c>
      <c r="P367" s="2">
        <v>1821.94</v>
      </c>
    </row>
    <row r="368" spans="1:16" x14ac:dyDescent="0.35">
      <c r="A368" s="5">
        <v>45147</v>
      </c>
      <c r="B368" s="2">
        <v>448.1</v>
      </c>
      <c r="C368" s="2">
        <v>260</v>
      </c>
      <c r="D368" s="2">
        <v>178.5</v>
      </c>
      <c r="E368" s="2">
        <v>359.25</v>
      </c>
      <c r="F368" s="2">
        <v>9.85</v>
      </c>
      <c r="G368" s="2">
        <v>210</v>
      </c>
      <c r="H368" s="2">
        <v>1782</v>
      </c>
      <c r="I368" s="2">
        <v>1530</v>
      </c>
      <c r="J368" s="2">
        <v>1120</v>
      </c>
      <c r="K368" s="2">
        <v>4000</v>
      </c>
      <c r="L368" s="2">
        <v>120</v>
      </c>
      <c r="M368" s="2">
        <v>10.06</v>
      </c>
      <c r="N368" s="2">
        <v>84.5</v>
      </c>
      <c r="O368" s="2">
        <v>17.73</v>
      </c>
      <c r="P368" s="2">
        <v>1850.5</v>
      </c>
    </row>
    <row r="369" spans="1:16" x14ac:dyDescent="0.35">
      <c r="A369" s="5">
        <v>45148</v>
      </c>
      <c r="B369" s="2">
        <v>449.9</v>
      </c>
      <c r="C369" s="2">
        <v>263.05</v>
      </c>
      <c r="D369" s="2">
        <v>176.57</v>
      </c>
      <c r="E369" s="2">
        <v>354.31</v>
      </c>
      <c r="F369" s="2">
        <v>9.85</v>
      </c>
      <c r="G369" s="2">
        <v>210</v>
      </c>
      <c r="H369" s="2">
        <v>1800</v>
      </c>
      <c r="I369" s="2">
        <v>1530</v>
      </c>
      <c r="J369" s="2">
        <v>1120</v>
      </c>
      <c r="K369" s="2">
        <v>4000</v>
      </c>
      <c r="L369" s="2">
        <v>120</v>
      </c>
      <c r="M369" s="2">
        <v>10.09</v>
      </c>
      <c r="N369" s="2">
        <v>86.9</v>
      </c>
      <c r="O369" s="2">
        <v>17.559999999999999</v>
      </c>
      <c r="P369" s="2">
        <v>1805.2</v>
      </c>
    </row>
    <row r="370" spans="1:16" x14ac:dyDescent="0.35">
      <c r="A370" s="5">
        <v>45149</v>
      </c>
      <c r="B370" s="2">
        <v>446.1</v>
      </c>
      <c r="C370" s="2">
        <v>258</v>
      </c>
      <c r="D370" s="2">
        <v>177.82</v>
      </c>
      <c r="E370" s="2">
        <v>357.25</v>
      </c>
      <c r="F370" s="2">
        <v>10.1</v>
      </c>
      <c r="G370" s="2">
        <v>210</v>
      </c>
      <c r="H370" s="2">
        <v>1794</v>
      </c>
      <c r="I370" s="2">
        <v>1495</v>
      </c>
      <c r="J370" s="2">
        <v>1120</v>
      </c>
      <c r="K370" s="2">
        <v>4000</v>
      </c>
      <c r="L370" s="2">
        <v>120</v>
      </c>
      <c r="M370" s="2">
        <v>10.45</v>
      </c>
      <c r="N370" s="2">
        <v>86</v>
      </c>
      <c r="O370" s="2">
        <v>18.170000000000002</v>
      </c>
      <c r="P370" s="2">
        <v>1824.9</v>
      </c>
    </row>
    <row r="371" spans="1:16" x14ac:dyDescent="0.35">
      <c r="A371" s="5">
        <v>45156</v>
      </c>
      <c r="B371" s="2">
        <v>450.5</v>
      </c>
      <c r="C371" s="2">
        <v>258.10000000000002</v>
      </c>
      <c r="D371" s="2">
        <v>174.15</v>
      </c>
      <c r="E371" s="2">
        <v>359.15</v>
      </c>
      <c r="F371" s="2">
        <v>9.9499999999999993</v>
      </c>
      <c r="G371" s="2">
        <v>210</v>
      </c>
      <c r="H371" s="2">
        <v>1794</v>
      </c>
      <c r="I371" s="2">
        <v>1480</v>
      </c>
      <c r="J371" s="2">
        <v>1100</v>
      </c>
      <c r="K371" s="2">
        <v>4000</v>
      </c>
      <c r="L371" s="2">
        <v>123.45</v>
      </c>
      <c r="M371" s="2">
        <v>10.130000000000001</v>
      </c>
      <c r="N371" s="2">
        <v>85</v>
      </c>
      <c r="O371" s="2">
        <v>17.690000000000001</v>
      </c>
      <c r="P371" s="2">
        <v>1841.64</v>
      </c>
    </row>
    <row r="372" spans="1:16" x14ac:dyDescent="0.35">
      <c r="A372" s="5">
        <v>45161</v>
      </c>
      <c r="B372" s="2">
        <v>451</v>
      </c>
      <c r="C372" s="2">
        <v>255.1</v>
      </c>
      <c r="D372" s="2">
        <v>172.6</v>
      </c>
      <c r="E372" s="2">
        <v>347.27</v>
      </c>
      <c r="F372" s="2">
        <v>10</v>
      </c>
      <c r="G372" s="2">
        <v>203.05</v>
      </c>
      <c r="H372" s="2">
        <v>1761</v>
      </c>
      <c r="I372" s="2">
        <v>1480</v>
      </c>
      <c r="J372" s="2">
        <v>1075</v>
      </c>
      <c r="K372" s="2">
        <v>3980</v>
      </c>
      <c r="L372" s="2">
        <v>122</v>
      </c>
      <c r="M372" s="2">
        <v>10.210000000000001</v>
      </c>
      <c r="N372" s="2">
        <v>86.99</v>
      </c>
      <c r="O372" s="2">
        <v>16.8</v>
      </c>
      <c r="P372" s="2">
        <v>1804.22</v>
      </c>
    </row>
    <row r="373" spans="1:16" x14ac:dyDescent="0.35">
      <c r="A373" s="5">
        <v>45166</v>
      </c>
      <c r="B373" s="2">
        <v>453</v>
      </c>
      <c r="C373" s="2">
        <v>255</v>
      </c>
      <c r="D373" s="2">
        <v>170.86</v>
      </c>
      <c r="E373" s="2">
        <v>349.27</v>
      </c>
      <c r="F373" s="2">
        <v>9.75</v>
      </c>
      <c r="G373" s="2">
        <v>201.05</v>
      </c>
      <c r="H373" s="2">
        <v>1750</v>
      </c>
      <c r="I373" s="2">
        <v>1450</v>
      </c>
      <c r="J373" s="2">
        <v>1100</v>
      </c>
      <c r="K373" s="2">
        <v>3950</v>
      </c>
      <c r="L373" s="2">
        <v>120</v>
      </c>
      <c r="M373" s="2">
        <v>10.35</v>
      </c>
      <c r="N373" s="2">
        <v>87</v>
      </c>
      <c r="O373" s="2">
        <v>16.55</v>
      </c>
      <c r="P373" s="2">
        <v>1822.93</v>
      </c>
    </row>
    <row r="374" spans="1:16" x14ac:dyDescent="0.35">
      <c r="A374" s="5">
        <v>45167</v>
      </c>
      <c r="B374" s="2">
        <v>454.95</v>
      </c>
      <c r="C374" s="2">
        <v>254.1</v>
      </c>
      <c r="D374" s="2">
        <v>174.15</v>
      </c>
      <c r="E374" s="2">
        <v>354.76</v>
      </c>
      <c r="F374" s="2">
        <v>9.65</v>
      </c>
      <c r="G374" s="2">
        <v>202.5</v>
      </c>
      <c r="H374" s="2">
        <v>1750</v>
      </c>
      <c r="I374" s="2">
        <v>1450</v>
      </c>
      <c r="J374" s="2">
        <v>1100</v>
      </c>
      <c r="K374" s="2">
        <v>4000</v>
      </c>
      <c r="L374" s="2">
        <v>121.5</v>
      </c>
      <c r="M374" s="2">
        <v>10.210000000000001</v>
      </c>
      <c r="N374" s="2">
        <v>86.9</v>
      </c>
      <c r="O374" s="2">
        <v>16.559999999999999</v>
      </c>
      <c r="P374" s="2">
        <v>1794.37</v>
      </c>
    </row>
    <row r="375" spans="1:16" x14ac:dyDescent="0.35">
      <c r="A375" s="5">
        <v>45168</v>
      </c>
      <c r="B375" s="2">
        <v>449</v>
      </c>
      <c r="C375" s="2">
        <v>254.1</v>
      </c>
      <c r="D375" s="2">
        <v>173.08</v>
      </c>
      <c r="E375" s="2">
        <v>355.75</v>
      </c>
      <c r="F375" s="2">
        <v>9.65</v>
      </c>
      <c r="G375" s="2">
        <v>202.35</v>
      </c>
      <c r="H375" s="2">
        <v>1787</v>
      </c>
      <c r="I375" s="2">
        <v>1460</v>
      </c>
      <c r="J375" s="2">
        <v>1120</v>
      </c>
      <c r="K375" s="2">
        <v>4150</v>
      </c>
      <c r="L375" s="2">
        <v>120</v>
      </c>
      <c r="M375" s="2">
        <v>10.82</v>
      </c>
      <c r="N375" s="2">
        <v>92.11</v>
      </c>
      <c r="O375" s="2">
        <v>17.55</v>
      </c>
      <c r="P375" s="2">
        <v>1777.63</v>
      </c>
    </row>
    <row r="376" spans="1:16" x14ac:dyDescent="0.35">
      <c r="A376" s="5">
        <v>45175</v>
      </c>
      <c r="B376" s="2">
        <v>447.05</v>
      </c>
      <c r="C376" s="2">
        <v>257</v>
      </c>
      <c r="D376" s="2">
        <v>169.31</v>
      </c>
      <c r="E376" s="2">
        <v>369.13</v>
      </c>
      <c r="F376" s="2">
        <v>9.6</v>
      </c>
      <c r="G376" s="2">
        <v>200.3</v>
      </c>
      <c r="H376" s="2">
        <v>1650</v>
      </c>
      <c r="I376" s="2">
        <v>1450</v>
      </c>
      <c r="J376" s="2">
        <v>1072</v>
      </c>
      <c r="K376" s="2">
        <v>3956</v>
      </c>
      <c r="L376" s="2">
        <v>119.5</v>
      </c>
      <c r="M376" s="2">
        <v>12.95</v>
      </c>
      <c r="N376" s="2">
        <v>97.8</v>
      </c>
      <c r="O376" s="2">
        <v>17.57</v>
      </c>
      <c r="P376" s="2">
        <v>1763.84</v>
      </c>
    </row>
    <row r="377" spans="1:16" x14ac:dyDescent="0.35">
      <c r="A377" s="5">
        <v>45176</v>
      </c>
      <c r="B377" s="2">
        <v>446.5</v>
      </c>
      <c r="C377" s="2">
        <v>255</v>
      </c>
      <c r="D377" s="2">
        <v>168.34</v>
      </c>
      <c r="E377" s="2">
        <v>360.54</v>
      </c>
      <c r="F377" s="2">
        <v>9.6</v>
      </c>
      <c r="G377" s="2">
        <v>200.35</v>
      </c>
      <c r="H377" s="2">
        <v>1650</v>
      </c>
      <c r="I377" s="2">
        <v>1430</v>
      </c>
      <c r="J377" s="2">
        <v>1099</v>
      </c>
      <c r="K377" s="2">
        <v>3956</v>
      </c>
      <c r="L377" s="2">
        <v>119.5</v>
      </c>
      <c r="M377" s="2">
        <v>12.7</v>
      </c>
      <c r="N377" s="2">
        <v>95.89</v>
      </c>
      <c r="O377" s="2">
        <v>17.45</v>
      </c>
      <c r="P377" s="2">
        <v>1753.99</v>
      </c>
    </row>
    <row r="378" spans="1:16" x14ac:dyDescent="0.35">
      <c r="A378" s="5">
        <v>45177</v>
      </c>
      <c r="B378" s="2">
        <v>441.5</v>
      </c>
      <c r="C378" s="2">
        <v>254</v>
      </c>
      <c r="D378" s="2">
        <v>168.34</v>
      </c>
      <c r="E378" s="2">
        <v>363.24</v>
      </c>
      <c r="F378" s="2">
        <v>9.6</v>
      </c>
      <c r="G378" s="2">
        <v>203</v>
      </c>
      <c r="H378" s="2">
        <v>1650</v>
      </c>
      <c r="I378" s="2">
        <v>1430</v>
      </c>
      <c r="J378" s="2">
        <v>1050</v>
      </c>
      <c r="K378" s="2">
        <v>3957</v>
      </c>
      <c r="L378" s="2">
        <v>122</v>
      </c>
      <c r="M378" s="2">
        <v>12.7</v>
      </c>
      <c r="N378" s="2">
        <v>97.5</v>
      </c>
      <c r="O378" s="2">
        <v>17.239999999999998</v>
      </c>
      <c r="P378" s="2">
        <v>1762.85</v>
      </c>
    </row>
    <row r="379" spans="1:16" x14ac:dyDescent="0.35">
      <c r="A379" s="5">
        <v>45180</v>
      </c>
      <c r="B379" s="2">
        <v>438.5</v>
      </c>
      <c r="C379" s="2">
        <v>252</v>
      </c>
      <c r="D379" s="2">
        <v>167.37</v>
      </c>
      <c r="E379" s="2">
        <v>359.25</v>
      </c>
      <c r="F379" s="2">
        <v>9.8000000000000007</v>
      </c>
      <c r="G379" s="2">
        <v>202.4</v>
      </c>
      <c r="H379" s="2">
        <v>1748</v>
      </c>
      <c r="I379" s="2">
        <v>1515</v>
      </c>
      <c r="J379" s="2">
        <v>1051</v>
      </c>
      <c r="K379" s="2">
        <v>4068</v>
      </c>
      <c r="L379" s="2">
        <v>121.9</v>
      </c>
      <c r="M379" s="2">
        <v>12.35</v>
      </c>
      <c r="N379" s="2">
        <v>93.01</v>
      </c>
      <c r="O379" s="2">
        <v>17.14</v>
      </c>
      <c r="P379" s="2">
        <v>1753.01</v>
      </c>
    </row>
    <row r="380" spans="1:16" x14ac:dyDescent="0.35">
      <c r="A380" s="5">
        <v>45183</v>
      </c>
      <c r="B380" s="2">
        <v>440.9</v>
      </c>
      <c r="C380" s="2">
        <v>252.5</v>
      </c>
      <c r="D380" s="2">
        <v>169.31</v>
      </c>
      <c r="E380" s="2">
        <v>359.25</v>
      </c>
      <c r="F380" s="2">
        <v>9.65</v>
      </c>
      <c r="G380" s="2">
        <v>202.5</v>
      </c>
      <c r="H380" s="2">
        <v>1705</v>
      </c>
      <c r="I380" s="2">
        <v>1530</v>
      </c>
      <c r="J380" s="2">
        <v>1050</v>
      </c>
      <c r="K380" s="2">
        <v>3950</v>
      </c>
      <c r="L380" s="2">
        <v>124.8</v>
      </c>
      <c r="M380" s="2">
        <v>13.96</v>
      </c>
      <c r="N380" s="2">
        <v>101.75</v>
      </c>
      <c r="O380" s="2">
        <v>18.73</v>
      </c>
      <c r="P380" s="2">
        <v>1782.55</v>
      </c>
    </row>
    <row r="381" spans="1:16" x14ac:dyDescent="0.35">
      <c r="A381" s="5">
        <v>45184</v>
      </c>
      <c r="B381" s="2">
        <v>441.5</v>
      </c>
      <c r="C381" s="2">
        <v>252</v>
      </c>
      <c r="D381" s="2">
        <v>169.31</v>
      </c>
      <c r="E381" s="2">
        <v>378.21</v>
      </c>
      <c r="F381" s="2">
        <v>9.65</v>
      </c>
      <c r="G381" s="2">
        <v>201</v>
      </c>
      <c r="H381" s="2">
        <v>1730</v>
      </c>
      <c r="I381" s="2">
        <v>1510</v>
      </c>
      <c r="J381" s="2">
        <v>1040</v>
      </c>
      <c r="K381" s="2">
        <v>4068</v>
      </c>
      <c r="L381" s="2">
        <v>122.05</v>
      </c>
      <c r="M381" s="2">
        <v>14.15</v>
      </c>
      <c r="N381" s="2">
        <v>100</v>
      </c>
      <c r="O381" s="2">
        <v>18.68</v>
      </c>
      <c r="P381" s="2">
        <v>1763.84</v>
      </c>
    </row>
    <row r="382" spans="1:16" x14ac:dyDescent="0.35">
      <c r="A382" s="5">
        <v>45187</v>
      </c>
      <c r="B382" s="2">
        <v>442.9</v>
      </c>
      <c r="C382" s="2">
        <v>252.45</v>
      </c>
      <c r="D382" s="2">
        <v>170.28</v>
      </c>
      <c r="E382" s="2">
        <v>369.27</v>
      </c>
      <c r="F382" s="2">
        <v>9.5</v>
      </c>
      <c r="G382" s="2">
        <v>206</v>
      </c>
      <c r="H382" s="2">
        <v>1702</v>
      </c>
      <c r="I382" s="2">
        <v>1510</v>
      </c>
      <c r="J382" s="2">
        <v>1040</v>
      </c>
      <c r="K382" s="2">
        <v>4117</v>
      </c>
      <c r="L382" s="2">
        <v>121</v>
      </c>
      <c r="M382" s="2">
        <v>14.99</v>
      </c>
      <c r="N382" s="2">
        <v>105.6</v>
      </c>
      <c r="O382" s="2">
        <v>19.55</v>
      </c>
      <c r="P382" s="2">
        <v>1763.84</v>
      </c>
    </row>
    <row r="383" spans="1:16" x14ac:dyDescent="0.35">
      <c r="A383" s="5">
        <v>45189</v>
      </c>
      <c r="B383" s="2">
        <v>450.1</v>
      </c>
      <c r="C383" s="2">
        <v>255</v>
      </c>
      <c r="D383" s="2">
        <v>170.28</v>
      </c>
      <c r="E383" s="2">
        <v>379.2</v>
      </c>
      <c r="F383" s="2">
        <v>9.5</v>
      </c>
      <c r="G383" s="2">
        <v>200</v>
      </c>
      <c r="H383" s="2">
        <v>1651</v>
      </c>
      <c r="I383" s="2">
        <v>1455</v>
      </c>
      <c r="J383" s="2">
        <v>980</v>
      </c>
      <c r="K383" s="2">
        <v>4117</v>
      </c>
      <c r="L383" s="2">
        <v>118.5</v>
      </c>
      <c r="M383" s="2">
        <v>16.829999999999998</v>
      </c>
      <c r="N383" s="2">
        <v>115.55</v>
      </c>
      <c r="O383" s="2">
        <v>21.93</v>
      </c>
      <c r="P383" s="2">
        <v>1760.88</v>
      </c>
    </row>
    <row r="384" spans="1:16" x14ac:dyDescent="0.35">
      <c r="A384" s="5">
        <v>45190</v>
      </c>
      <c r="B384" s="2">
        <v>450.05</v>
      </c>
      <c r="C384" s="2">
        <v>252</v>
      </c>
      <c r="D384" s="2">
        <v>170.28</v>
      </c>
      <c r="E384" s="2">
        <v>380.2</v>
      </c>
      <c r="F384" s="2">
        <v>9.5</v>
      </c>
      <c r="G384" s="2">
        <v>196.95</v>
      </c>
      <c r="H384" s="2">
        <v>1680</v>
      </c>
      <c r="I384" s="2">
        <v>1500</v>
      </c>
      <c r="J384" s="2">
        <v>1037</v>
      </c>
      <c r="K384" s="2">
        <v>4100</v>
      </c>
      <c r="L384" s="2">
        <v>120</v>
      </c>
      <c r="M384" s="2">
        <v>15.9</v>
      </c>
      <c r="N384" s="2">
        <v>108.65</v>
      </c>
      <c r="O384" s="2">
        <v>22.5</v>
      </c>
      <c r="P384" s="2">
        <v>1757.93</v>
      </c>
    </row>
    <row r="385" spans="1:16" x14ac:dyDescent="0.35">
      <c r="A385" s="5">
        <v>45191</v>
      </c>
      <c r="B385" s="2">
        <v>448</v>
      </c>
      <c r="C385" s="2">
        <v>252</v>
      </c>
      <c r="D385" s="2">
        <v>172.21</v>
      </c>
      <c r="E385" s="2">
        <v>386.14</v>
      </c>
      <c r="F385" s="2">
        <v>9.5</v>
      </c>
      <c r="G385" s="2">
        <v>200</v>
      </c>
      <c r="H385" s="2">
        <v>1680</v>
      </c>
      <c r="I385" s="2">
        <v>1490</v>
      </c>
      <c r="J385" s="2">
        <v>1000</v>
      </c>
      <c r="K385" s="2">
        <v>4120</v>
      </c>
      <c r="L385" s="2">
        <v>124</v>
      </c>
      <c r="M385" s="2">
        <v>16.3</v>
      </c>
      <c r="N385" s="2">
        <v>114</v>
      </c>
      <c r="O385" s="2">
        <v>23.54</v>
      </c>
      <c r="P385" s="2">
        <v>1695.89</v>
      </c>
    </row>
    <row r="386" spans="1:16" x14ac:dyDescent="0.35">
      <c r="A386" s="5">
        <v>45195</v>
      </c>
      <c r="B386" s="2">
        <v>459</v>
      </c>
      <c r="C386" s="2">
        <v>254.95</v>
      </c>
      <c r="D386" s="2">
        <v>175.36</v>
      </c>
      <c r="E386" s="2">
        <v>384.14</v>
      </c>
      <c r="F386" s="2">
        <v>9.35</v>
      </c>
      <c r="G386" s="2">
        <v>195</v>
      </c>
      <c r="H386" s="2">
        <v>1700</v>
      </c>
      <c r="I386" s="2">
        <v>1490</v>
      </c>
      <c r="J386" s="2">
        <v>1037</v>
      </c>
      <c r="K386" s="2">
        <v>4050</v>
      </c>
      <c r="L386" s="2">
        <v>123.5</v>
      </c>
      <c r="M386" s="2">
        <v>16.649999999999999</v>
      </c>
      <c r="N386" s="2">
        <v>112.95</v>
      </c>
      <c r="O386" s="2">
        <v>22.54</v>
      </c>
      <c r="P386" s="2">
        <v>1639.75</v>
      </c>
    </row>
    <row r="387" spans="1:16" x14ac:dyDescent="0.35">
      <c r="A387" s="5">
        <v>45196</v>
      </c>
      <c r="B387" s="2">
        <v>456</v>
      </c>
      <c r="C387" s="2">
        <v>254.95</v>
      </c>
      <c r="D387" s="2">
        <v>177.53</v>
      </c>
      <c r="E387" s="2">
        <v>385.19</v>
      </c>
      <c r="F387" s="2">
        <v>9.35</v>
      </c>
      <c r="G387" s="2">
        <v>195</v>
      </c>
      <c r="H387" s="2">
        <v>1700</v>
      </c>
      <c r="I387" s="2">
        <v>1490</v>
      </c>
      <c r="J387" s="2">
        <v>1037</v>
      </c>
      <c r="K387" s="2">
        <v>4150</v>
      </c>
      <c r="L387" s="2">
        <v>123.7</v>
      </c>
      <c r="M387" s="2">
        <v>16.329999999999998</v>
      </c>
      <c r="N387" s="2">
        <v>114.9</v>
      </c>
      <c r="O387" s="2">
        <v>21.8</v>
      </c>
      <c r="P387" s="2">
        <v>1625.96</v>
      </c>
    </row>
    <row r="388" spans="1:16" x14ac:dyDescent="0.35">
      <c r="A388" s="5">
        <v>45202</v>
      </c>
      <c r="B388" s="2">
        <v>449.5</v>
      </c>
      <c r="C388" s="2">
        <v>253.95</v>
      </c>
      <c r="D388" s="2">
        <v>180.76</v>
      </c>
      <c r="E388" s="2">
        <v>368.23</v>
      </c>
      <c r="F388" s="2">
        <v>9.1999999999999993</v>
      </c>
      <c r="G388" s="2">
        <v>193.5</v>
      </c>
      <c r="H388" s="2">
        <v>1670</v>
      </c>
      <c r="I388" s="2">
        <v>1460</v>
      </c>
      <c r="J388" s="2">
        <v>1084</v>
      </c>
      <c r="K388" s="2">
        <v>4170</v>
      </c>
      <c r="L388" s="2">
        <v>120.1</v>
      </c>
      <c r="M388" s="2">
        <v>14.7</v>
      </c>
      <c r="N388" s="2">
        <v>107</v>
      </c>
      <c r="O388" s="2">
        <v>19.28</v>
      </c>
      <c r="P388" s="2">
        <v>1688.01</v>
      </c>
    </row>
    <row r="389" spans="1:16" x14ac:dyDescent="0.35">
      <c r="A389" s="5">
        <v>45203</v>
      </c>
      <c r="B389" s="2">
        <v>447.2</v>
      </c>
      <c r="C389" s="2">
        <v>252</v>
      </c>
      <c r="D389" s="2">
        <v>179.19</v>
      </c>
      <c r="E389" s="2">
        <v>377.21</v>
      </c>
      <c r="F389" s="2">
        <v>9.1999999999999993</v>
      </c>
      <c r="G389" s="2">
        <v>192.1</v>
      </c>
      <c r="H389" s="2">
        <v>1660</v>
      </c>
      <c r="I389" s="2">
        <v>1460</v>
      </c>
      <c r="J389" s="2">
        <v>1082</v>
      </c>
      <c r="K389" s="2">
        <v>4170</v>
      </c>
      <c r="L389" s="2">
        <v>120</v>
      </c>
      <c r="M389" s="2">
        <v>14.05</v>
      </c>
      <c r="N389" s="2">
        <v>104</v>
      </c>
      <c r="O389" s="2">
        <v>18.5</v>
      </c>
      <c r="P389" s="2">
        <v>1664.37</v>
      </c>
    </row>
    <row r="390" spans="1:16" x14ac:dyDescent="0.35">
      <c r="A390" s="5">
        <v>45204</v>
      </c>
      <c r="B390" s="2">
        <v>474</v>
      </c>
      <c r="C390" s="2">
        <v>267.10000000000002</v>
      </c>
      <c r="D390" s="2">
        <v>187.16</v>
      </c>
      <c r="E390" s="2">
        <v>399.81</v>
      </c>
      <c r="F390" s="2">
        <v>9.1999999999999993</v>
      </c>
      <c r="G390" s="2">
        <v>203.5</v>
      </c>
      <c r="H390" s="2">
        <v>1759</v>
      </c>
      <c r="I390" s="2">
        <v>1547</v>
      </c>
      <c r="J390" s="2">
        <v>1139</v>
      </c>
      <c r="K390" s="2">
        <v>4250</v>
      </c>
      <c r="L390" s="2">
        <v>120</v>
      </c>
      <c r="M390" s="2">
        <v>14.89</v>
      </c>
      <c r="N390" s="2">
        <v>110.2</v>
      </c>
      <c r="O390" s="2">
        <v>19.600000000000001</v>
      </c>
      <c r="P390" s="2">
        <v>1693.92</v>
      </c>
    </row>
    <row r="391" spans="1:16" x14ac:dyDescent="0.35">
      <c r="A391" s="5">
        <v>45205</v>
      </c>
      <c r="B391" s="2">
        <v>472</v>
      </c>
      <c r="C391" s="2">
        <v>270</v>
      </c>
      <c r="D391" s="2">
        <v>186.18</v>
      </c>
      <c r="E391" s="2">
        <v>401.16</v>
      </c>
      <c r="F391" s="2">
        <v>9.4</v>
      </c>
      <c r="G391" s="2">
        <v>200.2</v>
      </c>
      <c r="H391" s="2">
        <v>1854</v>
      </c>
      <c r="I391" s="2">
        <v>1600</v>
      </c>
      <c r="J391" s="2">
        <v>1071</v>
      </c>
      <c r="K391" s="2">
        <v>4250</v>
      </c>
      <c r="L391" s="2">
        <v>123.45</v>
      </c>
      <c r="M391" s="2">
        <v>14.5</v>
      </c>
      <c r="N391" s="2">
        <v>110.7</v>
      </c>
      <c r="O391" s="2">
        <v>19.920000000000002</v>
      </c>
      <c r="P391" s="2">
        <v>1723.46</v>
      </c>
    </row>
    <row r="392" spans="1:16" x14ac:dyDescent="0.35">
      <c r="A392" s="5">
        <v>45217</v>
      </c>
      <c r="B392" s="2">
        <v>470</v>
      </c>
      <c r="C392" s="2">
        <v>261</v>
      </c>
      <c r="D392" s="2">
        <v>180.27</v>
      </c>
      <c r="E392" s="2">
        <v>390.38</v>
      </c>
      <c r="F392" s="2">
        <v>9.4499999999999993</v>
      </c>
      <c r="G392" s="2">
        <v>204</v>
      </c>
      <c r="H392" s="2">
        <v>1972</v>
      </c>
      <c r="I392" s="2">
        <v>1682</v>
      </c>
      <c r="J392" s="2">
        <v>1087</v>
      </c>
      <c r="K392" s="2">
        <v>4250</v>
      </c>
      <c r="L392" s="2">
        <v>122</v>
      </c>
      <c r="M392" s="2">
        <v>15.16</v>
      </c>
      <c r="N392" s="2">
        <v>114.35</v>
      </c>
      <c r="O392" s="2">
        <v>22.98</v>
      </c>
      <c r="P392" s="2">
        <v>1624.98</v>
      </c>
    </row>
    <row r="393" spans="1:16" x14ac:dyDescent="0.35">
      <c r="A393" s="5">
        <v>45240</v>
      </c>
      <c r="B393" s="2">
        <v>458</v>
      </c>
      <c r="C393" s="2">
        <v>260.95</v>
      </c>
      <c r="D393" s="2">
        <v>177.31</v>
      </c>
      <c r="E393" s="2">
        <v>384.19</v>
      </c>
      <c r="F393" s="2">
        <v>8.85</v>
      </c>
      <c r="G393" s="2">
        <v>204.5</v>
      </c>
      <c r="H393" s="2">
        <v>1899</v>
      </c>
      <c r="I393" s="2">
        <v>1677</v>
      </c>
      <c r="J393" s="2">
        <v>1060</v>
      </c>
      <c r="K393" s="2">
        <v>4130</v>
      </c>
      <c r="L393" s="2">
        <v>120</v>
      </c>
      <c r="M393" s="2">
        <v>15.39</v>
      </c>
      <c r="N393" s="2">
        <v>108.95</v>
      </c>
      <c r="O393" s="2">
        <v>22.29</v>
      </c>
      <c r="P393" s="2">
        <v>1615.13</v>
      </c>
    </row>
    <row r="394" spans="1:16" x14ac:dyDescent="0.35">
      <c r="A394" s="5">
        <v>45247</v>
      </c>
      <c r="B394" s="2">
        <v>467</v>
      </c>
      <c r="C394" s="2">
        <v>263.39999999999998</v>
      </c>
      <c r="D394" s="2">
        <v>175.34</v>
      </c>
      <c r="E394" s="2">
        <v>368.13</v>
      </c>
      <c r="F394" s="2">
        <v>8.6999999999999993</v>
      </c>
      <c r="G394" s="2">
        <v>205.05</v>
      </c>
      <c r="H394" s="2">
        <v>1900</v>
      </c>
      <c r="I394" s="2">
        <v>1635</v>
      </c>
      <c r="J394" s="2">
        <v>1030</v>
      </c>
      <c r="K394" s="2">
        <v>4128</v>
      </c>
      <c r="L394" s="2">
        <v>121.3</v>
      </c>
      <c r="M394" s="2">
        <v>16.21</v>
      </c>
      <c r="N394" s="2">
        <v>110.5</v>
      </c>
      <c r="O394" s="2">
        <v>22.38</v>
      </c>
      <c r="P394" s="2">
        <v>1575.74</v>
      </c>
    </row>
    <row r="395" spans="1:16" x14ac:dyDescent="0.35">
      <c r="A395" s="5">
        <v>45251</v>
      </c>
      <c r="B395" s="2">
        <v>470</v>
      </c>
      <c r="C395" s="2">
        <v>266.5</v>
      </c>
      <c r="D395" s="2">
        <v>175.34</v>
      </c>
      <c r="E395" s="2">
        <v>362.24</v>
      </c>
      <c r="F395" s="2">
        <v>8.6</v>
      </c>
      <c r="G395" s="2">
        <v>205.5</v>
      </c>
      <c r="H395" s="2">
        <v>1860</v>
      </c>
      <c r="I395" s="2">
        <v>1660</v>
      </c>
      <c r="J395" s="2">
        <v>1050</v>
      </c>
      <c r="K395" s="2">
        <v>4119</v>
      </c>
      <c r="L395" s="2">
        <v>119.8</v>
      </c>
      <c r="M395" s="2">
        <v>16.5</v>
      </c>
      <c r="N395" s="2">
        <v>112</v>
      </c>
      <c r="O395" s="2">
        <v>22.6</v>
      </c>
      <c r="P395" s="2">
        <v>1585.58</v>
      </c>
    </row>
    <row r="396" spans="1:16" x14ac:dyDescent="0.35">
      <c r="A396" s="5">
        <v>45258</v>
      </c>
      <c r="B396" s="2">
        <v>457.35</v>
      </c>
      <c r="C396" s="2">
        <v>263.2</v>
      </c>
      <c r="D396" s="2">
        <v>172.39</v>
      </c>
      <c r="E396" s="2">
        <v>342.28</v>
      </c>
      <c r="F396" s="2">
        <v>8.6</v>
      </c>
      <c r="G396" s="2">
        <v>201.35</v>
      </c>
      <c r="H396" s="2">
        <v>1852</v>
      </c>
      <c r="I396" s="2">
        <v>1632</v>
      </c>
      <c r="J396" s="2">
        <v>1010</v>
      </c>
      <c r="K396" s="2">
        <v>4100</v>
      </c>
      <c r="L396" s="2">
        <v>119.45</v>
      </c>
      <c r="M396" s="2">
        <v>16.100000000000001</v>
      </c>
      <c r="N396" s="2">
        <v>108.05</v>
      </c>
      <c r="O396" s="2">
        <v>21.97</v>
      </c>
      <c r="P396" s="2">
        <v>1556.04</v>
      </c>
    </row>
    <row r="397" spans="1:16" x14ac:dyDescent="0.35">
      <c r="A397" s="5">
        <v>45261</v>
      </c>
      <c r="B397" s="2">
        <v>458</v>
      </c>
      <c r="C397" s="2">
        <v>266</v>
      </c>
      <c r="D397" s="2">
        <v>170.42</v>
      </c>
      <c r="E397" s="2">
        <v>349.27</v>
      </c>
      <c r="F397" s="2">
        <v>8.6</v>
      </c>
      <c r="G397" s="2">
        <v>202</v>
      </c>
      <c r="H397" s="2">
        <v>1886</v>
      </c>
      <c r="I397" s="2">
        <v>1630</v>
      </c>
      <c r="J397" s="2">
        <v>995</v>
      </c>
      <c r="K397" s="2">
        <v>4000</v>
      </c>
      <c r="L397" s="2">
        <v>121.95</v>
      </c>
      <c r="M397" s="2">
        <v>14.86</v>
      </c>
      <c r="N397" s="2">
        <v>104.95</v>
      </c>
      <c r="O397" s="2">
        <v>20.5</v>
      </c>
      <c r="P397" s="2">
        <v>1506.8</v>
      </c>
    </row>
    <row r="398" spans="1:16" x14ac:dyDescent="0.35">
      <c r="A398" s="5">
        <v>45264</v>
      </c>
      <c r="B398" s="2">
        <v>455.8</v>
      </c>
      <c r="C398" s="2">
        <v>266.5</v>
      </c>
      <c r="D398" s="2">
        <v>167.46</v>
      </c>
      <c r="E398" s="2">
        <v>351.26</v>
      </c>
      <c r="F398" s="2">
        <v>8.6</v>
      </c>
      <c r="G398" s="2">
        <v>201.65</v>
      </c>
      <c r="H398" s="2">
        <v>1852</v>
      </c>
      <c r="I398" s="2">
        <v>1649</v>
      </c>
      <c r="J398" s="2">
        <v>1026</v>
      </c>
      <c r="K398" s="2">
        <v>4050</v>
      </c>
      <c r="L398" s="2">
        <v>121.85</v>
      </c>
      <c r="M398" s="2">
        <v>14.78</v>
      </c>
      <c r="N398" s="2">
        <v>105.5</v>
      </c>
      <c r="O398" s="2">
        <v>20.99</v>
      </c>
      <c r="P398" s="2">
        <v>1526.49</v>
      </c>
    </row>
    <row r="399" spans="1:16" x14ac:dyDescent="0.35">
      <c r="A399" s="5">
        <v>45268</v>
      </c>
      <c r="B399" s="2">
        <v>462.35</v>
      </c>
      <c r="C399" s="2">
        <v>270.95</v>
      </c>
      <c r="D399" s="2">
        <v>168.45</v>
      </c>
      <c r="E399" s="2">
        <v>344.28</v>
      </c>
      <c r="F399" s="2">
        <v>8.5</v>
      </c>
      <c r="G399" s="2">
        <v>201.2</v>
      </c>
      <c r="H399" s="2">
        <v>1900</v>
      </c>
      <c r="I399" s="2">
        <v>1679</v>
      </c>
      <c r="J399" s="2">
        <v>1050</v>
      </c>
      <c r="K399" s="2">
        <v>3950</v>
      </c>
      <c r="L399" s="2">
        <v>121.95</v>
      </c>
      <c r="M399" s="2">
        <v>14.87</v>
      </c>
      <c r="N399" s="2">
        <v>108.7</v>
      </c>
      <c r="O399" s="2">
        <v>20.86</v>
      </c>
      <c r="P399" s="2">
        <v>1527.48</v>
      </c>
    </row>
    <row r="400" spans="1:16" x14ac:dyDescent="0.35">
      <c r="A400" s="5">
        <v>45271</v>
      </c>
      <c r="B400" s="2">
        <v>461.05</v>
      </c>
      <c r="C400" s="2">
        <v>271.5</v>
      </c>
      <c r="D400" s="2">
        <v>168.45</v>
      </c>
      <c r="E400" s="2">
        <v>344.28</v>
      </c>
      <c r="F400" s="2">
        <v>8.6999999999999993</v>
      </c>
      <c r="G400" s="2">
        <v>200.2</v>
      </c>
      <c r="H400" s="2">
        <v>1955</v>
      </c>
      <c r="I400" s="2">
        <v>1679</v>
      </c>
      <c r="J400" s="2">
        <v>1080</v>
      </c>
      <c r="K400" s="2">
        <v>4132</v>
      </c>
      <c r="L400" s="2">
        <v>121.9</v>
      </c>
      <c r="M400" s="2">
        <v>14.84</v>
      </c>
      <c r="N400" s="2">
        <v>107.3</v>
      </c>
      <c r="O400" s="2">
        <v>20.69</v>
      </c>
      <c r="P400" s="2">
        <v>1527.48</v>
      </c>
    </row>
    <row r="401" spans="1:16" x14ac:dyDescent="0.35">
      <c r="A401" s="5">
        <v>45272</v>
      </c>
      <c r="B401" s="2">
        <v>463</v>
      </c>
      <c r="C401" s="2">
        <v>272</v>
      </c>
      <c r="D401" s="2">
        <v>167.96</v>
      </c>
      <c r="E401" s="2">
        <v>346.32</v>
      </c>
      <c r="F401" s="2">
        <v>8.6999999999999993</v>
      </c>
      <c r="G401" s="2">
        <v>202</v>
      </c>
      <c r="H401" s="2">
        <v>1910</v>
      </c>
      <c r="I401" s="2">
        <v>1695</v>
      </c>
      <c r="J401" s="2">
        <v>1100</v>
      </c>
      <c r="K401" s="2">
        <v>4100</v>
      </c>
      <c r="L401" s="2">
        <v>121</v>
      </c>
      <c r="M401" s="2">
        <v>14.78</v>
      </c>
      <c r="N401" s="2">
        <v>107.6</v>
      </c>
      <c r="O401" s="2">
        <v>20.67</v>
      </c>
      <c r="P401" s="2">
        <v>1536.34</v>
      </c>
    </row>
    <row r="402" spans="1:16" x14ac:dyDescent="0.35">
      <c r="A402" s="5">
        <v>45273</v>
      </c>
      <c r="B402" s="2">
        <v>468.15</v>
      </c>
      <c r="C402" s="2">
        <v>274.05</v>
      </c>
      <c r="D402" s="2">
        <v>168.84</v>
      </c>
      <c r="E402" s="2">
        <v>353.26</v>
      </c>
      <c r="F402" s="2">
        <v>8.75</v>
      </c>
      <c r="G402" s="2">
        <v>201</v>
      </c>
      <c r="H402" s="2">
        <v>1959</v>
      </c>
      <c r="I402" s="2">
        <v>1700</v>
      </c>
      <c r="J402" s="2">
        <v>1100</v>
      </c>
      <c r="K402" s="2">
        <v>4050</v>
      </c>
      <c r="L402" s="2">
        <v>121</v>
      </c>
      <c r="M402" s="2">
        <v>14.9</v>
      </c>
      <c r="N402" s="2">
        <v>108</v>
      </c>
      <c r="O402" s="2">
        <v>20.8</v>
      </c>
      <c r="P402" s="2">
        <v>1575.74</v>
      </c>
    </row>
    <row r="403" spans="1:16" x14ac:dyDescent="0.35">
      <c r="A403" s="5">
        <v>45274</v>
      </c>
      <c r="B403" s="2">
        <v>469.85</v>
      </c>
      <c r="C403" s="2">
        <v>276</v>
      </c>
      <c r="D403" s="2">
        <v>169.43</v>
      </c>
      <c r="E403" s="2">
        <v>359.25</v>
      </c>
      <c r="F403" s="2">
        <v>8.9</v>
      </c>
      <c r="G403" s="2">
        <v>202.95</v>
      </c>
      <c r="H403" s="2">
        <v>1950</v>
      </c>
      <c r="I403" s="2">
        <v>1700</v>
      </c>
      <c r="J403" s="2">
        <v>1090</v>
      </c>
      <c r="K403" s="2">
        <v>4171</v>
      </c>
      <c r="L403" s="2">
        <v>121</v>
      </c>
      <c r="M403" s="2">
        <v>15.1</v>
      </c>
      <c r="N403" s="2">
        <v>112.95</v>
      </c>
      <c r="O403" s="2">
        <v>21.4</v>
      </c>
      <c r="P403" s="2">
        <v>1556.04</v>
      </c>
    </row>
    <row r="404" spans="1:16" x14ac:dyDescent="0.35">
      <c r="A404" s="5">
        <v>45275</v>
      </c>
      <c r="B404" s="2">
        <v>467</v>
      </c>
      <c r="C404" s="2">
        <v>275.3</v>
      </c>
      <c r="D404" s="2">
        <v>174.36</v>
      </c>
      <c r="E404" s="2">
        <v>358.25</v>
      </c>
      <c r="F404" s="2">
        <v>8.9</v>
      </c>
      <c r="G404" s="2">
        <v>200</v>
      </c>
      <c r="H404" s="2">
        <v>1950</v>
      </c>
      <c r="I404" s="2">
        <v>1707</v>
      </c>
      <c r="J404" s="2">
        <v>1098</v>
      </c>
      <c r="K404" s="2">
        <v>4000</v>
      </c>
      <c r="L404" s="2">
        <v>124</v>
      </c>
      <c r="M404" s="2">
        <v>14.95</v>
      </c>
      <c r="N404" s="2">
        <v>114.4</v>
      </c>
      <c r="O404" s="2">
        <v>21.6</v>
      </c>
      <c r="P404" s="2">
        <v>1526.49</v>
      </c>
    </row>
    <row r="405" spans="1:16" x14ac:dyDescent="0.35">
      <c r="A405" s="5">
        <v>45279</v>
      </c>
      <c r="B405" s="2">
        <v>470</v>
      </c>
      <c r="C405" s="2">
        <v>277</v>
      </c>
      <c r="D405" s="2">
        <v>176.28</v>
      </c>
      <c r="E405" s="2">
        <v>358.25</v>
      </c>
      <c r="F405" s="2">
        <v>8.4499999999999993</v>
      </c>
      <c r="G405" s="2">
        <v>200.1</v>
      </c>
      <c r="H405" s="2">
        <v>1960</v>
      </c>
      <c r="I405" s="2">
        <v>1705</v>
      </c>
      <c r="J405" s="2">
        <v>1082</v>
      </c>
      <c r="K405" s="2">
        <v>4080</v>
      </c>
      <c r="L405" s="2">
        <v>125</v>
      </c>
      <c r="M405" s="2">
        <v>15.03</v>
      </c>
      <c r="N405" s="2">
        <v>117</v>
      </c>
      <c r="O405" s="2">
        <v>21.9</v>
      </c>
      <c r="P405" s="2">
        <v>1569.83</v>
      </c>
    </row>
    <row r="406" spans="1:16" x14ac:dyDescent="0.35">
      <c r="A406" s="5">
        <v>45280</v>
      </c>
      <c r="B406" s="2">
        <v>469.5</v>
      </c>
      <c r="C406" s="2">
        <v>277.05</v>
      </c>
      <c r="D406" s="2">
        <v>179.28</v>
      </c>
      <c r="E406" s="2">
        <v>358.25</v>
      </c>
      <c r="F406" s="2">
        <v>8.5</v>
      </c>
      <c r="G406" s="2">
        <v>200.1</v>
      </c>
      <c r="H406" s="2">
        <v>1950</v>
      </c>
      <c r="I406" s="2">
        <v>1710</v>
      </c>
      <c r="J406" s="2">
        <v>1082</v>
      </c>
      <c r="K406" s="2">
        <v>4080</v>
      </c>
      <c r="L406" s="2">
        <v>124.9</v>
      </c>
      <c r="M406" s="2">
        <v>14.93</v>
      </c>
      <c r="N406" s="2">
        <v>116</v>
      </c>
      <c r="O406" s="2">
        <v>21.99</v>
      </c>
      <c r="P406" s="2">
        <v>1611.19</v>
      </c>
    </row>
    <row r="407" spans="1:16" x14ac:dyDescent="0.35">
      <c r="A407" s="5">
        <v>45281</v>
      </c>
      <c r="B407" s="2">
        <v>468</v>
      </c>
      <c r="C407" s="2">
        <v>276</v>
      </c>
      <c r="D407" s="2">
        <v>181.25</v>
      </c>
      <c r="E407" s="2">
        <v>350.81</v>
      </c>
      <c r="F407" s="2">
        <v>8.5</v>
      </c>
      <c r="G407" s="2">
        <v>202</v>
      </c>
      <c r="H407" s="2">
        <v>1911</v>
      </c>
      <c r="I407" s="2">
        <v>1705</v>
      </c>
      <c r="J407" s="2">
        <v>1082</v>
      </c>
      <c r="K407" s="2">
        <v>4050</v>
      </c>
      <c r="L407" s="2">
        <v>124.95</v>
      </c>
      <c r="M407" s="2">
        <v>14.7</v>
      </c>
      <c r="N407" s="2">
        <v>114.9</v>
      </c>
      <c r="O407" s="2">
        <v>21.5</v>
      </c>
      <c r="P407" s="2">
        <v>1624.98</v>
      </c>
    </row>
    <row r="408" spans="1:16" x14ac:dyDescent="0.35">
      <c r="A408" s="5">
        <v>45282</v>
      </c>
      <c r="B408" s="2">
        <v>468</v>
      </c>
      <c r="C408" s="2">
        <v>277</v>
      </c>
      <c r="D408" s="2">
        <v>180.27</v>
      </c>
      <c r="E408" s="2">
        <v>353.16</v>
      </c>
      <c r="F408" s="2">
        <v>8.5</v>
      </c>
      <c r="G408" s="2">
        <v>200</v>
      </c>
      <c r="H408" s="2">
        <v>1951</v>
      </c>
      <c r="I408" s="2">
        <v>1719</v>
      </c>
      <c r="J408" s="2">
        <v>1065</v>
      </c>
      <c r="K408" s="2">
        <v>4000</v>
      </c>
      <c r="L408" s="2">
        <v>124.95</v>
      </c>
      <c r="M408" s="2">
        <v>14.6</v>
      </c>
      <c r="N408" s="2">
        <v>115</v>
      </c>
      <c r="O408" s="2">
        <v>21.1</v>
      </c>
      <c r="P408" s="2">
        <v>1646.64</v>
      </c>
    </row>
    <row r="409" spans="1:16" x14ac:dyDescent="0.35">
      <c r="A409" s="5">
        <v>45287</v>
      </c>
      <c r="B409" s="2">
        <v>462</v>
      </c>
      <c r="C409" s="2">
        <v>274</v>
      </c>
      <c r="D409" s="2">
        <v>181.25</v>
      </c>
      <c r="E409" s="2">
        <v>349.77</v>
      </c>
      <c r="F409" s="2">
        <v>8.5</v>
      </c>
      <c r="G409" s="2">
        <v>199</v>
      </c>
      <c r="H409" s="2">
        <v>1940</v>
      </c>
      <c r="I409" s="2">
        <v>1705</v>
      </c>
      <c r="J409" s="2">
        <v>1080</v>
      </c>
      <c r="K409" s="2">
        <v>4095</v>
      </c>
      <c r="L409" s="2">
        <v>127</v>
      </c>
      <c r="M409" s="2">
        <v>14.34</v>
      </c>
      <c r="N409" s="2">
        <v>113.9</v>
      </c>
      <c r="O409" s="2">
        <v>21.15</v>
      </c>
      <c r="P409" s="2">
        <v>1693.92</v>
      </c>
    </row>
    <row r="410" spans="1:16" x14ac:dyDescent="0.35">
      <c r="A410" s="5">
        <v>45288</v>
      </c>
      <c r="B410" s="2">
        <v>464</v>
      </c>
      <c r="C410" s="2">
        <v>274.05</v>
      </c>
      <c r="D410" s="2">
        <v>180.27</v>
      </c>
      <c r="E410" s="2">
        <v>319.33</v>
      </c>
      <c r="F410" s="2">
        <v>8.5</v>
      </c>
      <c r="G410" s="2">
        <v>196.5</v>
      </c>
      <c r="H410" s="2">
        <v>1920</v>
      </c>
      <c r="I410" s="2">
        <v>1535</v>
      </c>
      <c r="J410" s="2">
        <v>1100</v>
      </c>
      <c r="K410" s="2">
        <v>4000</v>
      </c>
      <c r="L410" s="2">
        <v>127</v>
      </c>
      <c r="M410" s="2">
        <v>14.3</v>
      </c>
      <c r="N410" s="2">
        <v>115</v>
      </c>
      <c r="O410" s="2">
        <v>21.75</v>
      </c>
      <c r="P410" s="2">
        <v>1703.76</v>
      </c>
    </row>
    <row r="411" spans="1:16" x14ac:dyDescent="0.35">
      <c r="A411" s="5">
        <v>45289</v>
      </c>
      <c r="B411" s="2">
        <v>460</v>
      </c>
      <c r="C411" s="2">
        <v>275</v>
      </c>
      <c r="D411" s="2">
        <v>176.82</v>
      </c>
      <c r="E411" s="2">
        <v>350.81</v>
      </c>
      <c r="F411" s="2">
        <v>8.5</v>
      </c>
      <c r="G411" s="2">
        <v>195</v>
      </c>
      <c r="H411" s="2">
        <v>1920</v>
      </c>
      <c r="I411" s="2">
        <v>1680</v>
      </c>
      <c r="J411" s="2">
        <v>1100</v>
      </c>
      <c r="K411" s="2">
        <v>4000</v>
      </c>
      <c r="L411" s="2">
        <v>127</v>
      </c>
      <c r="M411" s="2">
        <v>14.33</v>
      </c>
      <c r="N411" s="2">
        <v>115.5</v>
      </c>
      <c r="O411" s="2">
        <v>21.7</v>
      </c>
      <c r="P411" s="2">
        <v>1733.31</v>
      </c>
    </row>
    <row r="412" spans="1:16" x14ac:dyDescent="0.35">
      <c r="A412" s="5">
        <v>45294</v>
      </c>
      <c r="B412" s="2">
        <v>465.2</v>
      </c>
      <c r="C412" s="2">
        <v>275</v>
      </c>
      <c r="D412" s="2">
        <v>177.31</v>
      </c>
      <c r="E412" s="2">
        <v>346.77</v>
      </c>
      <c r="F412" s="2">
        <v>8.8000000000000007</v>
      </c>
      <c r="G412" s="2">
        <v>200</v>
      </c>
      <c r="H412" s="2">
        <v>1950</v>
      </c>
      <c r="I412" s="2">
        <v>1681</v>
      </c>
      <c r="J412" s="2">
        <v>1135</v>
      </c>
      <c r="K412" s="2">
        <v>4000</v>
      </c>
      <c r="L412" s="2">
        <v>125</v>
      </c>
      <c r="M412" s="2">
        <v>15.15</v>
      </c>
      <c r="N412" s="2">
        <v>130</v>
      </c>
      <c r="O412" s="2">
        <v>22.48</v>
      </c>
      <c r="P412" s="2">
        <v>1844.6</v>
      </c>
    </row>
    <row r="413" spans="1:16" x14ac:dyDescent="0.35">
      <c r="A413" s="5">
        <v>45295</v>
      </c>
      <c r="B413" s="2">
        <v>467.6</v>
      </c>
      <c r="C413" s="2">
        <v>276</v>
      </c>
      <c r="D413" s="2">
        <v>177.31</v>
      </c>
      <c r="E413" s="2">
        <v>349.27</v>
      </c>
      <c r="F413" s="2">
        <v>8.8000000000000007</v>
      </c>
      <c r="G413" s="2">
        <v>196.35</v>
      </c>
      <c r="H413" s="2">
        <v>1969</v>
      </c>
      <c r="I413" s="2">
        <v>1677</v>
      </c>
      <c r="J413" s="2">
        <v>1168</v>
      </c>
      <c r="K413" s="2">
        <v>4000</v>
      </c>
      <c r="L413" s="2">
        <v>126.95</v>
      </c>
      <c r="M413" s="2">
        <v>15.1</v>
      </c>
      <c r="N413" s="2">
        <v>139.25</v>
      </c>
      <c r="O413" s="2">
        <v>22.55</v>
      </c>
      <c r="P413" s="2">
        <v>1875.13</v>
      </c>
    </row>
    <row r="414" spans="1:16" x14ac:dyDescent="0.35">
      <c r="A414" s="5">
        <v>45296</v>
      </c>
      <c r="B414" s="2">
        <v>470</v>
      </c>
      <c r="C414" s="2">
        <v>279.95</v>
      </c>
      <c r="D414" s="2">
        <v>179.28</v>
      </c>
      <c r="E414" s="2">
        <v>346.77</v>
      </c>
      <c r="F414" s="2">
        <v>8.8000000000000007</v>
      </c>
      <c r="G414" s="2">
        <v>197</v>
      </c>
      <c r="H414" s="2">
        <v>1980</v>
      </c>
      <c r="I414" s="2">
        <v>1701</v>
      </c>
      <c r="J414" s="2">
        <v>1178</v>
      </c>
      <c r="K414" s="2">
        <v>4100</v>
      </c>
      <c r="L414" s="2">
        <v>125</v>
      </c>
      <c r="M414" s="2">
        <v>15.75</v>
      </c>
      <c r="N414" s="2">
        <v>141</v>
      </c>
      <c r="O414" s="2">
        <v>22.73</v>
      </c>
      <c r="P414" s="2">
        <v>1900.73</v>
      </c>
    </row>
    <row r="415" spans="1:16" x14ac:dyDescent="0.35">
      <c r="A415" s="5">
        <v>45299</v>
      </c>
      <c r="B415" s="2">
        <v>470</v>
      </c>
      <c r="C415" s="2">
        <v>280</v>
      </c>
      <c r="D415" s="2">
        <v>180.17</v>
      </c>
      <c r="E415" s="2">
        <v>341.78</v>
      </c>
      <c r="F415" s="2">
        <v>8.8000000000000007</v>
      </c>
      <c r="G415" s="2">
        <v>195.5</v>
      </c>
      <c r="H415" s="2">
        <v>1994</v>
      </c>
      <c r="I415" s="2">
        <v>1717</v>
      </c>
      <c r="J415" s="2">
        <v>1200</v>
      </c>
      <c r="K415" s="2">
        <v>4000</v>
      </c>
      <c r="L415" s="2">
        <v>125</v>
      </c>
      <c r="M415" s="2">
        <v>16.489999999999998</v>
      </c>
      <c r="N415" s="2">
        <v>143.65</v>
      </c>
      <c r="O415" s="2">
        <v>24.75</v>
      </c>
      <c r="P415" s="2">
        <v>1889.9</v>
      </c>
    </row>
    <row r="416" spans="1:16" x14ac:dyDescent="0.35">
      <c r="A416" s="5">
        <v>45301</v>
      </c>
      <c r="B416" s="2">
        <v>476</v>
      </c>
      <c r="C416" s="2">
        <v>284.5</v>
      </c>
      <c r="D416" s="2">
        <v>180.66</v>
      </c>
      <c r="E416" s="2">
        <v>343.28</v>
      </c>
      <c r="F416" s="2">
        <v>9.15</v>
      </c>
      <c r="G416" s="2">
        <v>199</v>
      </c>
      <c r="H416" s="2">
        <v>1994</v>
      </c>
      <c r="I416" s="2">
        <v>1720</v>
      </c>
      <c r="J416" s="2">
        <v>1227</v>
      </c>
      <c r="K416" s="2">
        <v>4190</v>
      </c>
      <c r="L416" s="2">
        <v>124</v>
      </c>
      <c r="M416" s="2">
        <v>16.2</v>
      </c>
      <c r="N416" s="2">
        <v>141</v>
      </c>
      <c r="O416" s="2">
        <v>24.5</v>
      </c>
      <c r="P416" s="2">
        <v>1846.57</v>
      </c>
    </row>
    <row r="417" spans="1:16" x14ac:dyDescent="0.35">
      <c r="A417" s="5">
        <v>45303</v>
      </c>
      <c r="B417" s="2">
        <v>480</v>
      </c>
      <c r="C417" s="2">
        <v>285</v>
      </c>
      <c r="D417" s="2">
        <v>181.25</v>
      </c>
      <c r="E417" s="2">
        <v>339.29</v>
      </c>
      <c r="F417" s="2">
        <v>9.25</v>
      </c>
      <c r="G417" s="2">
        <v>195</v>
      </c>
      <c r="H417" s="2">
        <v>2000</v>
      </c>
      <c r="I417" s="2">
        <v>1724</v>
      </c>
      <c r="J417" s="2">
        <v>1229</v>
      </c>
      <c r="K417" s="2">
        <v>4199</v>
      </c>
      <c r="L417" s="2">
        <v>124</v>
      </c>
      <c r="M417" s="2">
        <v>16</v>
      </c>
      <c r="N417" s="2">
        <v>137</v>
      </c>
      <c r="O417" s="2">
        <v>24</v>
      </c>
      <c r="P417" s="2">
        <v>1871.19</v>
      </c>
    </row>
    <row r="418" spans="1:16" x14ac:dyDescent="0.35">
      <c r="A418" s="5">
        <v>45307</v>
      </c>
      <c r="B418" s="2">
        <v>478</v>
      </c>
      <c r="C418" s="2">
        <v>285</v>
      </c>
      <c r="D418" s="2">
        <v>179.78</v>
      </c>
      <c r="E418" s="2">
        <v>339.29</v>
      </c>
      <c r="F418" s="2">
        <v>9.25</v>
      </c>
      <c r="G418" s="2">
        <v>197</v>
      </c>
      <c r="H418" s="2">
        <v>2074</v>
      </c>
      <c r="I418" s="2">
        <v>1716</v>
      </c>
      <c r="J418" s="2">
        <v>1227</v>
      </c>
      <c r="K418" s="2">
        <v>4150</v>
      </c>
      <c r="L418" s="2">
        <v>125</v>
      </c>
      <c r="M418" s="2">
        <v>15.72</v>
      </c>
      <c r="N418" s="2">
        <v>139.5</v>
      </c>
      <c r="O418" s="2">
        <v>23.61</v>
      </c>
      <c r="P418" s="2">
        <v>1848.54</v>
      </c>
    </row>
    <row r="419" spans="1:16" x14ac:dyDescent="0.35">
      <c r="A419" s="5">
        <v>45308</v>
      </c>
      <c r="B419" s="2">
        <v>481.2</v>
      </c>
      <c r="C419" s="2">
        <v>285</v>
      </c>
      <c r="D419" s="2">
        <v>181.45</v>
      </c>
      <c r="E419" s="2">
        <v>339.29</v>
      </c>
      <c r="F419" s="2">
        <v>9.25</v>
      </c>
      <c r="G419" s="2">
        <v>193.2</v>
      </c>
      <c r="H419" s="2">
        <v>2070</v>
      </c>
      <c r="I419" s="2">
        <v>1730</v>
      </c>
      <c r="J419" s="2">
        <v>1250</v>
      </c>
      <c r="K419" s="2">
        <v>4200</v>
      </c>
      <c r="L419" s="2">
        <v>122.5</v>
      </c>
      <c r="M419" s="2">
        <v>16.3</v>
      </c>
      <c r="N419" s="2">
        <v>147</v>
      </c>
      <c r="O419" s="2">
        <v>24.25</v>
      </c>
      <c r="P419" s="2">
        <v>1831.79</v>
      </c>
    </row>
    <row r="420" spans="1:16" x14ac:dyDescent="0.35">
      <c r="A420" s="5">
        <v>45309</v>
      </c>
      <c r="B420" s="2">
        <v>486</v>
      </c>
      <c r="C420" s="2">
        <v>292</v>
      </c>
      <c r="D420" s="2">
        <v>184.11</v>
      </c>
      <c r="E420" s="2">
        <v>337.79</v>
      </c>
      <c r="F420" s="2">
        <v>9.4499999999999993</v>
      </c>
      <c r="G420" s="2">
        <v>194.5</v>
      </c>
      <c r="H420" s="2">
        <v>2059</v>
      </c>
      <c r="I420" s="2">
        <v>1691</v>
      </c>
      <c r="J420" s="2">
        <v>1250</v>
      </c>
      <c r="K420" s="2">
        <v>4150</v>
      </c>
      <c r="L420" s="2">
        <v>124.9</v>
      </c>
      <c r="M420" s="2">
        <v>16.8</v>
      </c>
      <c r="N420" s="2">
        <v>155</v>
      </c>
      <c r="O420" s="2">
        <v>25</v>
      </c>
      <c r="P420" s="2">
        <v>1846.57</v>
      </c>
    </row>
    <row r="421" spans="1:16" x14ac:dyDescent="0.35">
      <c r="A421" s="5">
        <v>45310</v>
      </c>
      <c r="B421" s="2">
        <v>486.55</v>
      </c>
      <c r="C421" s="2">
        <v>293</v>
      </c>
      <c r="D421" s="2">
        <v>189.63</v>
      </c>
      <c r="E421" s="2">
        <v>334.75</v>
      </c>
      <c r="F421" s="2">
        <v>9.4499999999999993</v>
      </c>
      <c r="G421" s="2">
        <v>195</v>
      </c>
      <c r="H421" s="2">
        <v>2027</v>
      </c>
      <c r="I421" s="2">
        <v>1728</v>
      </c>
      <c r="J421" s="2">
        <v>1250</v>
      </c>
      <c r="K421" s="2">
        <v>4100</v>
      </c>
      <c r="L421" s="2">
        <v>122.1</v>
      </c>
      <c r="M421" s="2">
        <v>16.89</v>
      </c>
      <c r="N421" s="2">
        <v>152.9</v>
      </c>
      <c r="O421" s="2">
        <v>25</v>
      </c>
      <c r="P421" s="2">
        <v>1821.94</v>
      </c>
    </row>
    <row r="422" spans="1:16" x14ac:dyDescent="0.35">
      <c r="A422" s="5">
        <v>45314</v>
      </c>
      <c r="B422" s="2">
        <v>485.1</v>
      </c>
      <c r="C422" s="2">
        <v>294.2</v>
      </c>
      <c r="D422" s="2">
        <v>190.76</v>
      </c>
      <c r="E422" s="2">
        <v>332.4</v>
      </c>
      <c r="F422" s="2">
        <v>9.35</v>
      </c>
      <c r="G422" s="2">
        <v>195</v>
      </c>
      <c r="H422" s="2">
        <v>2050</v>
      </c>
      <c r="I422" s="2">
        <v>1750</v>
      </c>
      <c r="J422" s="2">
        <v>1265</v>
      </c>
      <c r="K422" s="2">
        <v>4100</v>
      </c>
      <c r="L422" s="2">
        <v>123.7</v>
      </c>
      <c r="M422" s="2">
        <v>16.61</v>
      </c>
      <c r="N422" s="2">
        <v>156</v>
      </c>
      <c r="O422" s="2">
        <v>27.94</v>
      </c>
      <c r="P422" s="2">
        <v>1840.66</v>
      </c>
    </row>
    <row r="423" spans="1:16" x14ac:dyDescent="0.35">
      <c r="A423" s="5">
        <v>45315</v>
      </c>
      <c r="B423" s="2">
        <v>485</v>
      </c>
      <c r="C423" s="2">
        <v>294</v>
      </c>
      <c r="D423" s="2">
        <v>190.61</v>
      </c>
      <c r="E423" s="2">
        <v>335.25</v>
      </c>
      <c r="F423" s="2">
        <v>9.6</v>
      </c>
      <c r="G423" s="2">
        <v>195</v>
      </c>
      <c r="H423" s="2">
        <v>2045</v>
      </c>
      <c r="I423" s="2">
        <v>1720</v>
      </c>
      <c r="J423" s="2">
        <v>1251</v>
      </c>
      <c r="K423" s="2">
        <v>4101</v>
      </c>
      <c r="L423" s="2">
        <v>124.4</v>
      </c>
      <c r="M423" s="2">
        <v>16.64</v>
      </c>
      <c r="N423" s="2">
        <v>156</v>
      </c>
      <c r="O423" s="2">
        <v>28.35</v>
      </c>
      <c r="P423" s="2">
        <v>1792.4</v>
      </c>
    </row>
    <row r="424" spans="1:16" x14ac:dyDescent="0.35">
      <c r="A424" s="5">
        <v>45317</v>
      </c>
      <c r="B424" s="2">
        <v>484</v>
      </c>
      <c r="C424" s="2">
        <v>288</v>
      </c>
      <c r="D424" s="2">
        <v>192.58</v>
      </c>
      <c r="E424" s="2">
        <v>332.3</v>
      </c>
      <c r="F424" s="2">
        <v>9.4499999999999993</v>
      </c>
      <c r="G424" s="2">
        <v>188</v>
      </c>
      <c r="H424" s="2">
        <v>2010</v>
      </c>
      <c r="I424" s="2">
        <v>1710</v>
      </c>
      <c r="J424" s="2">
        <v>1228</v>
      </c>
      <c r="K424" s="2">
        <v>4110</v>
      </c>
      <c r="L424" s="2">
        <v>125</v>
      </c>
      <c r="M424" s="2">
        <v>16.3</v>
      </c>
      <c r="N424" s="2">
        <v>153</v>
      </c>
      <c r="O424" s="2">
        <v>28.12</v>
      </c>
      <c r="P424" s="2">
        <v>1851.49</v>
      </c>
    </row>
    <row r="425" spans="1:16" x14ac:dyDescent="0.35">
      <c r="A425" s="5">
        <v>45320</v>
      </c>
      <c r="B425" s="2">
        <v>480.5</v>
      </c>
      <c r="C425" s="2">
        <v>288</v>
      </c>
      <c r="D425" s="2">
        <v>190.12</v>
      </c>
      <c r="E425" s="2">
        <v>335.3</v>
      </c>
      <c r="F425" s="2">
        <v>8.8000000000000007</v>
      </c>
      <c r="G425" s="2">
        <v>189</v>
      </c>
      <c r="H425" s="2">
        <v>2000</v>
      </c>
      <c r="I425" s="2">
        <v>1700</v>
      </c>
      <c r="J425" s="2">
        <v>1216</v>
      </c>
      <c r="K425" s="2">
        <v>4150</v>
      </c>
      <c r="L425" s="2">
        <v>125.85</v>
      </c>
      <c r="M425" s="2">
        <v>16.010000000000002</v>
      </c>
      <c r="N425" s="2">
        <v>150.6</v>
      </c>
      <c r="O425" s="2">
        <v>27.8</v>
      </c>
      <c r="P425" s="2">
        <v>1811.11</v>
      </c>
    </row>
    <row r="426" spans="1:16" x14ac:dyDescent="0.35">
      <c r="A426" s="5">
        <v>45321</v>
      </c>
      <c r="B426" s="2">
        <v>482</v>
      </c>
      <c r="C426" s="2">
        <v>286</v>
      </c>
      <c r="D426" s="2">
        <v>190.12</v>
      </c>
      <c r="E426" s="2">
        <v>335.3</v>
      </c>
      <c r="F426" s="2">
        <v>8.6999999999999993</v>
      </c>
      <c r="G426" s="2">
        <v>187</v>
      </c>
      <c r="H426" s="2">
        <v>1940</v>
      </c>
      <c r="I426" s="2">
        <v>1720</v>
      </c>
      <c r="J426" s="2">
        <v>1200</v>
      </c>
      <c r="K426" s="2">
        <v>4400</v>
      </c>
      <c r="L426" s="2">
        <v>124.65</v>
      </c>
      <c r="M426" s="2">
        <v>16</v>
      </c>
      <c r="N426" s="2">
        <v>154.5</v>
      </c>
      <c r="O426" s="2">
        <v>28</v>
      </c>
      <c r="P426" s="2">
        <v>1773.69</v>
      </c>
    </row>
    <row r="427" spans="1:16" x14ac:dyDescent="0.35">
      <c r="A427" s="5">
        <v>45323</v>
      </c>
      <c r="B427" s="2">
        <v>485</v>
      </c>
      <c r="C427" s="2">
        <v>286</v>
      </c>
      <c r="D427" s="2">
        <v>190.12</v>
      </c>
      <c r="E427" s="2">
        <v>335.3</v>
      </c>
      <c r="F427" s="2">
        <v>8.6</v>
      </c>
      <c r="G427" s="2">
        <v>187.95</v>
      </c>
      <c r="H427" s="2">
        <v>1960</v>
      </c>
      <c r="I427" s="2">
        <v>1705</v>
      </c>
      <c r="J427" s="2">
        <v>1195</v>
      </c>
      <c r="K427" s="2">
        <v>4348</v>
      </c>
      <c r="L427" s="2">
        <v>125</v>
      </c>
      <c r="M427" s="2">
        <v>15.97</v>
      </c>
      <c r="N427" s="2">
        <v>156</v>
      </c>
      <c r="O427" s="2">
        <v>28.5</v>
      </c>
      <c r="P427" s="2">
        <v>1776.64</v>
      </c>
    </row>
    <row r="428" spans="1:16" x14ac:dyDescent="0.35">
      <c r="A428" s="5">
        <v>45324</v>
      </c>
      <c r="B428" s="2">
        <v>485</v>
      </c>
      <c r="C428" s="2">
        <v>287</v>
      </c>
      <c r="D428" s="2">
        <v>190.12</v>
      </c>
      <c r="E428" s="2">
        <v>332.35</v>
      </c>
      <c r="F428" s="2">
        <v>8.6</v>
      </c>
      <c r="G428" s="2">
        <v>190</v>
      </c>
      <c r="H428" s="2">
        <v>1980</v>
      </c>
      <c r="I428" s="2">
        <v>1703</v>
      </c>
      <c r="J428" s="2">
        <v>1195</v>
      </c>
      <c r="K428" s="2">
        <v>4144</v>
      </c>
      <c r="L428" s="2">
        <v>125.5</v>
      </c>
      <c r="M428" s="2">
        <v>15.94</v>
      </c>
      <c r="N428" s="2">
        <v>153.80000000000001</v>
      </c>
      <c r="O428" s="2">
        <v>26.9</v>
      </c>
      <c r="P428" s="2">
        <v>1792.4</v>
      </c>
    </row>
    <row r="429" spans="1:16" x14ac:dyDescent="0.35">
      <c r="A429" s="5">
        <v>45328</v>
      </c>
      <c r="B429" s="2">
        <v>494</v>
      </c>
      <c r="C429" s="2">
        <v>290.05</v>
      </c>
      <c r="D429" s="2">
        <v>192.58</v>
      </c>
      <c r="E429" s="2">
        <v>339.29</v>
      </c>
      <c r="F429" s="2">
        <v>8.4499999999999993</v>
      </c>
      <c r="G429" s="2">
        <v>190</v>
      </c>
      <c r="H429" s="2">
        <v>1989</v>
      </c>
      <c r="I429" s="2">
        <v>1690</v>
      </c>
      <c r="J429" s="2">
        <v>1190</v>
      </c>
      <c r="K429" s="2">
        <v>4268</v>
      </c>
      <c r="L429" s="2">
        <v>124.95</v>
      </c>
      <c r="M429" s="2">
        <v>16</v>
      </c>
      <c r="N429" s="2">
        <v>154</v>
      </c>
      <c r="O429" s="2">
        <v>27.7</v>
      </c>
      <c r="P429" s="2">
        <v>1818.99</v>
      </c>
    </row>
    <row r="430" spans="1:16" x14ac:dyDescent="0.35">
      <c r="A430" s="5">
        <v>45329</v>
      </c>
      <c r="B430" s="2">
        <v>492.6</v>
      </c>
      <c r="C430" s="2">
        <v>290.3</v>
      </c>
      <c r="D430" s="2">
        <v>195.04</v>
      </c>
      <c r="E430" s="2">
        <v>341.28</v>
      </c>
      <c r="F430" s="2">
        <v>8.35</v>
      </c>
      <c r="G430" s="2">
        <v>190</v>
      </c>
      <c r="H430" s="2">
        <v>1985</v>
      </c>
      <c r="I430" s="2">
        <v>1700</v>
      </c>
      <c r="J430" s="2">
        <v>1195</v>
      </c>
      <c r="K430" s="2">
        <v>4140</v>
      </c>
      <c r="L430" s="2">
        <v>124</v>
      </c>
      <c r="M430" s="2">
        <v>16.3</v>
      </c>
      <c r="N430" s="2">
        <v>156.5</v>
      </c>
      <c r="O430" s="2">
        <v>27</v>
      </c>
      <c r="P430" s="2">
        <v>1788.46</v>
      </c>
    </row>
    <row r="431" spans="1:16" x14ac:dyDescent="0.35">
      <c r="A431" s="5">
        <v>45331</v>
      </c>
      <c r="B431" s="2">
        <v>504.5</v>
      </c>
      <c r="C431" s="2">
        <v>295</v>
      </c>
      <c r="D431" s="2">
        <v>192.09</v>
      </c>
      <c r="E431" s="2">
        <v>351.26</v>
      </c>
      <c r="F431" s="2">
        <v>8.4</v>
      </c>
      <c r="G431" s="2">
        <v>187</v>
      </c>
      <c r="H431" s="2">
        <v>2010</v>
      </c>
      <c r="I431" s="2">
        <v>1720</v>
      </c>
      <c r="J431" s="2">
        <v>1198</v>
      </c>
      <c r="K431" s="2">
        <v>4200</v>
      </c>
      <c r="L431" s="2">
        <v>123</v>
      </c>
      <c r="M431" s="2">
        <v>16.3</v>
      </c>
      <c r="N431" s="2">
        <v>157</v>
      </c>
      <c r="O431" s="2">
        <v>26.55</v>
      </c>
      <c r="P431" s="2">
        <v>1793.38</v>
      </c>
    </row>
    <row r="432" spans="1:16" x14ac:dyDescent="0.35">
      <c r="A432" s="5">
        <v>45334</v>
      </c>
      <c r="B432" s="2">
        <v>502</v>
      </c>
      <c r="C432" s="2">
        <v>295.5</v>
      </c>
      <c r="D432" s="2">
        <v>198.99</v>
      </c>
      <c r="E432" s="2">
        <v>349.27</v>
      </c>
      <c r="F432" s="2">
        <v>8.6</v>
      </c>
      <c r="G432" s="2">
        <v>187</v>
      </c>
      <c r="H432" s="2">
        <v>2010</v>
      </c>
      <c r="I432" s="2">
        <v>1721</v>
      </c>
      <c r="J432" s="2">
        <v>1198</v>
      </c>
      <c r="K432" s="2">
        <v>4200</v>
      </c>
      <c r="L432" s="2">
        <v>123</v>
      </c>
      <c r="M432" s="2">
        <v>16.13</v>
      </c>
      <c r="N432" s="2">
        <v>156</v>
      </c>
      <c r="O432" s="2">
        <v>25.3</v>
      </c>
      <c r="P432" s="2">
        <v>1801.26</v>
      </c>
    </row>
    <row r="433" spans="1:16" x14ac:dyDescent="0.35">
      <c r="A433" s="5">
        <v>45335</v>
      </c>
      <c r="B433" s="2">
        <v>503.6</v>
      </c>
      <c r="C433" s="2">
        <v>295</v>
      </c>
      <c r="D433" s="2">
        <v>202.43</v>
      </c>
      <c r="E433" s="2">
        <v>347.27</v>
      </c>
      <c r="F433" s="2">
        <v>8.6</v>
      </c>
      <c r="G433" s="2">
        <v>187.1</v>
      </c>
      <c r="H433" s="2">
        <v>1985</v>
      </c>
      <c r="I433" s="2">
        <v>1720</v>
      </c>
      <c r="J433" s="2">
        <v>1188</v>
      </c>
      <c r="K433" s="2">
        <v>4150</v>
      </c>
      <c r="L433" s="2">
        <v>123</v>
      </c>
      <c r="M433" s="2">
        <v>16</v>
      </c>
      <c r="N433" s="2">
        <v>155</v>
      </c>
      <c r="O433" s="2">
        <v>25.5</v>
      </c>
      <c r="P433" s="2">
        <v>1785.51</v>
      </c>
    </row>
    <row r="434" spans="1:16" x14ac:dyDescent="0.35">
      <c r="A434" s="5">
        <v>45336</v>
      </c>
      <c r="B434" s="2">
        <v>504.3</v>
      </c>
      <c r="C434" s="2">
        <v>295</v>
      </c>
      <c r="D434" s="2">
        <v>201.94</v>
      </c>
      <c r="E434" s="2">
        <v>353.21</v>
      </c>
      <c r="F434" s="2">
        <v>8.6</v>
      </c>
      <c r="G434" s="2">
        <v>187.15</v>
      </c>
      <c r="H434" s="2">
        <v>2005</v>
      </c>
      <c r="I434" s="2">
        <v>1710</v>
      </c>
      <c r="J434" s="2">
        <v>1239</v>
      </c>
      <c r="K434" s="2">
        <v>4060</v>
      </c>
      <c r="L434" s="2">
        <v>124</v>
      </c>
      <c r="M434" s="2">
        <v>15.92</v>
      </c>
      <c r="N434" s="2">
        <v>155</v>
      </c>
      <c r="O434" s="2">
        <v>25.75</v>
      </c>
      <c r="P434" s="2">
        <v>1787.48</v>
      </c>
    </row>
    <row r="435" spans="1:16" x14ac:dyDescent="0.35">
      <c r="A435" s="5">
        <v>45338</v>
      </c>
      <c r="B435" s="2">
        <v>505</v>
      </c>
      <c r="C435" s="2">
        <v>296</v>
      </c>
      <c r="D435" s="2">
        <v>197.01</v>
      </c>
      <c r="E435" s="2">
        <v>357.15</v>
      </c>
      <c r="F435" s="2">
        <v>8.5</v>
      </c>
      <c r="G435" s="2">
        <v>190.95</v>
      </c>
      <c r="H435" s="2">
        <v>2010</v>
      </c>
      <c r="I435" s="2">
        <v>1715</v>
      </c>
      <c r="J435" s="2">
        <v>1189</v>
      </c>
      <c r="K435" s="2">
        <v>4220</v>
      </c>
      <c r="L435" s="2">
        <v>124</v>
      </c>
      <c r="M435" s="2">
        <v>16.75</v>
      </c>
      <c r="N435" s="2">
        <v>160</v>
      </c>
      <c r="O435" s="2">
        <v>29.36</v>
      </c>
      <c r="P435" s="2">
        <v>1829.82</v>
      </c>
    </row>
    <row r="436" spans="1:16" x14ac:dyDescent="0.35">
      <c r="A436" s="5">
        <v>45343</v>
      </c>
      <c r="B436" s="2">
        <v>510.4</v>
      </c>
      <c r="C436" s="2">
        <v>300</v>
      </c>
      <c r="D436" s="2">
        <v>197.01</v>
      </c>
      <c r="E436" s="2">
        <v>369.23</v>
      </c>
      <c r="F436" s="2">
        <v>8.75</v>
      </c>
      <c r="G436" s="2">
        <v>198</v>
      </c>
      <c r="H436" s="2">
        <v>2000</v>
      </c>
      <c r="I436" s="2">
        <v>1716</v>
      </c>
      <c r="J436" s="2">
        <v>1200</v>
      </c>
      <c r="K436" s="2">
        <v>4250</v>
      </c>
      <c r="L436" s="2">
        <v>122</v>
      </c>
      <c r="M436" s="2">
        <v>16.47</v>
      </c>
      <c r="N436" s="2">
        <v>157.94999999999999</v>
      </c>
      <c r="O436" s="2">
        <v>29.38</v>
      </c>
      <c r="P436" s="2">
        <v>1792.4</v>
      </c>
    </row>
    <row r="437" spans="1:16" x14ac:dyDescent="0.35">
      <c r="A437" s="5">
        <v>45344</v>
      </c>
      <c r="B437" s="2">
        <v>512</v>
      </c>
      <c r="C437" s="2">
        <v>300</v>
      </c>
      <c r="D437" s="2">
        <v>197.01</v>
      </c>
      <c r="E437" s="2">
        <v>369.23</v>
      </c>
      <c r="F437" s="2">
        <v>8.9499999999999993</v>
      </c>
      <c r="G437" s="2">
        <v>195.05</v>
      </c>
      <c r="H437" s="2">
        <v>1997</v>
      </c>
      <c r="I437" s="2">
        <v>1705</v>
      </c>
      <c r="J437" s="2">
        <v>1227</v>
      </c>
      <c r="K437" s="2">
        <v>4321</v>
      </c>
      <c r="L437" s="2">
        <v>123</v>
      </c>
      <c r="M437" s="2">
        <v>16.5</v>
      </c>
      <c r="N437" s="2">
        <v>158</v>
      </c>
      <c r="O437" s="2">
        <v>29.99</v>
      </c>
      <c r="P437" s="2">
        <v>1826.87</v>
      </c>
    </row>
    <row r="438" spans="1:16" x14ac:dyDescent="0.35">
      <c r="A438" s="5">
        <v>45345</v>
      </c>
      <c r="B438" s="2">
        <v>514.9</v>
      </c>
      <c r="C438" s="2">
        <v>302</v>
      </c>
      <c r="D438" s="2">
        <v>198</v>
      </c>
      <c r="E438" s="2">
        <v>377.61</v>
      </c>
      <c r="F438" s="2">
        <v>9</v>
      </c>
      <c r="G438" s="2">
        <v>195.15</v>
      </c>
      <c r="H438" s="2">
        <v>2005</v>
      </c>
      <c r="I438" s="2">
        <v>1723</v>
      </c>
      <c r="J438" s="2">
        <v>1250</v>
      </c>
      <c r="K438" s="2">
        <v>4280</v>
      </c>
      <c r="L438" s="2">
        <v>124.8</v>
      </c>
      <c r="M438" s="2">
        <v>17.149999999999999</v>
      </c>
      <c r="N438" s="2">
        <v>163.5</v>
      </c>
      <c r="O438" s="2">
        <v>31.25</v>
      </c>
      <c r="P438" s="2">
        <v>1826.87</v>
      </c>
    </row>
    <row r="439" spans="1:16" x14ac:dyDescent="0.35">
      <c r="A439" s="5">
        <v>45348</v>
      </c>
      <c r="B439" s="2">
        <v>515</v>
      </c>
      <c r="C439" s="2">
        <v>304.89999999999998</v>
      </c>
      <c r="D439" s="2">
        <v>197.01</v>
      </c>
      <c r="E439" s="2">
        <v>369.23</v>
      </c>
      <c r="F439" s="2">
        <v>9</v>
      </c>
      <c r="G439" s="2">
        <v>196.2</v>
      </c>
      <c r="H439" s="2">
        <v>2009</v>
      </c>
      <c r="I439" s="2">
        <v>1723</v>
      </c>
      <c r="J439" s="2">
        <v>1280</v>
      </c>
      <c r="K439" s="2">
        <v>4280</v>
      </c>
      <c r="L439" s="2">
        <v>125</v>
      </c>
      <c r="M439" s="2">
        <v>17.600000000000001</v>
      </c>
      <c r="N439" s="2">
        <v>166.7</v>
      </c>
      <c r="O439" s="2">
        <v>30.91</v>
      </c>
      <c r="P439" s="2">
        <v>1831.79</v>
      </c>
    </row>
    <row r="440" spans="1:16" x14ac:dyDescent="0.35">
      <c r="A440" s="5">
        <v>45349</v>
      </c>
      <c r="B440" s="2">
        <v>514.5</v>
      </c>
      <c r="C440" s="2">
        <v>305</v>
      </c>
      <c r="D440" s="2">
        <v>197.01</v>
      </c>
      <c r="E440" s="2">
        <v>366.33</v>
      </c>
      <c r="F440" s="2">
        <v>9</v>
      </c>
      <c r="G440" s="2">
        <v>195.1</v>
      </c>
      <c r="H440" s="2">
        <v>2000</v>
      </c>
      <c r="I440" s="2">
        <v>1739</v>
      </c>
      <c r="J440" s="2">
        <v>1287</v>
      </c>
      <c r="K440" s="2">
        <v>4300</v>
      </c>
      <c r="L440" s="2">
        <v>123</v>
      </c>
      <c r="M440" s="2">
        <v>17.53</v>
      </c>
      <c r="N440" s="2">
        <v>172.9</v>
      </c>
      <c r="O440" s="2">
        <v>29.5</v>
      </c>
      <c r="P440" s="2">
        <v>1772.7</v>
      </c>
    </row>
    <row r="441" spans="1:16" x14ac:dyDescent="0.35">
      <c r="A441" s="5">
        <v>45350</v>
      </c>
      <c r="B441" s="2">
        <v>514.5</v>
      </c>
      <c r="C441" s="2">
        <v>309</v>
      </c>
      <c r="D441" s="2">
        <v>199.92</v>
      </c>
      <c r="E441" s="2">
        <v>364.73</v>
      </c>
      <c r="F441" s="2">
        <v>9.1</v>
      </c>
      <c r="G441" s="2">
        <v>197.75</v>
      </c>
      <c r="H441" s="2">
        <v>2004</v>
      </c>
      <c r="I441" s="2">
        <v>1732</v>
      </c>
      <c r="J441" s="2">
        <v>1247</v>
      </c>
      <c r="K441" s="2">
        <v>4325</v>
      </c>
      <c r="L441" s="2">
        <v>123.15</v>
      </c>
      <c r="M441" s="2">
        <v>17.2</v>
      </c>
      <c r="N441" s="2">
        <v>170</v>
      </c>
      <c r="O441" s="2">
        <v>29.4</v>
      </c>
      <c r="P441" s="2">
        <v>1810.13</v>
      </c>
    </row>
    <row r="442" spans="1:16" x14ac:dyDescent="0.35">
      <c r="A442" s="5">
        <v>45351</v>
      </c>
      <c r="B442" s="2">
        <v>505</v>
      </c>
      <c r="C442" s="2">
        <v>305</v>
      </c>
      <c r="D442" s="2">
        <v>197.01</v>
      </c>
      <c r="E442" s="2">
        <v>359.25</v>
      </c>
      <c r="F442" s="2">
        <v>9.1</v>
      </c>
      <c r="G442" s="2">
        <v>194</v>
      </c>
      <c r="H442" s="2">
        <v>1999</v>
      </c>
      <c r="I442" s="2">
        <v>1725</v>
      </c>
      <c r="J442" s="2">
        <v>1200</v>
      </c>
      <c r="K442" s="2">
        <v>4325</v>
      </c>
      <c r="L442" s="2">
        <v>121</v>
      </c>
      <c r="M442" s="2">
        <v>18</v>
      </c>
      <c r="N442" s="2">
        <v>170.4</v>
      </c>
      <c r="O442" s="2">
        <v>32.33</v>
      </c>
      <c r="P442" s="2">
        <v>1772.7</v>
      </c>
    </row>
    <row r="443" spans="1:16" x14ac:dyDescent="0.35">
      <c r="A443" s="5">
        <v>45352</v>
      </c>
      <c r="B443" s="2">
        <v>504.5</v>
      </c>
      <c r="C443" s="2">
        <v>302</v>
      </c>
      <c r="D443" s="2">
        <v>197.01</v>
      </c>
      <c r="E443" s="2">
        <v>364.24</v>
      </c>
      <c r="F443" s="2">
        <v>9</v>
      </c>
      <c r="G443" s="2">
        <v>194</v>
      </c>
      <c r="H443" s="2">
        <v>1973</v>
      </c>
      <c r="I443" s="2">
        <v>1725</v>
      </c>
      <c r="J443" s="2">
        <v>1200</v>
      </c>
      <c r="K443" s="2">
        <v>4325</v>
      </c>
      <c r="L443" s="2">
        <v>123.8</v>
      </c>
      <c r="M443" s="2">
        <v>18.399999999999999</v>
      </c>
      <c r="N443" s="2">
        <v>169.65</v>
      </c>
      <c r="O443" s="2">
        <v>33</v>
      </c>
      <c r="P443" s="2">
        <v>1811.11</v>
      </c>
    </row>
    <row r="444" spans="1:16" x14ac:dyDescent="0.35">
      <c r="A444" s="5">
        <v>45356</v>
      </c>
      <c r="B444" s="2">
        <v>500</v>
      </c>
      <c r="C444" s="2">
        <v>302</v>
      </c>
      <c r="D444" s="2">
        <v>195.04</v>
      </c>
      <c r="E444" s="2">
        <v>369.23</v>
      </c>
      <c r="F444" s="2">
        <v>9.4</v>
      </c>
      <c r="G444" s="2">
        <v>195</v>
      </c>
      <c r="H444" s="2">
        <v>2000</v>
      </c>
      <c r="I444" s="2">
        <v>1749</v>
      </c>
      <c r="J444" s="2">
        <v>1200</v>
      </c>
      <c r="K444" s="2">
        <v>4300</v>
      </c>
      <c r="L444" s="2">
        <v>123</v>
      </c>
      <c r="M444" s="2">
        <v>19.5</v>
      </c>
      <c r="N444" s="2">
        <v>177.5</v>
      </c>
      <c r="O444" s="2">
        <v>36.299999999999997</v>
      </c>
      <c r="P444" s="2">
        <v>1743.16</v>
      </c>
    </row>
    <row r="445" spans="1:16" x14ac:dyDescent="0.35">
      <c r="A445" s="5">
        <v>45357</v>
      </c>
      <c r="B445" s="2">
        <v>497</v>
      </c>
      <c r="C445" s="2">
        <v>300</v>
      </c>
      <c r="D445" s="2">
        <v>193.07</v>
      </c>
      <c r="E445" s="2">
        <v>369.23</v>
      </c>
      <c r="F445" s="2">
        <v>9.25</v>
      </c>
      <c r="G445" s="2">
        <v>195</v>
      </c>
      <c r="H445" s="2">
        <v>1960</v>
      </c>
      <c r="I445" s="2">
        <v>1759</v>
      </c>
      <c r="J445" s="2">
        <v>1200</v>
      </c>
      <c r="K445" s="2">
        <v>4174</v>
      </c>
      <c r="L445" s="2">
        <v>123</v>
      </c>
      <c r="M445" s="2">
        <v>19.2</v>
      </c>
      <c r="N445" s="2">
        <v>178</v>
      </c>
      <c r="O445" s="2">
        <v>36.4</v>
      </c>
      <c r="P445" s="2">
        <v>1734.29</v>
      </c>
    </row>
    <row r="446" spans="1:16" x14ac:dyDescent="0.35">
      <c r="A446" s="5">
        <v>45359</v>
      </c>
      <c r="B446" s="2">
        <v>495</v>
      </c>
      <c r="C446" s="2">
        <v>296</v>
      </c>
      <c r="D446" s="2">
        <v>193.76</v>
      </c>
      <c r="E446" s="2">
        <v>364.24</v>
      </c>
      <c r="F446" s="2">
        <v>9.1999999999999993</v>
      </c>
      <c r="G446" s="2">
        <v>194.1</v>
      </c>
      <c r="H446" s="2">
        <v>2000</v>
      </c>
      <c r="I446" s="2">
        <v>1700</v>
      </c>
      <c r="J446" s="2">
        <v>1220</v>
      </c>
      <c r="K446" s="2">
        <v>4250</v>
      </c>
      <c r="L446" s="2">
        <v>122.05</v>
      </c>
      <c r="M446" s="2">
        <v>18.89</v>
      </c>
      <c r="N446" s="2">
        <v>176</v>
      </c>
      <c r="O446" s="2">
        <v>36.25</v>
      </c>
      <c r="P446" s="2">
        <v>1743.16</v>
      </c>
    </row>
    <row r="447" spans="1:16" x14ac:dyDescent="0.35">
      <c r="A447" s="5">
        <v>45363</v>
      </c>
      <c r="B447" s="2">
        <v>493</v>
      </c>
      <c r="C447" s="2">
        <v>294.10000000000002</v>
      </c>
      <c r="D447" s="2">
        <v>192.09</v>
      </c>
      <c r="E447" s="2">
        <v>366.23</v>
      </c>
      <c r="F447" s="2">
        <v>9.0500000000000007</v>
      </c>
      <c r="G447" s="2">
        <v>194</v>
      </c>
      <c r="H447" s="2">
        <v>1965</v>
      </c>
      <c r="I447" s="2">
        <v>1700</v>
      </c>
      <c r="J447" s="2">
        <v>1200</v>
      </c>
      <c r="K447" s="2">
        <v>4250</v>
      </c>
      <c r="L447" s="2">
        <v>123</v>
      </c>
      <c r="M447" s="2">
        <v>18.920000000000002</v>
      </c>
      <c r="N447" s="2">
        <v>176.3</v>
      </c>
      <c r="O447" s="2">
        <v>34.549999999999997</v>
      </c>
      <c r="P447" s="2">
        <v>1760</v>
      </c>
    </row>
    <row r="448" spans="1:16" x14ac:dyDescent="0.35">
      <c r="A448" s="5">
        <v>45364</v>
      </c>
      <c r="B448" s="2">
        <v>501.1</v>
      </c>
      <c r="C448" s="2">
        <v>296</v>
      </c>
      <c r="D448" s="2">
        <v>192.14</v>
      </c>
      <c r="E448" s="2">
        <v>366.23</v>
      </c>
      <c r="F448" s="2">
        <v>9</v>
      </c>
      <c r="G448" s="2">
        <v>193</v>
      </c>
      <c r="H448" s="2">
        <v>1970</v>
      </c>
      <c r="I448" s="2">
        <v>1705</v>
      </c>
      <c r="J448" s="2">
        <v>1200</v>
      </c>
      <c r="K448" s="2">
        <v>4250</v>
      </c>
      <c r="L448" s="2">
        <v>122</v>
      </c>
      <c r="M448" s="2">
        <v>19</v>
      </c>
      <c r="N448" s="2">
        <v>176.45</v>
      </c>
      <c r="O448" s="2">
        <v>33.979999999999997</v>
      </c>
      <c r="P448" s="2">
        <v>1755</v>
      </c>
    </row>
    <row r="449" spans="1:16" x14ac:dyDescent="0.35">
      <c r="A449" s="5">
        <v>45365</v>
      </c>
      <c r="B449" s="2">
        <v>507</v>
      </c>
      <c r="C449" s="2">
        <v>296.10000000000002</v>
      </c>
      <c r="D449" s="2">
        <v>193.57</v>
      </c>
      <c r="E449" s="2">
        <v>366.13</v>
      </c>
      <c r="F449" s="2">
        <v>9</v>
      </c>
      <c r="G449" s="2">
        <v>192</v>
      </c>
      <c r="H449" s="2">
        <v>1997</v>
      </c>
      <c r="I449" s="2">
        <v>1710</v>
      </c>
      <c r="J449" s="2">
        <v>1219</v>
      </c>
      <c r="K449" s="2">
        <v>4250</v>
      </c>
      <c r="L449" s="2">
        <v>122</v>
      </c>
      <c r="M449" s="2">
        <v>19.28</v>
      </c>
      <c r="N449" s="2">
        <v>178.5</v>
      </c>
      <c r="O449" s="2">
        <v>34.96</v>
      </c>
      <c r="P449" s="2">
        <v>1760</v>
      </c>
    </row>
    <row r="450" spans="1:16" x14ac:dyDescent="0.35">
      <c r="A450" s="5">
        <v>45366</v>
      </c>
      <c r="B450" s="2">
        <v>514</v>
      </c>
      <c r="C450" s="2">
        <v>299</v>
      </c>
      <c r="D450" s="2">
        <v>196.03</v>
      </c>
      <c r="E450" s="2">
        <v>366.23</v>
      </c>
      <c r="F450" s="2">
        <v>9</v>
      </c>
      <c r="G450" s="2">
        <v>192</v>
      </c>
      <c r="H450" s="2">
        <v>2000</v>
      </c>
      <c r="I450" s="2">
        <v>1740</v>
      </c>
      <c r="J450" s="2">
        <v>1217</v>
      </c>
      <c r="K450" s="2">
        <v>4300</v>
      </c>
      <c r="L450" s="2">
        <v>123</v>
      </c>
      <c r="M450" s="2">
        <v>20</v>
      </c>
      <c r="N450" s="2">
        <v>184</v>
      </c>
      <c r="O450" s="2">
        <v>35.5</v>
      </c>
      <c r="P450" s="2">
        <v>1760</v>
      </c>
    </row>
    <row r="451" spans="1:16" x14ac:dyDescent="0.35">
      <c r="A451" s="5">
        <v>45370</v>
      </c>
      <c r="B451" s="2">
        <v>507</v>
      </c>
      <c r="C451" s="2">
        <v>296</v>
      </c>
      <c r="D451" s="2">
        <v>195.04</v>
      </c>
      <c r="E451" s="2">
        <v>359.35</v>
      </c>
      <c r="F451" s="2">
        <v>9</v>
      </c>
      <c r="G451" s="2">
        <v>192</v>
      </c>
      <c r="H451" s="2">
        <v>1989</v>
      </c>
      <c r="I451" s="2">
        <v>1705</v>
      </c>
      <c r="J451" s="2">
        <v>1220</v>
      </c>
      <c r="K451" s="2">
        <v>4300</v>
      </c>
      <c r="L451" s="2">
        <v>122.5</v>
      </c>
      <c r="M451" s="2">
        <v>21.8</v>
      </c>
      <c r="N451" s="2">
        <v>191</v>
      </c>
      <c r="O451" s="2">
        <v>36.49</v>
      </c>
      <c r="P451" s="2">
        <v>1772</v>
      </c>
    </row>
    <row r="452" spans="1:16" x14ac:dyDescent="0.35">
      <c r="A452" s="5">
        <v>45371</v>
      </c>
      <c r="B452" s="2">
        <v>503.6</v>
      </c>
      <c r="C452" s="2">
        <v>292.2</v>
      </c>
      <c r="D452" s="2">
        <v>192.73</v>
      </c>
      <c r="E452" s="2">
        <v>364.24</v>
      </c>
      <c r="F452" s="2">
        <v>9</v>
      </c>
      <c r="G452" s="2">
        <v>193</v>
      </c>
      <c r="H452" s="2">
        <v>1989</v>
      </c>
      <c r="I452" s="2">
        <v>1710</v>
      </c>
      <c r="J452" s="2">
        <v>1220</v>
      </c>
      <c r="K452" s="2">
        <v>4300</v>
      </c>
      <c r="L452" s="2">
        <v>123</v>
      </c>
      <c r="M452" s="2">
        <v>21</v>
      </c>
      <c r="N452" s="2">
        <v>185</v>
      </c>
      <c r="O452" s="2">
        <v>35.979999999999997</v>
      </c>
      <c r="P452" s="2">
        <v>1765</v>
      </c>
    </row>
    <row r="453" spans="1:16" x14ac:dyDescent="0.35">
      <c r="A453" s="5">
        <v>45379</v>
      </c>
      <c r="B453" s="2">
        <v>508</v>
      </c>
      <c r="C453" s="2">
        <v>293.5</v>
      </c>
      <c r="D453" s="2">
        <v>192.09</v>
      </c>
      <c r="E453" s="2">
        <v>366.03</v>
      </c>
      <c r="F453" s="2">
        <v>9.1</v>
      </c>
      <c r="G453" s="2">
        <v>201.4</v>
      </c>
      <c r="H453" s="2">
        <v>1980</v>
      </c>
      <c r="I453" s="2">
        <v>1710</v>
      </c>
      <c r="J453" s="2">
        <v>1200</v>
      </c>
      <c r="K453" s="2">
        <v>4250</v>
      </c>
      <c r="L453" s="2">
        <v>124</v>
      </c>
      <c r="M453" s="2">
        <v>21.5</v>
      </c>
      <c r="N453" s="2">
        <v>196</v>
      </c>
      <c r="O453" s="2">
        <v>34.4</v>
      </c>
      <c r="P453" s="2">
        <v>1730</v>
      </c>
    </row>
    <row r="454" spans="1:16" x14ac:dyDescent="0.35">
      <c r="A454" s="5">
        <v>45387</v>
      </c>
      <c r="B454" s="2">
        <v>505</v>
      </c>
      <c r="C454" s="2">
        <v>292</v>
      </c>
      <c r="D454" s="2">
        <v>194.06</v>
      </c>
      <c r="E454" s="2">
        <v>384.19</v>
      </c>
      <c r="F454" s="2">
        <v>8.8000000000000007</v>
      </c>
      <c r="G454" s="2">
        <v>197</v>
      </c>
      <c r="H454" s="2">
        <v>1960</v>
      </c>
      <c r="I454" s="2">
        <v>1700</v>
      </c>
      <c r="J454" s="2">
        <v>1250</v>
      </c>
      <c r="K454" s="2">
        <v>4200</v>
      </c>
      <c r="L454" s="2">
        <v>127</v>
      </c>
      <c r="M454" s="2">
        <v>25.68</v>
      </c>
      <c r="N454" s="2">
        <v>238</v>
      </c>
      <c r="O454" s="2">
        <v>44.99</v>
      </c>
      <c r="P454" s="2">
        <v>1785</v>
      </c>
    </row>
    <row r="455" spans="1:16" x14ac:dyDescent="0.35">
      <c r="A455" s="5">
        <v>45390</v>
      </c>
      <c r="B455" s="2">
        <v>507</v>
      </c>
      <c r="C455" s="2">
        <v>293.75</v>
      </c>
      <c r="D455" s="2">
        <v>194.06</v>
      </c>
      <c r="E455" s="2">
        <v>383.2</v>
      </c>
      <c r="F455" s="2">
        <v>8.8000000000000007</v>
      </c>
      <c r="G455" s="2">
        <v>198.3</v>
      </c>
      <c r="H455" s="2">
        <v>1960</v>
      </c>
      <c r="I455" s="2">
        <v>1701</v>
      </c>
      <c r="J455" s="2">
        <v>1249</v>
      </c>
      <c r="K455" s="2">
        <v>4200</v>
      </c>
      <c r="L455" s="2">
        <v>126.8</v>
      </c>
      <c r="M455" s="2">
        <v>28.24</v>
      </c>
      <c r="N455" s="2">
        <v>261.75</v>
      </c>
      <c r="O455" s="2">
        <v>49.48</v>
      </c>
      <c r="P455" s="2">
        <v>1847</v>
      </c>
    </row>
    <row r="456" spans="1:16" x14ac:dyDescent="0.35">
      <c r="A456" s="5">
        <v>45397</v>
      </c>
      <c r="B456" s="2">
        <v>505.7</v>
      </c>
      <c r="C456" s="2">
        <v>296</v>
      </c>
      <c r="D456" s="2">
        <v>196.28</v>
      </c>
      <c r="E456" s="2">
        <v>378.21</v>
      </c>
      <c r="F456" s="2">
        <v>8.5</v>
      </c>
      <c r="G456" s="2">
        <v>197</v>
      </c>
      <c r="H456" s="2">
        <v>1970</v>
      </c>
      <c r="I456" s="2">
        <v>1722</v>
      </c>
      <c r="J456" s="2">
        <v>1290</v>
      </c>
      <c r="K456" s="2">
        <v>4165</v>
      </c>
      <c r="L456" s="2">
        <v>133.69999999999999</v>
      </c>
      <c r="M456" s="2">
        <v>34.159999999999997</v>
      </c>
      <c r="N456" s="2">
        <v>280</v>
      </c>
      <c r="O456" s="2">
        <v>59.86</v>
      </c>
      <c r="P456" s="2">
        <v>1997</v>
      </c>
    </row>
    <row r="457" spans="1:16" x14ac:dyDescent="0.35">
      <c r="A457" s="5">
        <v>45400</v>
      </c>
      <c r="B457" s="2">
        <v>506</v>
      </c>
      <c r="C457" s="2">
        <v>292</v>
      </c>
      <c r="D457" s="2">
        <v>194.06</v>
      </c>
      <c r="E457" s="2">
        <v>369.23</v>
      </c>
      <c r="F457" s="2">
        <v>8.25</v>
      </c>
      <c r="G457" s="2">
        <v>197.95</v>
      </c>
      <c r="H457" s="2">
        <v>2020</v>
      </c>
      <c r="I457" s="2">
        <v>1755</v>
      </c>
      <c r="J457" s="2">
        <v>1330</v>
      </c>
      <c r="K457" s="2">
        <v>4200</v>
      </c>
      <c r="L457" s="2">
        <v>134</v>
      </c>
      <c r="M457" s="2">
        <v>36.200000000000003</v>
      </c>
      <c r="N457" s="2">
        <v>251.8</v>
      </c>
      <c r="O457" s="2">
        <v>66</v>
      </c>
      <c r="P457" s="2">
        <v>2201</v>
      </c>
    </row>
    <row r="458" spans="1:16" x14ac:dyDescent="0.35">
      <c r="A458" s="5">
        <v>45401</v>
      </c>
      <c r="B458" s="2">
        <v>505</v>
      </c>
      <c r="C458" s="2">
        <v>292</v>
      </c>
      <c r="D458" s="2">
        <v>192.09</v>
      </c>
      <c r="E458" s="2">
        <v>374.21</v>
      </c>
      <c r="F458" s="2">
        <v>8.1999999999999993</v>
      </c>
      <c r="G458" s="2">
        <v>198</v>
      </c>
      <c r="H458" s="2">
        <v>2045</v>
      </c>
      <c r="I458" s="2">
        <v>1750</v>
      </c>
      <c r="J458" s="2">
        <v>1299</v>
      </c>
      <c r="K458" s="2">
        <v>4200</v>
      </c>
      <c r="L458" s="2">
        <v>135.5</v>
      </c>
      <c r="M458" s="2">
        <v>35.5</v>
      </c>
      <c r="N458" s="2">
        <v>240</v>
      </c>
      <c r="O458" s="2">
        <v>68.5</v>
      </c>
      <c r="P458" s="2">
        <v>2315</v>
      </c>
    </row>
    <row r="459" spans="1:16" x14ac:dyDescent="0.35">
      <c r="A459" s="5">
        <v>45405</v>
      </c>
      <c r="B459" s="2">
        <v>500.6</v>
      </c>
      <c r="C459" s="2">
        <v>291</v>
      </c>
      <c r="D459" s="2">
        <v>189.13</v>
      </c>
      <c r="E459" s="2">
        <v>375.71</v>
      </c>
      <c r="F459" s="2">
        <v>8.15</v>
      </c>
      <c r="G459" s="2">
        <v>198</v>
      </c>
      <c r="H459" s="2">
        <v>2000</v>
      </c>
      <c r="I459" s="2">
        <v>1725</v>
      </c>
      <c r="J459" s="2">
        <v>1280</v>
      </c>
      <c r="K459" s="2">
        <v>4200</v>
      </c>
      <c r="L459" s="2">
        <v>133</v>
      </c>
      <c r="M459" s="2">
        <v>32.479999999999997</v>
      </c>
      <c r="N459" s="2">
        <v>236</v>
      </c>
      <c r="O459" s="2">
        <v>64.25</v>
      </c>
      <c r="P459" s="2">
        <v>2230</v>
      </c>
    </row>
    <row r="460" spans="1:16" x14ac:dyDescent="0.35">
      <c r="A460" s="5">
        <v>45406</v>
      </c>
      <c r="B460" s="2">
        <v>502</v>
      </c>
      <c r="C460" s="2">
        <v>292</v>
      </c>
      <c r="D460" s="2">
        <v>194.8</v>
      </c>
      <c r="E460" s="2">
        <v>374.21</v>
      </c>
      <c r="F460" s="2">
        <v>8.15</v>
      </c>
      <c r="G460" s="2">
        <v>197</v>
      </c>
      <c r="H460" s="2">
        <v>1990</v>
      </c>
      <c r="I460" s="2">
        <v>1710</v>
      </c>
      <c r="J460" s="2">
        <v>1300</v>
      </c>
      <c r="K460" s="2">
        <v>4200</v>
      </c>
      <c r="L460" s="2">
        <v>132</v>
      </c>
      <c r="M460" s="2">
        <v>32.049999999999997</v>
      </c>
      <c r="N460" s="2">
        <v>233</v>
      </c>
      <c r="O460" s="2">
        <v>64</v>
      </c>
      <c r="P460" s="2">
        <v>2230</v>
      </c>
    </row>
    <row r="461" spans="1:16" x14ac:dyDescent="0.35">
      <c r="A461" s="5">
        <v>45408</v>
      </c>
      <c r="B461" s="2">
        <v>505</v>
      </c>
      <c r="C461" s="2">
        <v>292</v>
      </c>
      <c r="D461" s="2">
        <v>194.36</v>
      </c>
      <c r="E461" s="2">
        <v>374.21</v>
      </c>
      <c r="F461" s="2">
        <v>8</v>
      </c>
      <c r="G461" s="2">
        <v>197.8</v>
      </c>
      <c r="H461" s="2">
        <v>1990</v>
      </c>
      <c r="I461" s="2">
        <v>1748</v>
      </c>
      <c r="J461" s="2">
        <v>1300</v>
      </c>
      <c r="K461" s="2">
        <v>4200</v>
      </c>
      <c r="L461" s="2">
        <v>140.05000000000001</v>
      </c>
      <c r="M461" s="2">
        <v>33</v>
      </c>
      <c r="N461" s="2">
        <v>237</v>
      </c>
      <c r="O461" s="2">
        <v>77.42</v>
      </c>
      <c r="P461" s="2">
        <v>2275</v>
      </c>
    </row>
    <row r="462" spans="1:16" x14ac:dyDescent="0.35">
      <c r="A462" s="5">
        <v>45411</v>
      </c>
      <c r="B462" s="2">
        <v>502</v>
      </c>
      <c r="C462" s="2">
        <v>294</v>
      </c>
      <c r="D462" s="2">
        <v>192.09</v>
      </c>
      <c r="E462" s="2">
        <v>382.2</v>
      </c>
      <c r="F462" s="2">
        <v>8</v>
      </c>
      <c r="G462" s="2">
        <v>198.95</v>
      </c>
      <c r="H462" s="2">
        <v>2000</v>
      </c>
      <c r="I462" s="2">
        <v>1747</v>
      </c>
      <c r="J462" s="2">
        <v>1330</v>
      </c>
      <c r="K462" s="2">
        <v>4200</v>
      </c>
      <c r="L462" s="2">
        <v>140.05000000000001</v>
      </c>
      <c r="M462" s="2">
        <v>33.49</v>
      </c>
      <c r="N462" s="2">
        <v>235.35</v>
      </c>
      <c r="O462" s="2">
        <v>78</v>
      </c>
      <c r="P462" s="2">
        <v>2340</v>
      </c>
    </row>
    <row r="463" spans="1:16" x14ac:dyDescent="0.35">
      <c r="A463" s="5">
        <v>45412</v>
      </c>
      <c r="B463" s="2">
        <v>501.6</v>
      </c>
      <c r="C463" s="2">
        <v>292</v>
      </c>
      <c r="D463" s="2">
        <v>189.13</v>
      </c>
      <c r="E463" s="2">
        <v>378.21</v>
      </c>
      <c r="F463" s="2">
        <v>8</v>
      </c>
      <c r="G463" s="2">
        <v>198</v>
      </c>
      <c r="H463" s="2">
        <v>2000</v>
      </c>
      <c r="I463" s="2">
        <v>1760</v>
      </c>
      <c r="J463" s="2">
        <v>1300</v>
      </c>
      <c r="K463" s="2">
        <v>4200</v>
      </c>
      <c r="L463" s="2">
        <v>144</v>
      </c>
      <c r="M463" s="2">
        <v>32.4</v>
      </c>
      <c r="N463" s="2">
        <v>233.1</v>
      </c>
      <c r="O463" s="2">
        <v>76.5</v>
      </c>
      <c r="P463" s="2">
        <v>2338</v>
      </c>
    </row>
    <row r="464" spans="1:16" x14ac:dyDescent="0.35">
      <c r="A464" s="5">
        <v>45414</v>
      </c>
      <c r="B464" s="2">
        <v>501.9</v>
      </c>
      <c r="C464" s="2">
        <v>289</v>
      </c>
      <c r="D464" s="2">
        <v>189.23</v>
      </c>
      <c r="E464" s="2">
        <v>379.2</v>
      </c>
      <c r="F464" s="2">
        <v>8</v>
      </c>
      <c r="G464" s="2">
        <v>195</v>
      </c>
      <c r="H464" s="2">
        <v>2020</v>
      </c>
      <c r="I464" s="2">
        <v>1759</v>
      </c>
      <c r="J464" s="2">
        <v>1350</v>
      </c>
      <c r="K464" s="2">
        <v>4200</v>
      </c>
      <c r="L464" s="2">
        <v>148</v>
      </c>
      <c r="M464" s="2">
        <v>32.299999999999997</v>
      </c>
      <c r="N464" s="2">
        <v>236.1</v>
      </c>
      <c r="O464" s="2">
        <v>77.099999999999994</v>
      </c>
      <c r="P464" s="2">
        <v>2371</v>
      </c>
    </row>
    <row r="465" spans="1:16" x14ac:dyDescent="0.35">
      <c r="A465" s="5">
        <v>45415</v>
      </c>
      <c r="B465" s="2">
        <v>508.9</v>
      </c>
      <c r="C465" s="2">
        <v>295</v>
      </c>
      <c r="D465" s="2">
        <v>193.96</v>
      </c>
      <c r="E465" s="2">
        <v>379.2</v>
      </c>
      <c r="F465" s="2">
        <v>8</v>
      </c>
      <c r="G465" s="2">
        <v>197.5</v>
      </c>
      <c r="H465" s="2">
        <v>2000</v>
      </c>
      <c r="I465" s="2">
        <v>1768</v>
      </c>
      <c r="J465" s="2">
        <v>1381</v>
      </c>
      <c r="K465" s="2">
        <v>4300</v>
      </c>
      <c r="L465" s="2">
        <v>151</v>
      </c>
      <c r="M465" s="2">
        <v>30.5</v>
      </c>
      <c r="N465" s="2">
        <v>229.4</v>
      </c>
      <c r="O465" s="2">
        <v>72.489999999999995</v>
      </c>
      <c r="P465" s="2">
        <v>2397</v>
      </c>
    </row>
    <row r="466" spans="1:16" x14ac:dyDescent="0.35">
      <c r="A466" s="5">
        <v>45419</v>
      </c>
      <c r="B466" s="2">
        <v>509.6</v>
      </c>
      <c r="C466" s="2">
        <v>294.89999999999998</v>
      </c>
      <c r="D466" s="2">
        <v>193.07</v>
      </c>
      <c r="E466" s="2">
        <v>379.2</v>
      </c>
      <c r="F466" s="2">
        <v>8</v>
      </c>
      <c r="G466" s="2">
        <v>196</v>
      </c>
      <c r="H466" s="2">
        <v>2000</v>
      </c>
      <c r="I466" s="2">
        <v>1750</v>
      </c>
      <c r="J466" s="2">
        <v>1401</v>
      </c>
      <c r="K466" s="2">
        <v>4428</v>
      </c>
      <c r="L466" s="2">
        <v>150</v>
      </c>
      <c r="M466" s="2">
        <v>30</v>
      </c>
      <c r="N466" s="2">
        <v>226.8</v>
      </c>
      <c r="O466" s="2">
        <v>77.599999999999994</v>
      </c>
      <c r="P466" s="2">
        <v>2335</v>
      </c>
    </row>
    <row r="467" spans="1:16" x14ac:dyDescent="0.35">
      <c r="A467" s="5">
        <v>45420</v>
      </c>
      <c r="B467" s="2">
        <v>512.1</v>
      </c>
      <c r="C467" s="2">
        <v>295.89999999999998</v>
      </c>
      <c r="D467" s="2">
        <v>195.04</v>
      </c>
      <c r="E467" s="2">
        <v>379.2</v>
      </c>
      <c r="F467" s="2">
        <v>8</v>
      </c>
      <c r="G467" s="2">
        <v>196</v>
      </c>
      <c r="H467" s="2">
        <v>1991</v>
      </c>
      <c r="I467" s="2">
        <v>1751</v>
      </c>
      <c r="J467" s="2">
        <v>1440</v>
      </c>
      <c r="K467" s="2">
        <v>4300</v>
      </c>
      <c r="L467" s="2">
        <v>150</v>
      </c>
      <c r="M467" s="2">
        <v>29.73</v>
      </c>
      <c r="N467" s="2">
        <v>229.5</v>
      </c>
      <c r="O467" s="2">
        <v>81.2</v>
      </c>
      <c r="P467" s="2">
        <v>2360</v>
      </c>
    </row>
    <row r="468" spans="1:16" x14ac:dyDescent="0.35">
      <c r="A468" s="5">
        <v>45421</v>
      </c>
      <c r="B468" s="2">
        <v>517.70000000000005</v>
      </c>
      <c r="C468" s="2">
        <v>296</v>
      </c>
      <c r="D468" s="2">
        <v>193.57</v>
      </c>
      <c r="E468" s="2">
        <v>384.69</v>
      </c>
      <c r="F468" s="2">
        <v>8</v>
      </c>
      <c r="G468" s="2">
        <v>196</v>
      </c>
      <c r="H468" s="2">
        <v>2000</v>
      </c>
      <c r="I468" s="2">
        <v>1785</v>
      </c>
      <c r="J468" s="2">
        <v>1408</v>
      </c>
      <c r="K468" s="2">
        <v>4300</v>
      </c>
      <c r="L468" s="2">
        <v>147.4</v>
      </c>
      <c r="M468" s="2">
        <v>30.6</v>
      </c>
      <c r="N468" s="2">
        <v>238.5</v>
      </c>
      <c r="O468" s="2">
        <v>85</v>
      </c>
      <c r="P468" s="2">
        <v>2400</v>
      </c>
    </row>
    <row r="469" spans="1:16" x14ac:dyDescent="0.35">
      <c r="A469" s="5">
        <v>45422</v>
      </c>
      <c r="B469" s="2">
        <v>513</v>
      </c>
      <c r="C469" s="2">
        <v>296</v>
      </c>
      <c r="D469" s="2">
        <v>194.06</v>
      </c>
      <c r="E469" s="2">
        <v>386.19</v>
      </c>
      <c r="F469" s="2">
        <v>8</v>
      </c>
      <c r="G469" s="2">
        <v>195.95</v>
      </c>
      <c r="H469" s="2">
        <v>2039</v>
      </c>
      <c r="I469" s="2">
        <v>1763</v>
      </c>
      <c r="J469" s="2">
        <v>1432</v>
      </c>
      <c r="K469" s="2">
        <v>4299</v>
      </c>
      <c r="L469" s="2">
        <v>147.4</v>
      </c>
      <c r="M469" s="2">
        <v>31.1</v>
      </c>
      <c r="N469" s="2">
        <v>249</v>
      </c>
      <c r="O469" s="2">
        <v>84.5</v>
      </c>
      <c r="P469" s="2">
        <v>2400</v>
      </c>
    </row>
    <row r="470" spans="1:16" x14ac:dyDescent="0.35">
      <c r="A470" s="5">
        <v>45425</v>
      </c>
      <c r="B470" s="2">
        <v>513.79999999999995</v>
      </c>
      <c r="C470" s="2">
        <v>294</v>
      </c>
      <c r="D470" s="2">
        <v>194.06</v>
      </c>
      <c r="E470" s="2">
        <v>388.18</v>
      </c>
      <c r="F470" s="2">
        <v>8</v>
      </c>
      <c r="G470" s="2">
        <v>195.95</v>
      </c>
      <c r="H470" s="2">
        <v>2000</v>
      </c>
      <c r="I470" s="2">
        <v>1780</v>
      </c>
      <c r="J470" s="2">
        <v>1450</v>
      </c>
      <c r="K470" s="2">
        <v>4310</v>
      </c>
      <c r="L470" s="2">
        <v>145.69999999999999</v>
      </c>
      <c r="M470" s="2">
        <v>31.95</v>
      </c>
      <c r="N470" s="2">
        <v>252</v>
      </c>
      <c r="O470" s="2">
        <v>86</v>
      </c>
      <c r="P470" s="2">
        <v>2350</v>
      </c>
    </row>
    <row r="471" spans="1:16" x14ac:dyDescent="0.35">
      <c r="A471" s="5">
        <v>45427</v>
      </c>
      <c r="B471" s="2">
        <v>510</v>
      </c>
      <c r="C471" s="2">
        <v>292</v>
      </c>
      <c r="D471" s="2">
        <v>191.1</v>
      </c>
      <c r="E471" s="2">
        <v>386.09</v>
      </c>
      <c r="F471" s="2">
        <v>8</v>
      </c>
      <c r="G471" s="2">
        <v>195</v>
      </c>
      <c r="H471" s="2">
        <v>1999</v>
      </c>
      <c r="I471" s="2">
        <v>1790</v>
      </c>
      <c r="J471" s="2">
        <v>1350</v>
      </c>
      <c r="K471" s="2">
        <v>4300</v>
      </c>
      <c r="L471" s="2">
        <v>147.55000000000001</v>
      </c>
      <c r="M471" s="2">
        <v>32.299999999999997</v>
      </c>
      <c r="N471" s="2">
        <v>255.15</v>
      </c>
      <c r="O471" s="2">
        <v>96.11</v>
      </c>
      <c r="P471" s="2">
        <v>2342</v>
      </c>
    </row>
    <row r="472" spans="1:16" x14ac:dyDescent="0.35">
      <c r="A472" s="5">
        <v>45428</v>
      </c>
      <c r="B472" s="2">
        <v>508.4</v>
      </c>
      <c r="C472" s="2">
        <v>290</v>
      </c>
      <c r="D472" s="2">
        <v>194.06</v>
      </c>
      <c r="E472" s="2">
        <v>384.19</v>
      </c>
      <c r="F472" s="2">
        <v>8</v>
      </c>
      <c r="G472" s="2">
        <v>194</v>
      </c>
      <c r="H472" s="2">
        <v>2000</v>
      </c>
      <c r="I472" s="2">
        <v>1800</v>
      </c>
      <c r="J472" s="2">
        <v>1380</v>
      </c>
      <c r="K472" s="2">
        <v>4230</v>
      </c>
      <c r="L472" s="2">
        <v>147.55000000000001</v>
      </c>
      <c r="M472" s="2">
        <v>31.15</v>
      </c>
      <c r="N472" s="2">
        <v>247.05</v>
      </c>
      <c r="O472" s="2">
        <v>99.3</v>
      </c>
      <c r="P472" s="2">
        <v>2340</v>
      </c>
    </row>
    <row r="473" spans="1:16" x14ac:dyDescent="0.35">
      <c r="A473" s="5">
        <v>45429</v>
      </c>
      <c r="B473" s="2">
        <v>508.5</v>
      </c>
      <c r="C473" s="2">
        <v>293</v>
      </c>
      <c r="D473" s="2">
        <v>194.06</v>
      </c>
      <c r="E473" s="2">
        <v>388.04</v>
      </c>
      <c r="F473" s="2">
        <v>8</v>
      </c>
      <c r="G473" s="2">
        <v>194</v>
      </c>
      <c r="H473" s="2">
        <v>2018</v>
      </c>
      <c r="I473" s="2">
        <v>1786</v>
      </c>
      <c r="J473" s="2">
        <v>1370</v>
      </c>
      <c r="K473" s="2">
        <v>4213</v>
      </c>
      <c r="L473" s="2">
        <v>143</v>
      </c>
      <c r="M473" s="2">
        <v>31.5</v>
      </c>
      <c r="N473" s="2">
        <v>250</v>
      </c>
      <c r="O473" s="2">
        <v>100</v>
      </c>
      <c r="P473" s="2">
        <v>2306</v>
      </c>
    </row>
    <row r="474" spans="1:16" x14ac:dyDescent="0.35">
      <c r="A474" s="5">
        <v>45435</v>
      </c>
      <c r="B474" s="2">
        <v>510.5</v>
      </c>
      <c r="C474" s="2">
        <v>295</v>
      </c>
      <c r="D474" s="2">
        <v>193.96</v>
      </c>
      <c r="E474" s="2">
        <v>383.2</v>
      </c>
      <c r="F474" s="2">
        <v>8</v>
      </c>
      <c r="G474" s="2">
        <v>197</v>
      </c>
      <c r="H474" s="2">
        <v>2002</v>
      </c>
      <c r="I474" s="2">
        <v>1859</v>
      </c>
      <c r="J474" s="2">
        <v>1349</v>
      </c>
      <c r="K474" s="2">
        <v>4200</v>
      </c>
      <c r="L474" s="2">
        <v>145</v>
      </c>
      <c r="M474" s="2">
        <v>29.31</v>
      </c>
      <c r="N474" s="2">
        <v>240</v>
      </c>
      <c r="O474" s="2">
        <v>88.03</v>
      </c>
      <c r="P474" s="2">
        <v>2402</v>
      </c>
    </row>
    <row r="475" spans="1:16" x14ac:dyDescent="0.35">
      <c r="A475" s="5">
        <v>45436</v>
      </c>
      <c r="B475" s="2">
        <v>508.1</v>
      </c>
      <c r="C475" s="2">
        <v>296</v>
      </c>
      <c r="D475" s="2">
        <v>191.1</v>
      </c>
      <c r="E475" s="2">
        <v>383.2</v>
      </c>
      <c r="F475" s="2">
        <v>8</v>
      </c>
      <c r="G475" s="2">
        <v>196</v>
      </c>
      <c r="H475" s="2">
        <v>2000</v>
      </c>
      <c r="I475" s="2">
        <v>1849</v>
      </c>
      <c r="J475" s="2">
        <v>1369</v>
      </c>
      <c r="K475" s="2">
        <v>4300</v>
      </c>
      <c r="L475" s="2">
        <v>138.85</v>
      </c>
      <c r="M475" s="2">
        <v>29.49</v>
      </c>
      <c r="N475" s="2">
        <v>240.5</v>
      </c>
      <c r="O475" s="2">
        <v>84.7</v>
      </c>
      <c r="P475" s="2">
        <v>2397</v>
      </c>
    </row>
    <row r="476" spans="1:16" x14ac:dyDescent="0.35">
      <c r="A476" s="5">
        <v>45439</v>
      </c>
      <c r="B476" s="2">
        <v>506.9</v>
      </c>
      <c r="C476" s="2">
        <v>295</v>
      </c>
      <c r="D476" s="2">
        <v>194.01</v>
      </c>
      <c r="E476" s="2">
        <v>379.2</v>
      </c>
      <c r="F476" s="2">
        <v>8</v>
      </c>
      <c r="G476" s="2">
        <v>195.05</v>
      </c>
      <c r="H476" s="2">
        <v>2000</v>
      </c>
      <c r="I476" s="2">
        <v>1834</v>
      </c>
      <c r="J476" s="2">
        <v>1341</v>
      </c>
      <c r="K476" s="2">
        <v>4200</v>
      </c>
      <c r="L476" s="2">
        <v>140</v>
      </c>
      <c r="M476" s="2">
        <v>29.24</v>
      </c>
      <c r="N476" s="2">
        <v>250</v>
      </c>
      <c r="O476" s="2">
        <v>83</v>
      </c>
      <c r="P476" s="2">
        <v>2350</v>
      </c>
    </row>
    <row r="477" spans="1:16" x14ac:dyDescent="0.35">
      <c r="A477" s="5">
        <v>45440</v>
      </c>
      <c r="B477" s="2">
        <v>514</v>
      </c>
      <c r="C477" s="2">
        <v>295</v>
      </c>
      <c r="D477" s="2">
        <v>192.09</v>
      </c>
      <c r="E477" s="2">
        <v>376.21</v>
      </c>
      <c r="F477" s="2">
        <v>8</v>
      </c>
      <c r="G477" s="2">
        <v>195</v>
      </c>
      <c r="H477" s="2">
        <v>2000</v>
      </c>
      <c r="I477" s="2">
        <v>1820</v>
      </c>
      <c r="J477" s="2">
        <v>1340</v>
      </c>
      <c r="K477" s="2">
        <v>4200</v>
      </c>
      <c r="L477" s="2">
        <v>139.30000000000001</v>
      </c>
      <c r="M477" s="2">
        <v>30.1</v>
      </c>
      <c r="N477" s="2">
        <v>255.7</v>
      </c>
      <c r="O477" s="2">
        <v>88</v>
      </c>
      <c r="P477" s="2">
        <v>2365</v>
      </c>
    </row>
    <row r="478" spans="1:16" x14ac:dyDescent="0.35">
      <c r="A478" s="5">
        <v>45441</v>
      </c>
      <c r="B478" s="2">
        <v>515.5</v>
      </c>
      <c r="C478" s="2">
        <v>293.89999999999998</v>
      </c>
      <c r="D478" s="2">
        <v>191.1</v>
      </c>
      <c r="E478" s="2">
        <v>383.7</v>
      </c>
      <c r="F478" s="2">
        <v>8</v>
      </c>
      <c r="G478" s="2">
        <v>194.15</v>
      </c>
      <c r="H478" s="2">
        <v>1999</v>
      </c>
      <c r="I478" s="2">
        <v>1839</v>
      </c>
      <c r="J478" s="2">
        <v>1340</v>
      </c>
      <c r="K478" s="2">
        <v>4200</v>
      </c>
      <c r="L478" s="2">
        <v>140</v>
      </c>
      <c r="M478" s="2">
        <v>29.5</v>
      </c>
      <c r="N478" s="2">
        <v>250</v>
      </c>
      <c r="O478" s="2">
        <v>85.4</v>
      </c>
      <c r="P478" s="2">
        <v>2325</v>
      </c>
    </row>
    <row r="479" spans="1:16" x14ac:dyDescent="0.35">
      <c r="A479" s="5">
        <v>45442</v>
      </c>
      <c r="B479" s="2">
        <v>512</v>
      </c>
      <c r="C479" s="2">
        <v>293.55</v>
      </c>
      <c r="D479" s="2">
        <v>193.07</v>
      </c>
      <c r="E479" s="2">
        <v>379.25</v>
      </c>
      <c r="F479" s="2">
        <v>8</v>
      </c>
      <c r="G479" s="2">
        <v>195</v>
      </c>
      <c r="H479" s="2">
        <v>1980</v>
      </c>
      <c r="I479" s="2">
        <v>1790</v>
      </c>
      <c r="J479" s="2">
        <v>1337</v>
      </c>
      <c r="K479" s="2">
        <v>4200</v>
      </c>
      <c r="L479" s="2">
        <v>140</v>
      </c>
      <c r="M479" s="2">
        <v>29.92</v>
      </c>
      <c r="N479" s="2">
        <v>249.95</v>
      </c>
      <c r="O479" s="2">
        <v>84.66</v>
      </c>
      <c r="P479" s="2">
        <v>2350</v>
      </c>
    </row>
    <row r="480" spans="1:16" x14ac:dyDescent="0.35">
      <c r="A480" s="5">
        <v>45443</v>
      </c>
      <c r="B480" s="2">
        <v>515</v>
      </c>
      <c r="C480" s="2">
        <v>294</v>
      </c>
      <c r="D480" s="2">
        <v>193.91</v>
      </c>
      <c r="E480" s="2">
        <v>381.7</v>
      </c>
      <c r="F480" s="2">
        <v>8</v>
      </c>
      <c r="G480" s="2">
        <v>194.2</v>
      </c>
      <c r="H480" s="2">
        <v>1970</v>
      </c>
      <c r="I480" s="2">
        <v>1780</v>
      </c>
      <c r="J480" s="2">
        <v>1330</v>
      </c>
      <c r="K480" s="2">
        <v>4200</v>
      </c>
      <c r="L480" s="2">
        <v>137.5</v>
      </c>
      <c r="M480" s="2">
        <v>30</v>
      </c>
      <c r="N480" s="2">
        <v>245</v>
      </c>
      <c r="O480" s="2">
        <v>81.08</v>
      </c>
      <c r="P480" s="2">
        <v>2300</v>
      </c>
    </row>
    <row r="481" spans="1:16" x14ac:dyDescent="0.35">
      <c r="A481" s="5">
        <v>45449</v>
      </c>
      <c r="B481" s="2">
        <v>512.20000000000005</v>
      </c>
      <c r="C481" s="2">
        <v>293</v>
      </c>
      <c r="D481" s="2">
        <v>191.94</v>
      </c>
      <c r="E481" s="2">
        <v>379.2</v>
      </c>
      <c r="F481" s="2">
        <v>8.0500000000000007</v>
      </c>
      <c r="G481" s="2">
        <v>193.5</v>
      </c>
      <c r="H481" s="2">
        <v>1950</v>
      </c>
      <c r="I481" s="2">
        <v>1750</v>
      </c>
      <c r="J481" s="2">
        <v>1359</v>
      </c>
      <c r="K481" s="2">
        <v>4155</v>
      </c>
      <c r="L481" s="2">
        <v>136.69999999999999</v>
      </c>
      <c r="M481" s="2">
        <v>30.15</v>
      </c>
      <c r="N481" s="2">
        <v>244</v>
      </c>
      <c r="O481" s="2">
        <v>77</v>
      </c>
      <c r="P481" s="2">
        <v>2223</v>
      </c>
    </row>
    <row r="482" spans="1:16" x14ac:dyDescent="0.35">
      <c r="A482" s="5">
        <v>45450</v>
      </c>
      <c r="B482" s="2">
        <v>511.1</v>
      </c>
      <c r="C482" s="2">
        <v>293.95</v>
      </c>
      <c r="D482" s="2">
        <v>190.12</v>
      </c>
      <c r="E482" s="2">
        <v>381.2</v>
      </c>
      <c r="F482" s="2">
        <v>8.0500000000000007</v>
      </c>
      <c r="G482" s="2">
        <v>194</v>
      </c>
      <c r="H482" s="2">
        <v>1948</v>
      </c>
      <c r="I482" s="2">
        <v>1756</v>
      </c>
      <c r="J482" s="2">
        <v>1330</v>
      </c>
      <c r="K482" s="2">
        <v>4003</v>
      </c>
      <c r="L482" s="2">
        <v>136.69999999999999</v>
      </c>
      <c r="M482" s="2">
        <v>29.7</v>
      </c>
      <c r="N482" s="2">
        <v>240</v>
      </c>
      <c r="O482" s="2">
        <v>75</v>
      </c>
      <c r="P482" s="2">
        <v>2300</v>
      </c>
    </row>
    <row r="483" spans="1:16" x14ac:dyDescent="0.35">
      <c r="A483" s="5">
        <v>45453</v>
      </c>
      <c r="B483" s="2">
        <v>509</v>
      </c>
      <c r="C483" s="2">
        <v>292</v>
      </c>
      <c r="D483" s="2">
        <v>191.1</v>
      </c>
      <c r="E483" s="2">
        <v>379.15</v>
      </c>
      <c r="F483" s="2">
        <v>8.0500000000000007</v>
      </c>
      <c r="G483" s="2">
        <v>193</v>
      </c>
      <c r="H483" s="2">
        <v>1935</v>
      </c>
      <c r="I483" s="2">
        <v>1756</v>
      </c>
      <c r="J483" s="2">
        <v>1320</v>
      </c>
      <c r="K483" s="2">
        <v>4003</v>
      </c>
      <c r="L483" s="2">
        <v>136.69999999999999</v>
      </c>
      <c r="M483" s="2">
        <v>29.7</v>
      </c>
      <c r="N483" s="2">
        <v>245</v>
      </c>
      <c r="O483" s="2">
        <v>76</v>
      </c>
      <c r="P483" s="2">
        <v>2300</v>
      </c>
    </row>
    <row r="484" spans="1:16" x14ac:dyDescent="0.35">
      <c r="A484" s="5">
        <v>45457</v>
      </c>
      <c r="B484" s="2">
        <v>509</v>
      </c>
      <c r="C484" s="2">
        <v>292</v>
      </c>
      <c r="D484" s="2">
        <v>190.12</v>
      </c>
      <c r="E484" s="2">
        <v>379.05</v>
      </c>
      <c r="F484" s="2">
        <v>8.1</v>
      </c>
      <c r="G484" s="2">
        <v>193.4</v>
      </c>
      <c r="H484" s="2">
        <v>1910</v>
      </c>
      <c r="I484" s="2">
        <v>1760</v>
      </c>
      <c r="J484" s="2">
        <v>1330</v>
      </c>
      <c r="K484" s="2">
        <v>3950</v>
      </c>
      <c r="L484" s="2">
        <v>136.4</v>
      </c>
      <c r="M484" s="2">
        <v>29.74</v>
      </c>
      <c r="N484" s="2">
        <v>250</v>
      </c>
      <c r="O484" s="2">
        <v>82</v>
      </c>
      <c r="P484" s="2">
        <v>2300</v>
      </c>
    </row>
    <row r="485" spans="1:16" x14ac:dyDescent="0.35">
      <c r="A485" s="5">
        <v>45463</v>
      </c>
      <c r="B485" s="2">
        <v>509.2</v>
      </c>
      <c r="C485" s="2">
        <v>291.95</v>
      </c>
      <c r="D485" s="2">
        <v>187.16</v>
      </c>
      <c r="E485" s="2">
        <v>376.21</v>
      </c>
      <c r="F485" s="2">
        <v>8.1</v>
      </c>
      <c r="G485" s="2">
        <v>192.6</v>
      </c>
      <c r="H485" s="2">
        <v>1910</v>
      </c>
      <c r="I485" s="2">
        <v>1800</v>
      </c>
      <c r="J485" s="2">
        <v>1337</v>
      </c>
      <c r="K485" s="2">
        <v>4050</v>
      </c>
      <c r="L485" s="2">
        <v>136.6</v>
      </c>
      <c r="M485" s="2">
        <v>29.75</v>
      </c>
      <c r="N485" s="2">
        <v>252.9</v>
      </c>
      <c r="O485" s="2">
        <v>81</v>
      </c>
      <c r="P485" s="2">
        <v>2441</v>
      </c>
    </row>
    <row r="486" spans="1:16" x14ac:dyDescent="0.35">
      <c r="A486" s="5">
        <v>45464</v>
      </c>
      <c r="B486" s="2">
        <v>510</v>
      </c>
      <c r="C486" s="2">
        <v>291.5</v>
      </c>
      <c r="D486" s="2">
        <v>187.16</v>
      </c>
      <c r="E486" s="2">
        <v>377.71</v>
      </c>
      <c r="F486" s="2">
        <v>7.95</v>
      </c>
      <c r="G486" s="2">
        <v>190</v>
      </c>
      <c r="H486" s="2">
        <v>1915</v>
      </c>
      <c r="I486" s="2">
        <v>1799</v>
      </c>
      <c r="J486" s="2">
        <v>1336</v>
      </c>
      <c r="K486" s="2">
        <v>4050</v>
      </c>
      <c r="L486" s="2">
        <v>130</v>
      </c>
      <c r="M486" s="2">
        <v>29.61</v>
      </c>
      <c r="N486" s="2">
        <v>248</v>
      </c>
      <c r="O486" s="2">
        <v>80</v>
      </c>
      <c r="P486" s="2">
        <v>2403</v>
      </c>
    </row>
    <row r="487" spans="1:16" x14ac:dyDescent="0.35">
      <c r="A487" s="5">
        <v>45469</v>
      </c>
      <c r="B487" s="2">
        <v>518</v>
      </c>
      <c r="C487" s="2">
        <v>298</v>
      </c>
      <c r="D487" s="2">
        <v>191.1</v>
      </c>
      <c r="E487" s="2">
        <v>385.24</v>
      </c>
      <c r="F487" s="2">
        <v>7.85</v>
      </c>
      <c r="G487" s="2">
        <v>195</v>
      </c>
      <c r="H487" s="2">
        <v>1929</v>
      </c>
      <c r="I487" s="2">
        <v>1800</v>
      </c>
      <c r="J487" s="2">
        <v>1320</v>
      </c>
      <c r="K487" s="2">
        <v>4000</v>
      </c>
      <c r="L487" s="2">
        <v>137</v>
      </c>
      <c r="M487" s="2">
        <v>29.55</v>
      </c>
      <c r="N487" s="2">
        <v>249.85</v>
      </c>
      <c r="O487" s="2">
        <v>79.5</v>
      </c>
      <c r="P487" s="2">
        <v>2479</v>
      </c>
    </row>
    <row r="488" spans="1:16" x14ac:dyDescent="0.35">
      <c r="A488" s="5">
        <v>45470</v>
      </c>
      <c r="B488" s="2">
        <v>515</v>
      </c>
      <c r="C488" s="2">
        <v>293.45</v>
      </c>
      <c r="D488" s="2">
        <v>190.12</v>
      </c>
      <c r="E488" s="2">
        <v>383.2</v>
      </c>
      <c r="F488" s="2">
        <v>7.85</v>
      </c>
      <c r="G488" s="2">
        <v>194.95</v>
      </c>
      <c r="H488" s="2">
        <v>1930</v>
      </c>
      <c r="I488" s="2">
        <v>1800</v>
      </c>
      <c r="J488" s="2">
        <v>1355</v>
      </c>
      <c r="K488" s="2">
        <v>4000</v>
      </c>
      <c r="L488" s="2">
        <v>135</v>
      </c>
      <c r="M488" s="2">
        <v>30.01</v>
      </c>
      <c r="N488" s="2">
        <v>246.15</v>
      </c>
      <c r="O488" s="2">
        <v>79.98</v>
      </c>
      <c r="P488" s="2">
        <v>2450</v>
      </c>
    </row>
    <row r="489" spans="1:16" x14ac:dyDescent="0.35">
      <c r="A489" s="5">
        <v>45471</v>
      </c>
      <c r="B489" s="2">
        <v>515.5</v>
      </c>
      <c r="C489" s="2">
        <v>296</v>
      </c>
      <c r="D489" s="2">
        <v>191.01</v>
      </c>
      <c r="E489" s="2">
        <v>387.19</v>
      </c>
      <c r="F489" s="2">
        <v>8</v>
      </c>
      <c r="G489" s="2">
        <v>195.95</v>
      </c>
      <c r="H489" s="2">
        <v>1900</v>
      </c>
      <c r="I489" s="2">
        <v>1820</v>
      </c>
      <c r="J489" s="2">
        <v>1300</v>
      </c>
      <c r="K489" s="2">
        <v>3900</v>
      </c>
      <c r="L489" s="2">
        <v>132</v>
      </c>
      <c r="M489" s="2">
        <v>30.28</v>
      </c>
      <c r="N489" s="2">
        <v>246</v>
      </c>
      <c r="O489" s="2">
        <v>79.05</v>
      </c>
      <c r="P489" s="2">
        <v>2500</v>
      </c>
    </row>
    <row r="490" spans="1:16" x14ac:dyDescent="0.35">
      <c r="A490" s="5">
        <v>45474</v>
      </c>
      <c r="B490" s="2">
        <v>515</v>
      </c>
      <c r="C490" s="2">
        <v>294</v>
      </c>
      <c r="D490" s="2">
        <v>188.15</v>
      </c>
      <c r="E490" s="2">
        <v>379.2</v>
      </c>
      <c r="F490" s="2">
        <v>8.15</v>
      </c>
      <c r="G490" s="2">
        <v>196</v>
      </c>
      <c r="H490" s="2">
        <v>1920</v>
      </c>
      <c r="I490" s="2">
        <v>1820</v>
      </c>
      <c r="J490" s="2">
        <v>1335</v>
      </c>
      <c r="K490" s="2">
        <v>4198</v>
      </c>
      <c r="L490" s="2">
        <v>133</v>
      </c>
      <c r="M490" s="2">
        <v>29.21</v>
      </c>
      <c r="N490" s="2">
        <v>244.9</v>
      </c>
      <c r="O490" s="2">
        <v>77.05</v>
      </c>
      <c r="P490" s="2">
        <v>2500</v>
      </c>
    </row>
    <row r="491" spans="1:16" x14ac:dyDescent="0.35">
      <c r="A491" s="5">
        <v>45475</v>
      </c>
      <c r="B491" s="2">
        <v>513</v>
      </c>
      <c r="C491" s="2">
        <v>294.14999999999998</v>
      </c>
      <c r="D491" s="2">
        <v>192.09</v>
      </c>
      <c r="E491" s="2">
        <v>379.2</v>
      </c>
      <c r="F491" s="2">
        <v>8.15</v>
      </c>
      <c r="G491" s="2">
        <v>195.1</v>
      </c>
      <c r="H491" s="2">
        <v>1885</v>
      </c>
      <c r="I491" s="2">
        <v>1750</v>
      </c>
      <c r="J491" s="2">
        <v>1319</v>
      </c>
      <c r="K491" s="2">
        <v>3931</v>
      </c>
      <c r="L491" s="2">
        <v>134.94999999999999</v>
      </c>
      <c r="M491" s="2">
        <v>28.8</v>
      </c>
      <c r="N491" s="2">
        <v>240</v>
      </c>
      <c r="O491" s="2">
        <v>76.099999999999994</v>
      </c>
      <c r="P491" s="2">
        <v>2490</v>
      </c>
    </row>
    <row r="492" spans="1:16" x14ac:dyDescent="0.35">
      <c r="A492" s="5">
        <v>45478</v>
      </c>
      <c r="B492" s="2">
        <v>525.1</v>
      </c>
      <c r="C492" s="2">
        <v>298</v>
      </c>
      <c r="D492" s="2">
        <v>192.04</v>
      </c>
      <c r="E492" s="2">
        <v>383.2</v>
      </c>
      <c r="F492" s="2">
        <v>8.3000000000000007</v>
      </c>
      <c r="G492" s="2">
        <v>198.9</v>
      </c>
      <c r="H492" s="2">
        <v>1879</v>
      </c>
      <c r="I492" s="2">
        <v>1770</v>
      </c>
      <c r="J492" s="2">
        <v>1349</v>
      </c>
      <c r="K492" s="2">
        <v>4099</v>
      </c>
      <c r="L492" s="2">
        <v>130</v>
      </c>
      <c r="M492" s="2">
        <v>29.7</v>
      </c>
      <c r="N492" s="2">
        <v>245</v>
      </c>
      <c r="O492" s="2">
        <v>77.5</v>
      </c>
      <c r="P492" s="2">
        <v>2481</v>
      </c>
    </row>
    <row r="493" spans="1:16" x14ac:dyDescent="0.35">
      <c r="A493" s="5">
        <v>45485</v>
      </c>
      <c r="B493" s="2">
        <v>519.70000000000005</v>
      </c>
      <c r="C493" s="2">
        <v>310</v>
      </c>
      <c r="D493" s="2">
        <v>196.03</v>
      </c>
      <c r="E493" s="2">
        <v>378</v>
      </c>
      <c r="F493" s="2">
        <v>8.3000000000000007</v>
      </c>
      <c r="G493" s="2">
        <v>193</v>
      </c>
      <c r="H493" s="2">
        <v>1924</v>
      </c>
      <c r="I493" s="2">
        <v>1757</v>
      </c>
      <c r="J493" s="2">
        <v>1320</v>
      </c>
      <c r="K493" s="2">
        <v>4040</v>
      </c>
      <c r="L493" s="2">
        <v>134</v>
      </c>
      <c r="M493" s="2">
        <v>28.73</v>
      </c>
      <c r="N493" s="2">
        <v>239</v>
      </c>
      <c r="O493" s="2">
        <v>72.849999999999994</v>
      </c>
      <c r="P493" s="2">
        <v>2500</v>
      </c>
    </row>
    <row r="494" spans="1:16" x14ac:dyDescent="0.35">
      <c r="A494" s="5">
        <v>45488</v>
      </c>
      <c r="B494" s="2">
        <v>515</v>
      </c>
      <c r="C494" s="2">
        <v>306</v>
      </c>
      <c r="D494" s="2">
        <v>196.03</v>
      </c>
      <c r="E494" s="2">
        <v>370.4</v>
      </c>
      <c r="F494" s="2">
        <v>8.4</v>
      </c>
      <c r="G494" s="2">
        <v>193</v>
      </c>
      <c r="H494" s="2">
        <v>1900</v>
      </c>
      <c r="I494" s="2">
        <v>1745</v>
      </c>
      <c r="J494" s="2">
        <v>1310</v>
      </c>
      <c r="K494" s="2">
        <v>4040</v>
      </c>
      <c r="L494" s="2">
        <v>130</v>
      </c>
      <c r="M494" s="2">
        <v>28.73</v>
      </c>
      <c r="N494" s="2">
        <v>240</v>
      </c>
      <c r="O494" s="2">
        <v>75.55</v>
      </c>
      <c r="P494" s="2">
        <v>2500</v>
      </c>
    </row>
    <row r="495" spans="1:16" x14ac:dyDescent="0.35">
      <c r="A495" s="5">
        <v>45490</v>
      </c>
      <c r="B495" s="2">
        <v>523</v>
      </c>
      <c r="C495" s="2">
        <v>310</v>
      </c>
      <c r="D495" s="2">
        <v>195.93</v>
      </c>
      <c r="E495" s="2">
        <v>389</v>
      </c>
      <c r="F495" s="2">
        <v>8.3000000000000007</v>
      </c>
      <c r="G495" s="2">
        <v>191.5</v>
      </c>
      <c r="H495" s="2">
        <v>1930</v>
      </c>
      <c r="I495" s="2">
        <v>1762</v>
      </c>
      <c r="J495" s="2">
        <v>1300</v>
      </c>
      <c r="K495" s="2">
        <v>4040</v>
      </c>
      <c r="L495" s="2">
        <v>130</v>
      </c>
      <c r="M495" s="2">
        <v>29.32</v>
      </c>
      <c r="N495" s="2">
        <v>246.7</v>
      </c>
      <c r="O495" s="2">
        <v>77.11</v>
      </c>
      <c r="P495" s="2">
        <v>2510</v>
      </c>
    </row>
    <row r="496" spans="1:16" x14ac:dyDescent="0.35">
      <c r="A496" s="5">
        <v>45491</v>
      </c>
      <c r="B496" s="2">
        <v>523.1</v>
      </c>
      <c r="C496" s="2">
        <v>310</v>
      </c>
      <c r="D496" s="2">
        <v>190.61</v>
      </c>
      <c r="E496" s="2">
        <v>389</v>
      </c>
      <c r="F496" s="2">
        <v>8.3000000000000007</v>
      </c>
      <c r="G496" s="2">
        <v>192</v>
      </c>
      <c r="H496" s="2">
        <v>1960</v>
      </c>
      <c r="I496" s="2">
        <v>1756</v>
      </c>
      <c r="J496" s="2">
        <v>1300</v>
      </c>
      <c r="K496" s="2">
        <v>4040</v>
      </c>
      <c r="L496" s="2">
        <v>132</v>
      </c>
      <c r="M496" s="2">
        <v>29.28</v>
      </c>
      <c r="N496" s="2">
        <v>250</v>
      </c>
      <c r="O496" s="2">
        <v>77.5</v>
      </c>
      <c r="P496" s="2">
        <v>2525</v>
      </c>
    </row>
    <row r="497" spans="1:16" x14ac:dyDescent="0.35">
      <c r="A497" s="5">
        <v>45492</v>
      </c>
      <c r="B497" s="2">
        <v>527.79999999999995</v>
      </c>
      <c r="C497" s="2">
        <v>300</v>
      </c>
      <c r="D497" s="2">
        <v>188.15</v>
      </c>
      <c r="E497" s="2">
        <v>388</v>
      </c>
      <c r="F497" s="2">
        <v>8.3000000000000007</v>
      </c>
      <c r="G497" s="2">
        <v>190</v>
      </c>
      <c r="H497" s="2">
        <v>1950</v>
      </c>
      <c r="I497" s="2">
        <v>1802</v>
      </c>
      <c r="J497" s="2">
        <v>1319</v>
      </c>
      <c r="K497" s="2">
        <v>4010</v>
      </c>
      <c r="L497" s="2">
        <v>133.4</v>
      </c>
      <c r="M497" s="2">
        <v>28.99</v>
      </c>
      <c r="N497" s="2">
        <v>251</v>
      </c>
      <c r="O497" s="2">
        <v>77.010000000000005</v>
      </c>
      <c r="P497" s="2">
        <v>2559</v>
      </c>
    </row>
    <row r="498" spans="1:16" x14ac:dyDescent="0.35">
      <c r="A498" s="5">
        <v>45495</v>
      </c>
      <c r="B498" s="2">
        <v>520.20000000000005</v>
      </c>
      <c r="C498" s="2">
        <v>300</v>
      </c>
      <c r="D498" s="2">
        <v>189.13</v>
      </c>
      <c r="E498" s="2">
        <v>382.05</v>
      </c>
      <c r="F498" s="2">
        <v>8.3000000000000007</v>
      </c>
      <c r="G498" s="2">
        <v>190</v>
      </c>
      <c r="H498" s="2">
        <v>1995</v>
      </c>
      <c r="I498" s="2">
        <v>1811</v>
      </c>
      <c r="J498" s="2">
        <v>1320</v>
      </c>
      <c r="K498" s="2">
        <v>4010</v>
      </c>
      <c r="L498" s="2">
        <v>133.30000000000001</v>
      </c>
      <c r="M498" s="2">
        <v>29.5</v>
      </c>
      <c r="N498" s="2">
        <v>259</v>
      </c>
      <c r="O498" s="2">
        <v>81.95</v>
      </c>
      <c r="P498" s="2">
        <v>2545</v>
      </c>
    </row>
    <row r="499" spans="1:16" x14ac:dyDescent="0.35">
      <c r="A499" s="5">
        <v>45496</v>
      </c>
      <c r="B499" s="2">
        <v>520.5</v>
      </c>
      <c r="C499" s="2">
        <v>300</v>
      </c>
      <c r="D499" s="2">
        <v>188.2</v>
      </c>
      <c r="E499" s="2">
        <v>383</v>
      </c>
      <c r="F499" s="2">
        <v>8.4499999999999993</v>
      </c>
      <c r="G499" s="2">
        <v>189</v>
      </c>
      <c r="H499" s="2">
        <v>1950</v>
      </c>
      <c r="I499" s="2">
        <v>1805</v>
      </c>
      <c r="J499" s="2">
        <v>1320</v>
      </c>
      <c r="K499" s="2">
        <v>3952</v>
      </c>
      <c r="L499" s="2">
        <v>132.9</v>
      </c>
      <c r="M499" s="2">
        <v>30.15</v>
      </c>
      <c r="N499" s="2">
        <v>259</v>
      </c>
      <c r="O499" s="2">
        <v>84</v>
      </c>
      <c r="P499" s="2">
        <v>2573</v>
      </c>
    </row>
    <row r="500" spans="1:16" x14ac:dyDescent="0.35">
      <c r="A500" s="5">
        <v>45497</v>
      </c>
      <c r="B500" s="2">
        <v>523</v>
      </c>
      <c r="C500" s="2">
        <v>304</v>
      </c>
      <c r="D500" s="2">
        <v>187.16</v>
      </c>
      <c r="E500" s="2">
        <v>395</v>
      </c>
      <c r="F500" s="2">
        <v>8.4499999999999993</v>
      </c>
      <c r="G500" s="2">
        <v>190</v>
      </c>
      <c r="H500" s="2">
        <v>1944</v>
      </c>
      <c r="I500" s="2">
        <v>1859</v>
      </c>
      <c r="J500" s="2">
        <v>1319</v>
      </c>
      <c r="K500" s="2">
        <v>4000</v>
      </c>
      <c r="L500" s="2">
        <v>131.30000000000001</v>
      </c>
      <c r="M500" s="2">
        <v>29.96</v>
      </c>
      <c r="N500" s="2">
        <v>255</v>
      </c>
      <c r="O500" s="2">
        <v>83.65</v>
      </c>
      <c r="P500" s="2">
        <v>2650</v>
      </c>
    </row>
    <row r="501" spans="1:16" x14ac:dyDescent="0.35">
      <c r="A501" s="5">
        <v>45499</v>
      </c>
      <c r="B501" s="2">
        <v>540</v>
      </c>
      <c r="C501" s="2">
        <v>307</v>
      </c>
      <c r="D501" s="2">
        <v>192.09</v>
      </c>
      <c r="E501" s="2">
        <v>400</v>
      </c>
      <c r="F501" s="2">
        <v>8.1999999999999993</v>
      </c>
      <c r="G501" s="2">
        <v>190</v>
      </c>
      <c r="H501" s="2">
        <v>1960</v>
      </c>
      <c r="I501" s="2">
        <v>1850</v>
      </c>
      <c r="J501" s="2">
        <v>1320</v>
      </c>
      <c r="K501" s="2">
        <v>4000</v>
      </c>
      <c r="L501" s="2">
        <v>132.80000000000001</v>
      </c>
      <c r="M501" s="2">
        <v>30.46</v>
      </c>
      <c r="N501" s="2">
        <v>258</v>
      </c>
      <c r="O501" s="2">
        <v>83.9</v>
      </c>
      <c r="P501" s="2">
        <v>2650</v>
      </c>
    </row>
    <row r="502" spans="1:16" x14ac:dyDescent="0.35">
      <c r="A502" s="5">
        <v>45502</v>
      </c>
      <c r="B502" s="2">
        <v>555</v>
      </c>
      <c r="C502" s="2">
        <v>307</v>
      </c>
      <c r="D502" s="2">
        <v>188.3</v>
      </c>
      <c r="E502" s="2">
        <v>402</v>
      </c>
      <c r="F502" s="2">
        <v>8.1999999999999993</v>
      </c>
      <c r="G502" s="2">
        <v>193</v>
      </c>
      <c r="H502" s="2">
        <v>1980</v>
      </c>
      <c r="I502" s="2">
        <v>1845</v>
      </c>
      <c r="J502" s="2">
        <v>1300</v>
      </c>
      <c r="K502" s="2">
        <v>4000</v>
      </c>
      <c r="L502" s="2">
        <v>132</v>
      </c>
      <c r="M502" s="2">
        <v>31.59</v>
      </c>
      <c r="N502" s="2">
        <v>263</v>
      </c>
      <c r="O502" s="2">
        <v>86.9</v>
      </c>
      <c r="P502" s="2">
        <v>2701</v>
      </c>
    </row>
    <row r="503" spans="1:16" x14ac:dyDescent="0.35">
      <c r="A503" s="5">
        <v>45506</v>
      </c>
      <c r="B503" s="2">
        <v>554.1</v>
      </c>
      <c r="C503" s="2">
        <v>313.5</v>
      </c>
      <c r="D503" s="2">
        <v>193.07</v>
      </c>
      <c r="E503" s="2">
        <v>407</v>
      </c>
      <c r="F503" s="2">
        <v>8.25</v>
      </c>
      <c r="G503" s="2">
        <v>189.95</v>
      </c>
      <c r="H503" s="2">
        <v>1955</v>
      </c>
      <c r="I503" s="2">
        <v>1880</v>
      </c>
      <c r="J503" s="2">
        <v>1347</v>
      </c>
      <c r="K503" s="2">
        <v>4100</v>
      </c>
      <c r="L503" s="2">
        <v>131</v>
      </c>
      <c r="M503" s="2">
        <v>31.2</v>
      </c>
      <c r="N503" s="2">
        <v>259.75</v>
      </c>
      <c r="O503" s="2">
        <v>85</v>
      </c>
      <c r="P503" s="2">
        <v>2705</v>
      </c>
    </row>
    <row r="504" spans="1:16" x14ac:dyDescent="0.35">
      <c r="A504" s="5">
        <v>45509</v>
      </c>
      <c r="B504" s="2">
        <v>535.5</v>
      </c>
      <c r="C504" s="2">
        <v>305</v>
      </c>
      <c r="D504" s="2">
        <v>192.04</v>
      </c>
      <c r="E504" s="2">
        <v>395</v>
      </c>
      <c r="F504" s="2">
        <v>8.1</v>
      </c>
      <c r="G504" s="2">
        <v>187.75</v>
      </c>
      <c r="H504" s="2">
        <v>1900</v>
      </c>
      <c r="I504" s="2">
        <v>1775</v>
      </c>
      <c r="J504" s="2">
        <v>1295</v>
      </c>
      <c r="K504" s="2">
        <v>4000</v>
      </c>
      <c r="L504" s="2">
        <v>132</v>
      </c>
      <c r="M504" s="2">
        <v>28.52</v>
      </c>
      <c r="N504" s="2">
        <v>239</v>
      </c>
      <c r="O504" s="2">
        <v>78</v>
      </c>
      <c r="P504" s="2">
        <v>2670</v>
      </c>
    </row>
    <row r="505" spans="1:16" x14ac:dyDescent="0.35">
      <c r="A505" s="5">
        <v>45510</v>
      </c>
      <c r="B505" s="2">
        <v>545</v>
      </c>
      <c r="C505" s="2">
        <v>310</v>
      </c>
      <c r="D505" s="2">
        <v>191.99</v>
      </c>
      <c r="E505" s="2">
        <v>398.95</v>
      </c>
      <c r="F505" s="2">
        <v>8.1999999999999993</v>
      </c>
      <c r="G505" s="2">
        <v>189.5</v>
      </c>
      <c r="H505" s="2">
        <v>1930</v>
      </c>
      <c r="I505" s="2">
        <v>1849</v>
      </c>
      <c r="J505" s="2">
        <v>1330</v>
      </c>
      <c r="K505" s="2">
        <v>4000</v>
      </c>
      <c r="L505" s="2">
        <v>131</v>
      </c>
      <c r="M505" s="2">
        <v>29.53</v>
      </c>
      <c r="N505" s="2">
        <v>248</v>
      </c>
      <c r="O505" s="2">
        <v>80.75</v>
      </c>
      <c r="P505" s="2">
        <v>2749</v>
      </c>
    </row>
    <row r="506" spans="1:16" x14ac:dyDescent="0.35">
      <c r="A506" s="5">
        <v>45511</v>
      </c>
      <c r="B506" s="2">
        <v>541.1</v>
      </c>
      <c r="C506" s="2">
        <v>310.05</v>
      </c>
      <c r="D506" s="2">
        <v>191.1</v>
      </c>
      <c r="E506" s="2">
        <v>395</v>
      </c>
      <c r="F506" s="2">
        <v>8.4</v>
      </c>
      <c r="G506" s="2">
        <v>186</v>
      </c>
      <c r="H506" s="2">
        <v>1950</v>
      </c>
      <c r="I506" s="2">
        <v>1840</v>
      </c>
      <c r="J506" s="2">
        <v>1280</v>
      </c>
      <c r="K506" s="2">
        <v>4000</v>
      </c>
      <c r="L506" s="2">
        <v>131</v>
      </c>
      <c r="M506" s="2">
        <v>30.05</v>
      </c>
      <c r="N506" s="2">
        <v>249</v>
      </c>
      <c r="O506" s="2">
        <v>81.88</v>
      </c>
      <c r="P506" s="2">
        <v>2692</v>
      </c>
    </row>
    <row r="507" spans="1:16" x14ac:dyDescent="0.35">
      <c r="A507" s="5">
        <v>45512</v>
      </c>
      <c r="B507" s="2">
        <v>537</v>
      </c>
      <c r="C507" s="2">
        <v>314</v>
      </c>
      <c r="D507" s="2">
        <v>192.09</v>
      </c>
      <c r="E507" s="2">
        <v>394.9</v>
      </c>
      <c r="F507" s="2">
        <v>8.4</v>
      </c>
      <c r="G507" s="2">
        <v>189</v>
      </c>
      <c r="H507" s="2">
        <v>1950</v>
      </c>
      <c r="I507" s="2">
        <v>1840</v>
      </c>
      <c r="J507" s="2">
        <v>1284</v>
      </c>
      <c r="K507" s="2">
        <v>4100</v>
      </c>
      <c r="L507" s="2">
        <v>131</v>
      </c>
      <c r="M507" s="2">
        <v>29.42</v>
      </c>
      <c r="N507" s="2">
        <v>246.7</v>
      </c>
      <c r="O507" s="2">
        <v>81.2</v>
      </c>
      <c r="P507" s="2">
        <v>2760</v>
      </c>
    </row>
    <row r="508" spans="1:16" x14ac:dyDescent="0.35">
      <c r="A508" s="5">
        <v>45513</v>
      </c>
      <c r="B508" s="2">
        <v>541</v>
      </c>
      <c r="C508" s="2">
        <v>315</v>
      </c>
      <c r="D508" s="2">
        <v>195.04</v>
      </c>
      <c r="E508" s="2">
        <v>398.95</v>
      </c>
      <c r="F508" s="2">
        <v>8.4</v>
      </c>
      <c r="G508" s="2">
        <v>186</v>
      </c>
      <c r="H508" s="2">
        <v>1937</v>
      </c>
      <c r="I508" s="2">
        <v>1835</v>
      </c>
      <c r="J508" s="2">
        <v>1300</v>
      </c>
      <c r="K508" s="2">
        <v>4102</v>
      </c>
      <c r="L508" s="2">
        <v>131</v>
      </c>
      <c r="M508" s="2">
        <v>29.9</v>
      </c>
      <c r="N508" s="2">
        <v>248.4</v>
      </c>
      <c r="O508" s="2">
        <v>79.7</v>
      </c>
      <c r="P508" s="2">
        <v>2720</v>
      </c>
    </row>
    <row r="509" spans="1:16" x14ac:dyDescent="0.35">
      <c r="A509" s="5">
        <v>45517</v>
      </c>
      <c r="B509" s="2">
        <v>540</v>
      </c>
      <c r="C509" s="2">
        <v>313.10000000000002</v>
      </c>
      <c r="D509" s="2">
        <v>189.13</v>
      </c>
      <c r="E509" s="2">
        <v>400</v>
      </c>
      <c r="F509" s="2">
        <v>8.4</v>
      </c>
      <c r="G509" s="2">
        <v>188.9</v>
      </c>
      <c r="H509" s="2">
        <v>1970</v>
      </c>
      <c r="I509" s="2">
        <v>1829</v>
      </c>
      <c r="J509" s="2">
        <v>1290</v>
      </c>
      <c r="K509" s="2">
        <v>4100</v>
      </c>
      <c r="L509" s="2">
        <v>131</v>
      </c>
      <c r="M509" s="2">
        <v>30.16</v>
      </c>
      <c r="N509" s="2">
        <v>245.1</v>
      </c>
      <c r="O509" s="2">
        <v>83.9</v>
      </c>
      <c r="P509" s="2">
        <v>2730</v>
      </c>
    </row>
    <row r="510" spans="1:16" x14ac:dyDescent="0.35">
      <c r="A510" s="5">
        <v>45519</v>
      </c>
      <c r="B510" s="2">
        <v>544.4</v>
      </c>
      <c r="C510" s="2">
        <v>314.5</v>
      </c>
      <c r="D510" s="2">
        <v>192.09</v>
      </c>
      <c r="E510" s="2">
        <v>400</v>
      </c>
      <c r="F510" s="2">
        <v>8.4</v>
      </c>
      <c r="G510" s="2">
        <v>188</v>
      </c>
      <c r="H510" s="2">
        <v>1970</v>
      </c>
      <c r="I510" s="2">
        <v>1840</v>
      </c>
      <c r="J510" s="2">
        <v>1290</v>
      </c>
      <c r="K510" s="2">
        <v>4100</v>
      </c>
      <c r="L510" s="2">
        <v>130</v>
      </c>
      <c r="M510" s="2">
        <v>30.6</v>
      </c>
      <c r="N510" s="2">
        <v>249.45</v>
      </c>
      <c r="O510" s="2">
        <v>85.49</v>
      </c>
      <c r="P510" s="2">
        <v>2740</v>
      </c>
    </row>
    <row r="511" spans="1:16" x14ac:dyDescent="0.35">
      <c r="A511" s="5">
        <v>45520</v>
      </c>
      <c r="B511" s="2">
        <v>541.4</v>
      </c>
      <c r="C511" s="2">
        <v>315.89999999999998</v>
      </c>
      <c r="D511" s="2">
        <v>193.07</v>
      </c>
      <c r="E511" s="2">
        <v>403.45</v>
      </c>
      <c r="F511" s="2">
        <v>8.5</v>
      </c>
      <c r="G511" s="2">
        <v>188.9</v>
      </c>
      <c r="H511" s="2">
        <v>1971</v>
      </c>
      <c r="I511" s="2">
        <v>1840</v>
      </c>
      <c r="J511" s="2">
        <v>1290</v>
      </c>
      <c r="K511" s="2">
        <v>4150</v>
      </c>
      <c r="L511" s="2">
        <v>130</v>
      </c>
      <c r="M511" s="2">
        <v>30.29</v>
      </c>
      <c r="N511" s="2">
        <v>248.5</v>
      </c>
      <c r="O511" s="2">
        <v>84.5</v>
      </c>
      <c r="P511" s="2">
        <v>2730</v>
      </c>
    </row>
    <row r="512" spans="1:16" x14ac:dyDescent="0.35">
      <c r="A512" s="5">
        <v>45527</v>
      </c>
      <c r="B512" s="2">
        <v>544</v>
      </c>
      <c r="C512" s="2">
        <v>315</v>
      </c>
      <c r="D512" s="2">
        <v>194.06</v>
      </c>
      <c r="E512" s="2">
        <v>400</v>
      </c>
      <c r="F512" s="2">
        <v>8.5</v>
      </c>
      <c r="G512" s="2">
        <v>187.8</v>
      </c>
      <c r="H512" s="2">
        <v>1970</v>
      </c>
      <c r="I512" s="2">
        <v>1820</v>
      </c>
      <c r="J512" s="2">
        <v>1318</v>
      </c>
      <c r="K512" s="2">
        <v>4100</v>
      </c>
      <c r="L512" s="2">
        <v>134</v>
      </c>
      <c r="M512" s="2">
        <v>30.45</v>
      </c>
      <c r="N512" s="2">
        <v>250</v>
      </c>
      <c r="O512" s="2">
        <v>84.5</v>
      </c>
      <c r="P512" s="2">
        <v>2740</v>
      </c>
    </row>
    <row r="513" spans="1:16" x14ac:dyDescent="0.35">
      <c r="A513" s="5">
        <v>45530</v>
      </c>
      <c r="B513" s="2">
        <v>541.6</v>
      </c>
      <c r="C513" s="2">
        <v>312.8</v>
      </c>
      <c r="D513" s="2">
        <v>194.06</v>
      </c>
      <c r="E513" s="2">
        <v>400</v>
      </c>
      <c r="F513" s="2">
        <v>8.5</v>
      </c>
      <c r="G513" s="2">
        <v>187.5</v>
      </c>
      <c r="H513" s="2">
        <v>1975</v>
      </c>
      <c r="I513" s="2">
        <v>1793</v>
      </c>
      <c r="J513" s="2">
        <v>1327</v>
      </c>
      <c r="K513" s="2">
        <v>4080</v>
      </c>
      <c r="L513" s="2">
        <v>134</v>
      </c>
      <c r="M513" s="2">
        <v>30.38</v>
      </c>
      <c r="N513" s="2">
        <v>250.1</v>
      </c>
      <c r="O513" s="2">
        <v>84.5</v>
      </c>
      <c r="P513" s="2">
        <v>2750</v>
      </c>
    </row>
    <row r="514" spans="1:16" x14ac:dyDescent="0.35">
      <c r="A514" s="5">
        <v>45531</v>
      </c>
      <c r="B514" s="2">
        <v>535</v>
      </c>
      <c r="C514" s="2">
        <v>311.3</v>
      </c>
      <c r="D514" s="2">
        <v>193.07</v>
      </c>
      <c r="E514" s="2">
        <v>406.15</v>
      </c>
      <c r="F514" s="2">
        <v>8.5</v>
      </c>
      <c r="G514" s="2">
        <v>187.5</v>
      </c>
      <c r="H514" s="2">
        <v>1935</v>
      </c>
      <c r="I514" s="2">
        <v>1790</v>
      </c>
      <c r="J514" s="2">
        <v>1325</v>
      </c>
      <c r="K514" s="2">
        <v>4120</v>
      </c>
      <c r="L514" s="2">
        <v>134</v>
      </c>
      <c r="M514" s="2">
        <v>30</v>
      </c>
      <c r="N514" s="2">
        <v>250</v>
      </c>
      <c r="O514" s="2">
        <v>83.99</v>
      </c>
      <c r="P514" s="2">
        <v>2751</v>
      </c>
    </row>
    <row r="515" spans="1:16" x14ac:dyDescent="0.35">
      <c r="A515" s="5">
        <v>45532</v>
      </c>
      <c r="B515" s="2">
        <v>535</v>
      </c>
      <c r="C515" s="2">
        <v>312</v>
      </c>
      <c r="D515" s="2">
        <v>190.12</v>
      </c>
      <c r="E515" s="2">
        <v>406.15</v>
      </c>
      <c r="F515" s="2">
        <v>8.8000000000000007</v>
      </c>
      <c r="G515" s="2">
        <v>188</v>
      </c>
      <c r="H515" s="2">
        <v>1935</v>
      </c>
      <c r="I515" s="2">
        <v>1790</v>
      </c>
      <c r="J515" s="2">
        <v>1310</v>
      </c>
      <c r="K515" s="2">
        <v>4120</v>
      </c>
      <c r="L515" s="2">
        <v>132.6</v>
      </c>
      <c r="M515" s="2">
        <v>30.01</v>
      </c>
      <c r="N515" s="2">
        <v>253</v>
      </c>
      <c r="O515" s="2">
        <v>85.57</v>
      </c>
      <c r="P515" s="2">
        <v>2799</v>
      </c>
    </row>
    <row r="516" spans="1:16" x14ac:dyDescent="0.35">
      <c r="A516" s="5">
        <v>45533</v>
      </c>
      <c r="B516" s="2">
        <v>537</v>
      </c>
      <c r="C516" s="2">
        <v>310</v>
      </c>
      <c r="D516" s="2">
        <v>192.09</v>
      </c>
      <c r="E516" s="2">
        <v>412</v>
      </c>
      <c r="F516" s="2">
        <v>8.8000000000000007</v>
      </c>
      <c r="G516" s="2">
        <v>180.05</v>
      </c>
      <c r="H516" s="2">
        <v>1900</v>
      </c>
      <c r="I516" s="2">
        <v>1760</v>
      </c>
      <c r="J516" s="2">
        <v>1310</v>
      </c>
      <c r="K516" s="2">
        <v>4150</v>
      </c>
      <c r="L516" s="2">
        <v>131.30000000000001</v>
      </c>
      <c r="M516" s="2">
        <v>30.81</v>
      </c>
      <c r="N516" s="2">
        <v>266.89999999999998</v>
      </c>
      <c r="O516" s="2">
        <v>84.6</v>
      </c>
      <c r="P516" s="2">
        <v>2870</v>
      </c>
    </row>
    <row r="517" spans="1:16" x14ac:dyDescent="0.35">
      <c r="A517" s="5">
        <v>45534</v>
      </c>
      <c r="B517" s="2">
        <v>544.79999999999995</v>
      </c>
      <c r="C517" s="2">
        <v>314.5</v>
      </c>
      <c r="D517" s="2">
        <v>189.13</v>
      </c>
      <c r="E517" s="2">
        <v>410</v>
      </c>
      <c r="F517" s="2">
        <v>8.6999999999999993</v>
      </c>
      <c r="G517" s="2">
        <v>184</v>
      </c>
      <c r="H517" s="2">
        <v>1900</v>
      </c>
      <c r="I517" s="2">
        <v>1768</v>
      </c>
      <c r="J517" s="2">
        <v>1290</v>
      </c>
      <c r="K517" s="2">
        <v>4180</v>
      </c>
      <c r="L517" s="2">
        <v>132</v>
      </c>
      <c r="M517" s="2">
        <v>31</v>
      </c>
      <c r="N517" s="2">
        <v>266.5</v>
      </c>
      <c r="O517" s="2">
        <v>76.2</v>
      </c>
      <c r="P517" s="2">
        <v>2830</v>
      </c>
    </row>
    <row r="518" spans="1:16" x14ac:dyDescent="0.35">
      <c r="A518" s="5">
        <v>45537</v>
      </c>
      <c r="B518" s="2">
        <v>540</v>
      </c>
      <c r="C518" s="2">
        <v>310</v>
      </c>
      <c r="D518" s="2">
        <v>189.13</v>
      </c>
      <c r="E518" s="2">
        <v>412</v>
      </c>
      <c r="F518" s="2">
        <v>8.75</v>
      </c>
      <c r="G518" s="2">
        <v>184</v>
      </c>
      <c r="H518" s="2">
        <v>1892</v>
      </c>
      <c r="I518" s="2">
        <v>1765</v>
      </c>
      <c r="J518" s="2">
        <v>1318</v>
      </c>
      <c r="K518" s="2">
        <v>4299</v>
      </c>
      <c r="L518" s="2">
        <v>131</v>
      </c>
      <c r="M518" s="2">
        <v>34.090000000000003</v>
      </c>
      <c r="N518" s="2">
        <v>293.10000000000002</v>
      </c>
      <c r="O518" s="2">
        <v>79.599999999999994</v>
      </c>
      <c r="P518" s="2">
        <v>2850</v>
      </c>
    </row>
    <row r="519" spans="1:16" x14ac:dyDescent="0.35">
      <c r="A519" s="5">
        <v>45540</v>
      </c>
      <c r="B519" s="2">
        <v>536.1</v>
      </c>
      <c r="C519" s="2">
        <v>306</v>
      </c>
      <c r="D519" s="2">
        <v>190.61</v>
      </c>
      <c r="E519" s="2">
        <v>400.55</v>
      </c>
      <c r="F519" s="2">
        <v>8.15</v>
      </c>
      <c r="G519" s="2">
        <v>184</v>
      </c>
      <c r="H519" s="2">
        <v>1910</v>
      </c>
      <c r="I519" s="2">
        <v>1783</v>
      </c>
      <c r="J519" s="2">
        <v>1280</v>
      </c>
      <c r="K519" s="2">
        <v>4250</v>
      </c>
      <c r="L519" s="2">
        <v>131.80000000000001</v>
      </c>
      <c r="M519" s="2">
        <v>35.200000000000003</v>
      </c>
      <c r="N519" s="2">
        <v>287</v>
      </c>
      <c r="O519" s="2">
        <v>76.98</v>
      </c>
      <c r="P519" s="2">
        <v>2849</v>
      </c>
    </row>
    <row r="520" spans="1:16" x14ac:dyDescent="0.35">
      <c r="A520" s="5">
        <v>45544</v>
      </c>
      <c r="B520" s="2">
        <v>536.9</v>
      </c>
      <c r="C520" s="2">
        <v>306</v>
      </c>
      <c r="D520" s="2">
        <v>188.15</v>
      </c>
      <c r="E520" s="2">
        <v>410</v>
      </c>
      <c r="F520" s="2">
        <v>8.3000000000000007</v>
      </c>
      <c r="G520" s="2">
        <v>180.85</v>
      </c>
      <c r="H520" s="2">
        <v>1938</v>
      </c>
      <c r="I520" s="2">
        <v>1770</v>
      </c>
      <c r="J520" s="2">
        <v>1307</v>
      </c>
      <c r="K520" s="2">
        <v>4250</v>
      </c>
      <c r="L520" s="2">
        <v>131.25</v>
      </c>
      <c r="M520" s="2">
        <v>37.5</v>
      </c>
      <c r="N520" s="2">
        <v>310</v>
      </c>
      <c r="O520" s="2">
        <v>76.5</v>
      </c>
      <c r="P520" s="2">
        <v>2830</v>
      </c>
    </row>
    <row r="521" spans="1:16" x14ac:dyDescent="0.35">
      <c r="A521" s="5">
        <v>45545</v>
      </c>
      <c r="B521" s="2">
        <v>536</v>
      </c>
      <c r="C521" s="2">
        <v>305</v>
      </c>
      <c r="D521" s="2">
        <v>190.12</v>
      </c>
      <c r="E521" s="2">
        <v>410</v>
      </c>
      <c r="F521" s="2">
        <v>8.15</v>
      </c>
      <c r="G521" s="2">
        <v>180.85</v>
      </c>
      <c r="H521" s="2">
        <v>1913</v>
      </c>
      <c r="I521" s="2">
        <v>1740</v>
      </c>
      <c r="J521" s="2">
        <v>1320</v>
      </c>
      <c r="K521" s="2">
        <v>4250</v>
      </c>
      <c r="L521" s="2">
        <v>125.6</v>
      </c>
      <c r="M521" s="2">
        <v>36.51</v>
      </c>
      <c r="N521" s="2">
        <v>305</v>
      </c>
      <c r="O521" s="2">
        <v>74.010000000000005</v>
      </c>
      <c r="P521" s="2">
        <v>2850</v>
      </c>
    </row>
    <row r="522" spans="1:16" x14ac:dyDescent="0.35">
      <c r="A522" s="5">
        <v>45548</v>
      </c>
      <c r="B522" s="2">
        <v>539.5</v>
      </c>
      <c r="C522" s="2">
        <v>299</v>
      </c>
      <c r="D522" s="2">
        <v>192.09</v>
      </c>
      <c r="E522" s="2">
        <v>405</v>
      </c>
      <c r="F522" s="2">
        <v>8</v>
      </c>
      <c r="G522" s="2">
        <v>184.15</v>
      </c>
      <c r="H522" s="2">
        <v>1854</v>
      </c>
      <c r="I522" s="2">
        <v>1879</v>
      </c>
      <c r="J522" s="2">
        <v>1310</v>
      </c>
      <c r="K522" s="2">
        <v>4400</v>
      </c>
      <c r="L522" s="2">
        <v>131</v>
      </c>
      <c r="M522" s="2">
        <v>36.5</v>
      </c>
      <c r="N522" s="2">
        <v>302.5</v>
      </c>
      <c r="O522" s="2">
        <v>76.790000000000006</v>
      </c>
      <c r="P522" s="2">
        <v>2799</v>
      </c>
    </row>
    <row r="523" spans="1:16" x14ac:dyDescent="0.35">
      <c r="A523" s="5">
        <v>45553</v>
      </c>
      <c r="B523" s="2">
        <v>540.20000000000005</v>
      </c>
      <c r="C523" s="2">
        <v>299.8</v>
      </c>
      <c r="D523" s="2">
        <v>188.74</v>
      </c>
      <c r="E523" s="2">
        <v>430</v>
      </c>
      <c r="F523" s="2">
        <v>8</v>
      </c>
      <c r="G523" s="2">
        <v>184.9</v>
      </c>
      <c r="H523" s="2">
        <v>1865</v>
      </c>
      <c r="I523" s="2">
        <v>1887</v>
      </c>
      <c r="J523" s="2">
        <v>1310</v>
      </c>
      <c r="K523" s="2">
        <v>4500</v>
      </c>
      <c r="L523" s="2">
        <v>131</v>
      </c>
      <c r="M523" s="2">
        <v>37.53</v>
      </c>
      <c r="N523" s="2">
        <v>311.14999999999998</v>
      </c>
      <c r="O523" s="2">
        <v>76.25</v>
      </c>
      <c r="P523" s="2">
        <v>2834</v>
      </c>
    </row>
    <row r="524" spans="1:16" x14ac:dyDescent="0.35">
      <c r="A524" s="5">
        <v>45554</v>
      </c>
      <c r="B524" s="2">
        <v>549.5</v>
      </c>
      <c r="C524" s="2">
        <v>301</v>
      </c>
      <c r="D524" s="2">
        <v>191.1</v>
      </c>
      <c r="E524" s="2">
        <v>420</v>
      </c>
      <c r="F524" s="2">
        <v>8</v>
      </c>
      <c r="G524" s="2">
        <v>192</v>
      </c>
      <c r="H524" s="2">
        <v>1895</v>
      </c>
      <c r="I524" s="2">
        <v>1841</v>
      </c>
      <c r="J524" s="2">
        <v>1312</v>
      </c>
      <c r="K524" s="2">
        <v>4200</v>
      </c>
      <c r="L524" s="2">
        <v>134</v>
      </c>
      <c r="M524" s="2">
        <v>37.99</v>
      </c>
      <c r="N524" s="2">
        <v>317</v>
      </c>
      <c r="O524" s="2">
        <v>75.45</v>
      </c>
      <c r="P524" s="2">
        <v>2820</v>
      </c>
    </row>
    <row r="525" spans="1:16" x14ac:dyDescent="0.35">
      <c r="A525" s="5">
        <v>45555</v>
      </c>
      <c r="B525" s="2">
        <v>549.70000000000005</v>
      </c>
      <c r="C525" s="2">
        <v>299.95</v>
      </c>
      <c r="D525" s="2">
        <v>189.13</v>
      </c>
      <c r="E525" s="2">
        <v>420</v>
      </c>
      <c r="F525" s="2">
        <v>8</v>
      </c>
      <c r="G525" s="2">
        <v>192.5</v>
      </c>
      <c r="H525" s="2">
        <v>1907</v>
      </c>
      <c r="I525" s="2">
        <v>1865</v>
      </c>
      <c r="J525" s="2">
        <v>1305</v>
      </c>
      <c r="K525" s="2">
        <v>4400</v>
      </c>
      <c r="L525" s="2">
        <v>129.19999999999999</v>
      </c>
      <c r="M525" s="2">
        <v>37.700000000000003</v>
      </c>
      <c r="N525" s="2">
        <v>320</v>
      </c>
      <c r="O525" s="2">
        <v>74.349999999999994</v>
      </c>
      <c r="P525" s="2">
        <v>2819</v>
      </c>
    </row>
    <row r="526" spans="1:16" x14ac:dyDescent="0.35">
      <c r="A526" s="5">
        <v>45559</v>
      </c>
      <c r="B526" s="2">
        <v>546.9</v>
      </c>
      <c r="C526" s="2">
        <v>296.89999999999998</v>
      </c>
      <c r="D526" s="2">
        <v>189.23</v>
      </c>
      <c r="E526" s="2">
        <v>425</v>
      </c>
      <c r="F526" s="2">
        <v>8</v>
      </c>
      <c r="G526" s="2">
        <v>191.95</v>
      </c>
      <c r="H526" s="2">
        <v>1902</v>
      </c>
      <c r="I526" s="2">
        <v>1834</v>
      </c>
      <c r="J526" s="2">
        <v>1300</v>
      </c>
      <c r="K526" s="2">
        <v>4400</v>
      </c>
      <c r="L526" s="2">
        <v>133.5</v>
      </c>
      <c r="M526" s="2">
        <v>36.869999999999997</v>
      </c>
      <c r="N526" s="2">
        <v>313.89999999999998</v>
      </c>
      <c r="O526" s="2">
        <v>73.22</v>
      </c>
      <c r="P526" s="2">
        <v>2810</v>
      </c>
    </row>
    <row r="527" spans="1:16" x14ac:dyDescent="0.35">
      <c r="A527" s="5">
        <v>45560</v>
      </c>
      <c r="B527" s="2">
        <v>550</v>
      </c>
      <c r="C527" s="2">
        <v>299</v>
      </c>
      <c r="D527" s="2">
        <v>190.91</v>
      </c>
      <c r="E527" s="2">
        <v>411</v>
      </c>
      <c r="F527" s="2">
        <v>8</v>
      </c>
      <c r="G527" s="2">
        <v>192</v>
      </c>
      <c r="H527" s="2">
        <v>1873</v>
      </c>
      <c r="I527" s="2">
        <v>1834</v>
      </c>
      <c r="J527" s="2">
        <v>1364</v>
      </c>
      <c r="K527" s="2">
        <v>4500</v>
      </c>
      <c r="L527" s="2">
        <v>134</v>
      </c>
      <c r="M527" s="2">
        <v>37.85</v>
      </c>
      <c r="N527" s="2">
        <v>318</v>
      </c>
      <c r="O527" s="2">
        <v>70.02</v>
      </c>
      <c r="P527" s="2">
        <v>2850</v>
      </c>
    </row>
    <row r="528" spans="1:16" x14ac:dyDescent="0.35">
      <c r="A528" s="5">
        <v>45562</v>
      </c>
      <c r="B528" s="2">
        <v>555</v>
      </c>
      <c r="C528" s="2">
        <v>294.89999999999998</v>
      </c>
      <c r="D528" s="2">
        <v>192.09</v>
      </c>
      <c r="E528" s="2">
        <v>412</v>
      </c>
      <c r="F528" s="2">
        <v>8</v>
      </c>
      <c r="G528" s="2">
        <v>193</v>
      </c>
      <c r="H528" s="2">
        <v>1881</v>
      </c>
      <c r="I528" s="2">
        <v>1849</v>
      </c>
      <c r="J528" s="2">
        <v>1430</v>
      </c>
      <c r="K528" s="2">
        <v>4600</v>
      </c>
      <c r="L528" s="2">
        <v>140.1</v>
      </c>
      <c r="M528" s="2">
        <v>39.299999999999997</v>
      </c>
      <c r="N528" s="2">
        <v>325</v>
      </c>
      <c r="O528" s="2">
        <v>68.900000000000006</v>
      </c>
      <c r="P528" s="2">
        <v>2733</v>
      </c>
    </row>
    <row r="529" spans="1:16" x14ac:dyDescent="0.35">
      <c r="A529" s="5">
        <v>45565</v>
      </c>
      <c r="B529" s="2">
        <v>543</v>
      </c>
      <c r="C529" s="2">
        <v>287.89999999999998</v>
      </c>
      <c r="D529" s="2">
        <v>190.12</v>
      </c>
      <c r="E529" s="2">
        <v>408</v>
      </c>
      <c r="F529" s="2">
        <v>8</v>
      </c>
      <c r="G529" s="2">
        <v>190.8</v>
      </c>
      <c r="H529" s="2">
        <v>1880</v>
      </c>
      <c r="I529" s="2">
        <v>1800</v>
      </c>
      <c r="J529" s="2">
        <v>1450</v>
      </c>
      <c r="K529" s="2">
        <v>4500</v>
      </c>
      <c r="L529" s="2">
        <v>139.94999999999999</v>
      </c>
      <c r="M529" s="2">
        <v>39.25</v>
      </c>
      <c r="N529" s="2">
        <v>323</v>
      </c>
      <c r="O529" s="2">
        <v>75.78</v>
      </c>
      <c r="P529" s="2">
        <v>2758</v>
      </c>
    </row>
    <row r="530" spans="1:16" x14ac:dyDescent="0.35">
      <c r="A530" s="5">
        <v>45566</v>
      </c>
      <c r="B530" s="2">
        <v>544</v>
      </c>
      <c r="C530" s="2">
        <v>288</v>
      </c>
      <c r="D530" s="2">
        <v>188.15</v>
      </c>
      <c r="E530" s="2">
        <v>400.5</v>
      </c>
      <c r="F530" s="2">
        <v>8</v>
      </c>
      <c r="G530" s="2">
        <v>190</v>
      </c>
      <c r="H530" s="2">
        <v>1805</v>
      </c>
      <c r="I530" s="2">
        <v>1769</v>
      </c>
      <c r="J530" s="2">
        <v>1430</v>
      </c>
      <c r="K530" s="2">
        <v>4490</v>
      </c>
      <c r="L530" s="2">
        <v>138.94999999999999</v>
      </c>
      <c r="M530" s="2">
        <v>37.799999999999997</v>
      </c>
      <c r="N530" s="2">
        <v>306</v>
      </c>
      <c r="O530" s="2">
        <v>74.53</v>
      </c>
      <c r="P530" s="2">
        <v>2690</v>
      </c>
    </row>
    <row r="531" spans="1:16" x14ac:dyDescent="0.35">
      <c r="A531" s="5">
        <v>45567</v>
      </c>
      <c r="B531" s="2">
        <v>537</v>
      </c>
      <c r="C531" s="2">
        <v>286</v>
      </c>
      <c r="D531" s="2">
        <v>188.15</v>
      </c>
      <c r="E531" s="2">
        <v>400</v>
      </c>
      <c r="F531" s="2">
        <v>8</v>
      </c>
      <c r="G531" s="2">
        <v>184</v>
      </c>
      <c r="H531" s="2">
        <v>1822</v>
      </c>
      <c r="I531" s="2">
        <v>1743</v>
      </c>
      <c r="J531" s="2">
        <v>1425</v>
      </c>
      <c r="K531" s="2">
        <v>4206</v>
      </c>
      <c r="L531" s="2">
        <v>135</v>
      </c>
      <c r="M531" s="2">
        <v>36.49</v>
      </c>
      <c r="N531" s="2">
        <v>301</v>
      </c>
      <c r="O531" s="2">
        <v>75.489999999999995</v>
      </c>
      <c r="P531" s="2">
        <v>2660</v>
      </c>
    </row>
    <row r="532" spans="1:16" x14ac:dyDescent="0.35">
      <c r="A532" s="5">
        <v>45568</v>
      </c>
      <c r="B532" s="2">
        <v>537</v>
      </c>
      <c r="C532" s="2">
        <v>290</v>
      </c>
      <c r="D532" s="2">
        <v>188.3</v>
      </c>
      <c r="E532" s="2">
        <v>409.95</v>
      </c>
      <c r="F532" s="2">
        <v>8</v>
      </c>
      <c r="G532" s="2">
        <v>187</v>
      </c>
      <c r="H532" s="2">
        <v>1850</v>
      </c>
      <c r="I532" s="2">
        <v>1745</v>
      </c>
      <c r="J532" s="2">
        <v>1450</v>
      </c>
      <c r="K532" s="2">
        <v>4479</v>
      </c>
      <c r="L532" s="2">
        <v>131.30000000000001</v>
      </c>
      <c r="M532" s="2">
        <v>36.119999999999997</v>
      </c>
      <c r="N532" s="2">
        <v>300</v>
      </c>
      <c r="O532" s="2">
        <v>79</v>
      </c>
      <c r="P532" s="2">
        <v>2700</v>
      </c>
    </row>
    <row r="533" spans="1:16" x14ac:dyDescent="0.35">
      <c r="A533" s="5">
        <v>45569</v>
      </c>
      <c r="B533" s="2">
        <v>538</v>
      </c>
      <c r="C533" s="2">
        <v>290</v>
      </c>
      <c r="D533" s="2">
        <v>190.12</v>
      </c>
      <c r="E533" s="2">
        <v>405</v>
      </c>
      <c r="F533" s="2">
        <v>8</v>
      </c>
      <c r="G533" s="2">
        <v>189</v>
      </c>
      <c r="H533" s="2">
        <v>1851</v>
      </c>
      <c r="I533" s="2">
        <v>1799</v>
      </c>
      <c r="J533" s="2">
        <v>1490</v>
      </c>
      <c r="K533" s="2">
        <v>4479</v>
      </c>
      <c r="L533" s="2">
        <v>130.19999999999999</v>
      </c>
      <c r="M533" s="2">
        <v>36.299999999999997</v>
      </c>
      <c r="N533" s="2">
        <v>297</v>
      </c>
      <c r="O533" s="2">
        <v>80</v>
      </c>
      <c r="P533" s="2">
        <v>2700</v>
      </c>
    </row>
    <row r="534" spans="1:16" x14ac:dyDescent="0.35">
      <c r="A534" s="5">
        <v>45572</v>
      </c>
      <c r="B534" s="2">
        <v>530</v>
      </c>
      <c r="C534" s="2">
        <v>287.89999999999998</v>
      </c>
      <c r="D534" s="2">
        <v>189.13</v>
      </c>
      <c r="E534" s="2">
        <v>400</v>
      </c>
      <c r="F534" s="2">
        <v>8</v>
      </c>
      <c r="G534" s="2">
        <v>197</v>
      </c>
      <c r="H534" s="2">
        <v>1851</v>
      </c>
      <c r="I534" s="2">
        <v>1796</v>
      </c>
      <c r="J534" s="2">
        <v>1580</v>
      </c>
      <c r="K534" s="2">
        <v>4479</v>
      </c>
      <c r="L534" s="2">
        <v>130.30000000000001</v>
      </c>
      <c r="M534" s="2">
        <v>36</v>
      </c>
      <c r="N534" s="2">
        <v>296</v>
      </c>
      <c r="O534" s="2">
        <v>79.599999999999994</v>
      </c>
      <c r="P534" s="2">
        <v>2700</v>
      </c>
    </row>
    <row r="535" spans="1:16" x14ac:dyDescent="0.35">
      <c r="A535" s="5">
        <v>45573</v>
      </c>
      <c r="B535" s="2">
        <v>525</v>
      </c>
      <c r="C535" s="2">
        <v>285</v>
      </c>
      <c r="D535" s="2">
        <v>190.2</v>
      </c>
      <c r="E535" s="2">
        <v>400.1</v>
      </c>
      <c r="F535" s="2">
        <v>8</v>
      </c>
      <c r="G535" s="2">
        <v>197</v>
      </c>
      <c r="H535" s="2">
        <v>1835</v>
      </c>
      <c r="I535" s="2">
        <v>1756</v>
      </c>
      <c r="J535" s="2">
        <v>1549</v>
      </c>
      <c r="K535" s="2">
        <v>4490</v>
      </c>
      <c r="L535" s="2">
        <v>130.25</v>
      </c>
      <c r="M535" s="2">
        <v>34.51</v>
      </c>
      <c r="N535" s="2">
        <v>292</v>
      </c>
      <c r="O535" s="2">
        <v>76</v>
      </c>
      <c r="P535" s="2">
        <v>2660</v>
      </c>
    </row>
    <row r="536" spans="1:16" x14ac:dyDescent="0.35">
      <c r="A536" s="5">
        <v>45576</v>
      </c>
      <c r="B536" s="2">
        <v>538</v>
      </c>
      <c r="C536" s="2">
        <v>288.5</v>
      </c>
      <c r="D536" s="2">
        <v>190</v>
      </c>
      <c r="E536" s="2">
        <v>390.1</v>
      </c>
      <c r="F536" s="2">
        <v>8</v>
      </c>
      <c r="G536" s="2">
        <v>196</v>
      </c>
      <c r="H536" s="2">
        <v>1838</v>
      </c>
      <c r="I536" s="2">
        <v>1750</v>
      </c>
      <c r="J536" s="2">
        <v>1575</v>
      </c>
      <c r="K536" s="2">
        <v>4550</v>
      </c>
      <c r="L536" s="2">
        <v>130.19999999999999</v>
      </c>
      <c r="M536" s="2">
        <v>33.299999999999997</v>
      </c>
      <c r="N536" s="2">
        <v>300</v>
      </c>
      <c r="O536" s="2">
        <v>75.95</v>
      </c>
      <c r="P536" s="2">
        <v>2685</v>
      </c>
    </row>
    <row r="537" spans="1:16" x14ac:dyDescent="0.35">
      <c r="A537" s="5">
        <v>45579</v>
      </c>
      <c r="B537" s="2">
        <v>535</v>
      </c>
      <c r="C537" s="2">
        <v>289.89999999999998</v>
      </c>
      <c r="D537" s="2">
        <v>190</v>
      </c>
      <c r="E537" s="2">
        <v>399.85</v>
      </c>
      <c r="F537" s="2">
        <v>8.15</v>
      </c>
      <c r="G537" s="2">
        <v>196.1</v>
      </c>
      <c r="H537" s="2">
        <v>1820</v>
      </c>
      <c r="I537" s="2">
        <v>1750</v>
      </c>
      <c r="J537" s="2">
        <v>1575</v>
      </c>
      <c r="K537" s="2">
        <v>4550</v>
      </c>
      <c r="L537" s="2">
        <v>130.19999999999999</v>
      </c>
      <c r="M537" s="2">
        <v>32.1</v>
      </c>
      <c r="N537" s="2">
        <v>293</v>
      </c>
      <c r="O537" s="2">
        <v>75.150000000000006</v>
      </c>
      <c r="P537" s="2">
        <v>2685</v>
      </c>
    </row>
    <row r="538" spans="1:16" x14ac:dyDescent="0.35">
      <c r="A538" s="5">
        <v>45581</v>
      </c>
      <c r="B538" s="2">
        <v>533</v>
      </c>
      <c r="C538" s="2">
        <v>289</v>
      </c>
      <c r="D538" s="2">
        <v>188</v>
      </c>
      <c r="E538" s="2">
        <v>399</v>
      </c>
      <c r="F538" s="2">
        <v>8.15</v>
      </c>
      <c r="G538" s="2">
        <v>192</v>
      </c>
      <c r="H538" s="2">
        <v>1780</v>
      </c>
      <c r="I538" s="2">
        <v>1720</v>
      </c>
      <c r="J538" s="2">
        <v>1520</v>
      </c>
      <c r="K538" s="2">
        <v>4350</v>
      </c>
      <c r="L538" s="2">
        <v>130.1</v>
      </c>
      <c r="M538" s="2">
        <v>31.7</v>
      </c>
      <c r="N538" s="2">
        <v>288</v>
      </c>
      <c r="O538" s="2">
        <v>71.900000000000006</v>
      </c>
      <c r="P538" s="2">
        <v>2690</v>
      </c>
    </row>
    <row r="539" spans="1:16" x14ac:dyDescent="0.35">
      <c r="A539" s="5">
        <v>45582</v>
      </c>
      <c r="B539" s="2">
        <v>539.9</v>
      </c>
      <c r="C539" s="2">
        <v>291.95</v>
      </c>
      <c r="D539" s="2">
        <v>189.5</v>
      </c>
      <c r="E539" s="2">
        <v>404</v>
      </c>
      <c r="F539" s="2">
        <v>8.25</v>
      </c>
      <c r="G539" s="2">
        <v>196</v>
      </c>
      <c r="H539" s="2">
        <v>1801</v>
      </c>
      <c r="I539" s="2">
        <v>1790</v>
      </c>
      <c r="J539" s="2">
        <v>1549</v>
      </c>
      <c r="K539" s="2">
        <v>4498</v>
      </c>
      <c r="L539" s="2">
        <v>139</v>
      </c>
      <c r="M539" s="2">
        <v>34.86</v>
      </c>
      <c r="N539" s="2">
        <v>310</v>
      </c>
      <c r="O539" s="2">
        <v>75.62</v>
      </c>
      <c r="P539" s="2">
        <v>2719</v>
      </c>
    </row>
    <row r="540" spans="1:16" x14ac:dyDescent="0.35">
      <c r="A540" s="5">
        <v>45583</v>
      </c>
      <c r="B540" s="2">
        <v>538</v>
      </c>
      <c r="C540" s="2">
        <v>292</v>
      </c>
      <c r="D540" s="2">
        <v>189</v>
      </c>
      <c r="E540" s="2">
        <v>404</v>
      </c>
      <c r="F540" s="2">
        <v>8.25</v>
      </c>
      <c r="G540" s="2">
        <v>196</v>
      </c>
      <c r="H540" s="2">
        <v>1821</v>
      </c>
      <c r="I540" s="2">
        <v>1760</v>
      </c>
      <c r="J540" s="2">
        <v>1550</v>
      </c>
      <c r="K540" s="2">
        <v>4498</v>
      </c>
      <c r="L540" s="2">
        <v>138.15</v>
      </c>
      <c r="M540" s="2">
        <v>33.5</v>
      </c>
      <c r="N540" s="2">
        <v>300</v>
      </c>
      <c r="O540" s="2">
        <v>74.5</v>
      </c>
      <c r="P540" s="2">
        <v>2748</v>
      </c>
    </row>
    <row r="541" spans="1:16" x14ac:dyDescent="0.35">
      <c r="A541" s="5">
        <v>45587</v>
      </c>
      <c r="B541" s="2">
        <v>538.9</v>
      </c>
      <c r="C541" s="2">
        <v>291</v>
      </c>
      <c r="D541" s="2">
        <v>189</v>
      </c>
      <c r="E541" s="2">
        <v>402</v>
      </c>
      <c r="F541" s="2">
        <v>8.25</v>
      </c>
      <c r="G541" s="2">
        <v>193</v>
      </c>
      <c r="H541" s="2">
        <v>1825</v>
      </c>
      <c r="I541" s="2">
        <v>1780</v>
      </c>
      <c r="J541" s="2">
        <v>1549</v>
      </c>
      <c r="K541" s="2">
        <v>4499</v>
      </c>
      <c r="L541" s="2">
        <v>137.94999999999999</v>
      </c>
      <c r="M541" s="2">
        <v>33.42</v>
      </c>
      <c r="N541" s="2">
        <v>305</v>
      </c>
      <c r="O541" s="2">
        <v>80</v>
      </c>
      <c r="P541" s="2">
        <v>2701</v>
      </c>
    </row>
    <row r="542" spans="1:16" x14ac:dyDescent="0.35">
      <c r="A542" s="5">
        <v>45590</v>
      </c>
      <c r="B542" s="2">
        <v>545</v>
      </c>
      <c r="C542" s="2">
        <v>290</v>
      </c>
      <c r="D542" s="2">
        <v>188</v>
      </c>
      <c r="E542" s="2">
        <v>403</v>
      </c>
      <c r="F542" s="2">
        <v>8.3000000000000007</v>
      </c>
      <c r="G542" s="2">
        <v>196.05</v>
      </c>
      <c r="H542" s="2">
        <v>1832</v>
      </c>
      <c r="I542" s="2">
        <v>1773</v>
      </c>
      <c r="J542" s="2">
        <v>1530</v>
      </c>
      <c r="K542" s="2">
        <v>4400</v>
      </c>
      <c r="L542" s="2">
        <v>134</v>
      </c>
      <c r="M542" s="2">
        <v>35</v>
      </c>
      <c r="N542" s="2">
        <v>323</v>
      </c>
      <c r="O542" s="2">
        <v>78.2</v>
      </c>
      <c r="P542" s="2">
        <v>2778</v>
      </c>
    </row>
    <row r="543" spans="1:16" x14ac:dyDescent="0.35">
      <c r="A543" s="5">
        <v>45593</v>
      </c>
      <c r="B543" s="2">
        <v>545</v>
      </c>
      <c r="C543" s="2">
        <v>290</v>
      </c>
      <c r="D543" s="2">
        <v>189</v>
      </c>
      <c r="E543" s="2">
        <v>406</v>
      </c>
      <c r="F543" s="2">
        <v>8.3000000000000007</v>
      </c>
      <c r="G543" s="2">
        <v>195</v>
      </c>
      <c r="H543" s="2">
        <v>1825</v>
      </c>
      <c r="I543" s="2">
        <v>1780</v>
      </c>
      <c r="J543" s="2">
        <v>1533</v>
      </c>
      <c r="K543" s="2">
        <v>4306</v>
      </c>
      <c r="L543" s="2">
        <v>131.75</v>
      </c>
      <c r="M543" s="2">
        <v>35</v>
      </c>
      <c r="N543" s="2">
        <v>335</v>
      </c>
      <c r="O543" s="2">
        <v>77</v>
      </c>
      <c r="P543" s="2">
        <v>2720</v>
      </c>
    </row>
    <row r="544" spans="1:16" x14ac:dyDescent="0.35">
      <c r="A544" s="5">
        <v>45594</v>
      </c>
      <c r="B544" s="2">
        <v>545</v>
      </c>
      <c r="C544" s="2">
        <v>287</v>
      </c>
      <c r="D544" s="2">
        <v>187.5</v>
      </c>
      <c r="E544" s="2">
        <v>400</v>
      </c>
      <c r="F544" s="2">
        <v>8.15</v>
      </c>
      <c r="G544" s="2">
        <v>192.65</v>
      </c>
      <c r="H544" s="2">
        <v>1855</v>
      </c>
      <c r="I544" s="2">
        <v>1828</v>
      </c>
      <c r="J544" s="2">
        <v>1500</v>
      </c>
      <c r="K544" s="2">
        <v>4400</v>
      </c>
      <c r="L544" s="2">
        <v>133</v>
      </c>
      <c r="M544" s="2">
        <v>34.5</v>
      </c>
      <c r="N544" s="2">
        <v>333.1</v>
      </c>
      <c r="O544" s="2">
        <v>77.239999999999995</v>
      </c>
      <c r="P544" s="2">
        <v>2721</v>
      </c>
    </row>
    <row r="545" spans="1:16" x14ac:dyDescent="0.35">
      <c r="A545" s="5">
        <v>45595</v>
      </c>
      <c r="B545" s="2">
        <v>542.1</v>
      </c>
      <c r="C545" s="2">
        <v>288.89999999999998</v>
      </c>
      <c r="D545" s="2">
        <v>188.85</v>
      </c>
      <c r="E545" s="2">
        <v>405</v>
      </c>
      <c r="F545" s="2">
        <v>8.3000000000000007</v>
      </c>
      <c r="G545" s="2">
        <v>194</v>
      </c>
      <c r="H545" s="2">
        <v>1855</v>
      </c>
      <c r="I545" s="2">
        <v>1781</v>
      </c>
      <c r="J545" s="2">
        <v>1493</v>
      </c>
      <c r="K545" s="2">
        <v>4300</v>
      </c>
      <c r="L545" s="2">
        <v>131</v>
      </c>
      <c r="M545" s="2">
        <v>33.9</v>
      </c>
      <c r="N545" s="2">
        <v>326.60000000000002</v>
      </c>
      <c r="O545" s="2">
        <v>76.5</v>
      </c>
      <c r="P545" s="2">
        <v>2750</v>
      </c>
    </row>
    <row r="546" spans="1:16" x14ac:dyDescent="0.35">
      <c r="A546" s="5">
        <v>45596</v>
      </c>
      <c r="B546" s="2">
        <v>541.1</v>
      </c>
      <c r="C546" s="2">
        <v>288</v>
      </c>
      <c r="D546" s="2">
        <v>190</v>
      </c>
      <c r="E546" s="2">
        <v>406</v>
      </c>
      <c r="F546" s="2">
        <v>8.3000000000000007</v>
      </c>
      <c r="G546" s="2">
        <v>193</v>
      </c>
      <c r="H546" s="2">
        <v>1845</v>
      </c>
      <c r="I546" s="2">
        <v>1800</v>
      </c>
      <c r="J546" s="2">
        <v>1466</v>
      </c>
      <c r="K546" s="2">
        <v>4399</v>
      </c>
      <c r="L546" s="2">
        <v>130</v>
      </c>
      <c r="M546" s="2">
        <v>34</v>
      </c>
      <c r="N546" s="2">
        <v>325</v>
      </c>
      <c r="O546" s="2">
        <v>74.5</v>
      </c>
      <c r="P546" s="2">
        <v>2750</v>
      </c>
    </row>
    <row r="547" spans="1:16" x14ac:dyDescent="0.35">
      <c r="A547" s="5">
        <v>45597</v>
      </c>
      <c r="B547" s="2">
        <v>549.9</v>
      </c>
      <c r="C547" s="2">
        <v>292</v>
      </c>
      <c r="D547" s="2">
        <v>190</v>
      </c>
      <c r="E547" s="2">
        <v>407</v>
      </c>
      <c r="F547" s="2">
        <v>8.3000000000000007</v>
      </c>
      <c r="G547" s="2">
        <v>196.5</v>
      </c>
      <c r="H547" s="2">
        <v>1861</v>
      </c>
      <c r="I547" s="2">
        <v>1800</v>
      </c>
      <c r="J547" s="2">
        <v>1499</v>
      </c>
      <c r="K547" s="2">
        <v>4300</v>
      </c>
      <c r="L547" s="2">
        <v>129.1</v>
      </c>
      <c r="M547" s="2">
        <v>34.5</v>
      </c>
      <c r="N547" s="2">
        <v>325</v>
      </c>
      <c r="O547" s="2">
        <v>73.8</v>
      </c>
      <c r="P547" s="2">
        <v>2745</v>
      </c>
    </row>
    <row r="548" spans="1:16" x14ac:dyDescent="0.35">
      <c r="A548" s="5">
        <v>45603</v>
      </c>
      <c r="B548" s="2">
        <v>565</v>
      </c>
      <c r="C548" s="2">
        <v>295</v>
      </c>
      <c r="D548" s="2">
        <v>191</v>
      </c>
      <c r="E548" s="2">
        <v>409.95</v>
      </c>
      <c r="F548" s="2">
        <v>8.15</v>
      </c>
      <c r="G548" s="2">
        <v>196.15</v>
      </c>
      <c r="H548" s="2">
        <v>1910</v>
      </c>
      <c r="I548" s="2">
        <v>1830</v>
      </c>
      <c r="J548" s="2">
        <v>1450</v>
      </c>
      <c r="K548" s="2">
        <v>4399</v>
      </c>
      <c r="L548" s="2">
        <v>131.94999999999999</v>
      </c>
      <c r="M548" s="2">
        <v>34.85</v>
      </c>
      <c r="N548" s="2">
        <v>335</v>
      </c>
      <c r="O548" s="2">
        <v>74.52</v>
      </c>
      <c r="P548" s="2">
        <v>2740</v>
      </c>
    </row>
    <row r="549" spans="1:16" x14ac:dyDescent="0.35">
      <c r="A549" s="5">
        <v>45604</v>
      </c>
      <c r="B549" s="2">
        <v>570.1</v>
      </c>
      <c r="C549" s="2">
        <v>297</v>
      </c>
      <c r="D549" s="2">
        <v>191.9</v>
      </c>
      <c r="E549" s="2">
        <v>415</v>
      </c>
      <c r="F549" s="2">
        <v>8.0500000000000007</v>
      </c>
      <c r="G549" s="2">
        <v>197.05</v>
      </c>
      <c r="H549" s="2">
        <v>1920</v>
      </c>
      <c r="I549" s="2">
        <v>1850</v>
      </c>
      <c r="J549" s="2">
        <v>1455</v>
      </c>
      <c r="K549" s="2">
        <v>4450</v>
      </c>
      <c r="L549" s="2">
        <v>130</v>
      </c>
      <c r="M549" s="2">
        <v>37</v>
      </c>
      <c r="N549" s="2">
        <v>346</v>
      </c>
      <c r="O549" s="2">
        <v>76</v>
      </c>
      <c r="P549" s="2">
        <v>2860</v>
      </c>
    </row>
    <row r="550" spans="1:16" x14ac:dyDescent="0.35">
      <c r="A550" s="5">
        <v>45608</v>
      </c>
      <c r="B550" s="2">
        <v>570</v>
      </c>
      <c r="C550" s="2">
        <v>299</v>
      </c>
      <c r="D550" s="2">
        <v>194.9</v>
      </c>
      <c r="E550" s="2">
        <v>418</v>
      </c>
      <c r="F550" s="2">
        <v>8.0500000000000007</v>
      </c>
      <c r="G550" s="2">
        <v>195</v>
      </c>
      <c r="H550" s="2">
        <v>1929</v>
      </c>
      <c r="I550" s="2">
        <v>1830</v>
      </c>
      <c r="J550" s="2">
        <v>1455</v>
      </c>
      <c r="K550" s="2">
        <v>4447</v>
      </c>
      <c r="L550" s="2">
        <v>130</v>
      </c>
      <c r="M550" s="2">
        <v>36</v>
      </c>
      <c r="N550" s="2">
        <v>350</v>
      </c>
      <c r="O550" s="2">
        <v>75</v>
      </c>
      <c r="P550" s="2">
        <v>2850</v>
      </c>
    </row>
    <row r="551" spans="1:16" x14ac:dyDescent="0.35">
      <c r="A551" s="5">
        <v>45609</v>
      </c>
      <c r="B551" s="2">
        <v>568.1</v>
      </c>
      <c r="C551" s="2">
        <v>298</v>
      </c>
      <c r="D551" s="2">
        <v>195</v>
      </c>
      <c r="E551" s="2">
        <v>415</v>
      </c>
      <c r="F551" s="2">
        <v>8</v>
      </c>
      <c r="G551" s="2">
        <v>194.75</v>
      </c>
      <c r="H551" s="2">
        <v>1935</v>
      </c>
      <c r="I551" s="2">
        <v>1830</v>
      </c>
      <c r="J551" s="2">
        <v>1450</v>
      </c>
      <c r="K551" s="2">
        <v>4445</v>
      </c>
      <c r="L551" s="2">
        <v>130</v>
      </c>
      <c r="M551" s="2">
        <v>35.35</v>
      </c>
      <c r="N551" s="2">
        <v>348.1</v>
      </c>
      <c r="O551" s="2">
        <v>75</v>
      </c>
      <c r="P551" s="2">
        <v>2791</v>
      </c>
    </row>
    <row r="552" spans="1:16" x14ac:dyDescent="0.35">
      <c r="A552" s="5">
        <v>45611</v>
      </c>
      <c r="B552" s="2">
        <v>578</v>
      </c>
      <c r="C552" s="2">
        <v>300</v>
      </c>
      <c r="D552" s="2">
        <v>197</v>
      </c>
      <c r="E552" s="2">
        <v>415.1</v>
      </c>
      <c r="F552" s="2">
        <v>7.9</v>
      </c>
      <c r="G552" s="2">
        <v>196</v>
      </c>
      <c r="H552" s="2">
        <v>2000</v>
      </c>
      <c r="I552" s="2">
        <v>1950</v>
      </c>
      <c r="J552" s="2">
        <v>1400</v>
      </c>
      <c r="K552" s="2">
        <v>4445</v>
      </c>
      <c r="L552" s="2">
        <v>130</v>
      </c>
      <c r="M552" s="2">
        <v>36.200000000000003</v>
      </c>
      <c r="N552" s="2">
        <v>366</v>
      </c>
      <c r="O552" s="2">
        <v>74.510000000000005</v>
      </c>
      <c r="P552" s="2">
        <v>2900</v>
      </c>
    </row>
    <row r="553" spans="1:16" x14ac:dyDescent="0.35">
      <c r="A553" s="5">
        <v>45615</v>
      </c>
      <c r="B553" s="2">
        <v>584</v>
      </c>
      <c r="C553" s="2">
        <v>305</v>
      </c>
      <c r="D553" s="2">
        <v>197</v>
      </c>
      <c r="E553" s="2">
        <v>410.35</v>
      </c>
      <c r="F553" s="2">
        <v>8</v>
      </c>
      <c r="G553" s="2">
        <v>197.5</v>
      </c>
      <c r="H553" s="2">
        <v>2021</v>
      </c>
      <c r="I553" s="2">
        <v>1985</v>
      </c>
      <c r="J553" s="2">
        <v>1397</v>
      </c>
      <c r="K553" s="2">
        <v>4445</v>
      </c>
      <c r="L553" s="2">
        <v>131.5</v>
      </c>
      <c r="M553" s="2">
        <v>37</v>
      </c>
      <c r="N553" s="2">
        <v>372</v>
      </c>
      <c r="O553" s="2">
        <v>74.5</v>
      </c>
      <c r="P553" s="2">
        <v>2900</v>
      </c>
    </row>
    <row r="554" spans="1:16" x14ac:dyDescent="0.35">
      <c r="A554" s="5">
        <v>45616</v>
      </c>
      <c r="B554" s="2">
        <v>580</v>
      </c>
      <c r="C554" s="2">
        <v>304.89999999999998</v>
      </c>
      <c r="D554" s="2">
        <v>195</v>
      </c>
      <c r="E554" s="2">
        <v>419.9</v>
      </c>
      <c r="F554" s="2">
        <v>8</v>
      </c>
      <c r="G554" s="2">
        <v>197.3</v>
      </c>
      <c r="H554" s="2">
        <v>2000</v>
      </c>
      <c r="I554" s="2">
        <v>2002</v>
      </c>
      <c r="J554" s="2">
        <v>1380</v>
      </c>
      <c r="K554" s="2">
        <v>4445</v>
      </c>
      <c r="L554" s="2">
        <v>130.30000000000001</v>
      </c>
      <c r="M554" s="2">
        <v>38</v>
      </c>
      <c r="N554" s="2">
        <v>383.9</v>
      </c>
      <c r="O554" s="2">
        <v>74.599999999999994</v>
      </c>
      <c r="P554" s="2">
        <v>2880</v>
      </c>
    </row>
    <row r="555" spans="1:16" x14ac:dyDescent="0.35">
      <c r="A555" s="5">
        <v>45621</v>
      </c>
      <c r="B555" s="2">
        <v>561</v>
      </c>
      <c r="C555" s="2">
        <v>300</v>
      </c>
      <c r="D555" s="2">
        <v>195.3</v>
      </c>
      <c r="E555" s="2">
        <v>419.85</v>
      </c>
      <c r="F555" s="2">
        <v>7.85</v>
      </c>
      <c r="G555" s="2">
        <v>192</v>
      </c>
      <c r="H555" s="2">
        <v>1980</v>
      </c>
      <c r="I555" s="2">
        <v>1981</v>
      </c>
      <c r="J555" s="2">
        <v>1375</v>
      </c>
      <c r="K555" s="2">
        <v>4400</v>
      </c>
      <c r="L555" s="2">
        <v>131</v>
      </c>
      <c r="M555" s="2">
        <v>37.35</v>
      </c>
      <c r="N555" s="2">
        <v>384.8</v>
      </c>
      <c r="O555" s="2">
        <v>71.599999999999994</v>
      </c>
      <c r="P555" s="2">
        <v>2851</v>
      </c>
    </row>
    <row r="556" spans="1:16" x14ac:dyDescent="0.35">
      <c r="A556" s="5">
        <v>45624</v>
      </c>
      <c r="B556" s="2">
        <v>573.1</v>
      </c>
      <c r="C556" s="2">
        <v>300</v>
      </c>
      <c r="D556" s="2">
        <v>198</v>
      </c>
      <c r="E556" s="2">
        <v>418</v>
      </c>
      <c r="F556" s="2">
        <v>7.9</v>
      </c>
      <c r="G556" s="2">
        <v>196.9</v>
      </c>
      <c r="H556" s="2">
        <v>2000</v>
      </c>
      <c r="I556" s="2">
        <v>2000</v>
      </c>
      <c r="J556" s="2">
        <v>1341</v>
      </c>
      <c r="K556" s="2">
        <v>4530</v>
      </c>
      <c r="L556" s="2">
        <v>128.6</v>
      </c>
      <c r="M556" s="2">
        <v>40.21</v>
      </c>
      <c r="N556" s="2">
        <v>406</v>
      </c>
      <c r="O556" s="2">
        <v>72.099999999999994</v>
      </c>
      <c r="P556" s="2">
        <v>2835</v>
      </c>
    </row>
    <row r="557" spans="1:16" x14ac:dyDescent="0.35">
      <c r="A557" s="5">
        <v>45625</v>
      </c>
      <c r="B557" s="2">
        <v>574</v>
      </c>
      <c r="C557" s="2">
        <v>300</v>
      </c>
      <c r="D557" s="2">
        <v>197.9</v>
      </c>
      <c r="E557" s="2">
        <v>418</v>
      </c>
      <c r="F557" s="2">
        <v>7.95</v>
      </c>
      <c r="G557" s="2">
        <v>197.5</v>
      </c>
      <c r="H557" s="2">
        <v>2000</v>
      </c>
      <c r="I557" s="2">
        <v>1999</v>
      </c>
      <c r="J557" s="2">
        <v>1316</v>
      </c>
      <c r="K557" s="2">
        <v>4301</v>
      </c>
      <c r="L557" s="2">
        <v>130.05000000000001</v>
      </c>
      <c r="M557" s="2">
        <v>40.61</v>
      </c>
      <c r="N557" s="2">
        <v>411</v>
      </c>
      <c r="O557" s="2">
        <v>75.48</v>
      </c>
      <c r="P557" s="2">
        <v>2890</v>
      </c>
    </row>
    <row r="558" spans="1:16" x14ac:dyDescent="0.35">
      <c r="A558" s="5">
        <v>45628</v>
      </c>
      <c r="B558" s="2">
        <v>570</v>
      </c>
      <c r="C558" s="2">
        <v>300</v>
      </c>
      <c r="D558" s="2">
        <v>194.5</v>
      </c>
      <c r="E558" s="2">
        <v>411</v>
      </c>
      <c r="F558" s="2">
        <v>7.95</v>
      </c>
      <c r="G558" s="2">
        <v>196</v>
      </c>
      <c r="H558" s="2">
        <v>1985</v>
      </c>
      <c r="I558" s="2">
        <v>1930</v>
      </c>
      <c r="J558" s="2">
        <v>1312</v>
      </c>
      <c r="K558" s="2">
        <v>4515</v>
      </c>
      <c r="L558" s="2">
        <v>128.35</v>
      </c>
      <c r="M558" s="2">
        <v>38</v>
      </c>
      <c r="N558" s="2">
        <v>412</v>
      </c>
      <c r="O558" s="2">
        <v>72.989999999999995</v>
      </c>
      <c r="P558" s="2">
        <v>2890</v>
      </c>
    </row>
    <row r="559" spans="1:16" x14ac:dyDescent="0.35">
      <c r="A559" s="5">
        <v>45631</v>
      </c>
      <c r="B559" s="2">
        <v>600</v>
      </c>
      <c r="C559" s="2">
        <v>295</v>
      </c>
      <c r="D559" s="2">
        <v>194.3</v>
      </c>
      <c r="E559" s="2">
        <v>411</v>
      </c>
      <c r="F559" s="2">
        <v>7.95</v>
      </c>
      <c r="G559" s="2">
        <v>195.15</v>
      </c>
      <c r="H559" s="2">
        <v>1985</v>
      </c>
      <c r="I559" s="2">
        <v>1935</v>
      </c>
      <c r="J559" s="2">
        <v>1312</v>
      </c>
      <c r="K559" s="2">
        <v>4464</v>
      </c>
      <c r="L559" s="2">
        <v>132</v>
      </c>
      <c r="M559" s="2">
        <v>38.659999999999997</v>
      </c>
      <c r="N559" s="2">
        <v>440</v>
      </c>
      <c r="O559" s="2">
        <v>73.010000000000005</v>
      </c>
      <c r="P559" s="2">
        <v>2878</v>
      </c>
    </row>
    <row r="560" spans="1:16" x14ac:dyDescent="0.35">
      <c r="A560" s="5">
        <v>45632</v>
      </c>
      <c r="B560" s="2">
        <v>575</v>
      </c>
      <c r="C560" s="2">
        <v>295</v>
      </c>
      <c r="D560" s="2">
        <v>194.35</v>
      </c>
      <c r="E560" s="2">
        <v>417</v>
      </c>
      <c r="F560" s="2">
        <v>7.95</v>
      </c>
      <c r="G560" s="2">
        <v>195.5</v>
      </c>
      <c r="H560" s="2">
        <v>1983</v>
      </c>
      <c r="I560" s="2">
        <v>1936</v>
      </c>
      <c r="J560" s="2">
        <v>1313</v>
      </c>
      <c r="K560" s="2">
        <v>4430</v>
      </c>
      <c r="L560" s="2">
        <v>131.69999999999999</v>
      </c>
      <c r="M560" s="2">
        <v>39</v>
      </c>
      <c r="N560" s="2">
        <v>454</v>
      </c>
      <c r="O560" s="2">
        <v>72.7</v>
      </c>
      <c r="P560" s="2">
        <v>2870</v>
      </c>
    </row>
    <row r="561" spans="1:16" x14ac:dyDescent="0.35">
      <c r="A561" s="5">
        <v>45639</v>
      </c>
      <c r="B561" s="2">
        <v>571.79999999999995</v>
      </c>
      <c r="C561" s="2">
        <v>290</v>
      </c>
      <c r="D561" s="2">
        <v>195</v>
      </c>
      <c r="E561" s="2">
        <v>404.9</v>
      </c>
      <c r="F561" s="2">
        <v>7.9</v>
      </c>
      <c r="G561" s="2">
        <v>190.7</v>
      </c>
      <c r="H561" s="2">
        <v>1947</v>
      </c>
      <c r="I561" s="2">
        <v>1925</v>
      </c>
      <c r="J561" s="2">
        <v>1340</v>
      </c>
      <c r="K561" s="2">
        <v>4430</v>
      </c>
      <c r="L561" s="2">
        <v>129</v>
      </c>
      <c r="M561" s="2">
        <v>37.9</v>
      </c>
      <c r="N561" s="2">
        <v>441</v>
      </c>
      <c r="O561" s="2">
        <v>78.86</v>
      </c>
      <c r="P561" s="2">
        <v>2900</v>
      </c>
    </row>
    <row r="562" spans="1:16" x14ac:dyDescent="0.35">
      <c r="A562" s="5">
        <v>45643</v>
      </c>
      <c r="B562" s="2">
        <v>575</v>
      </c>
      <c r="C562" s="2">
        <v>285.3</v>
      </c>
      <c r="D562" s="2">
        <v>196</v>
      </c>
      <c r="E562" s="2">
        <v>405</v>
      </c>
      <c r="F562" s="2">
        <v>7.95</v>
      </c>
      <c r="G562" s="2">
        <v>191.1</v>
      </c>
      <c r="H562" s="2">
        <v>1960</v>
      </c>
      <c r="I562" s="2">
        <v>1911</v>
      </c>
      <c r="J562" s="2">
        <v>1391</v>
      </c>
      <c r="K562" s="2">
        <v>4299</v>
      </c>
      <c r="L562" s="2">
        <v>131</v>
      </c>
      <c r="M562" s="2">
        <v>38</v>
      </c>
      <c r="N562" s="2">
        <v>447.9</v>
      </c>
      <c r="O562" s="2">
        <v>79.45</v>
      </c>
      <c r="P562" s="2">
        <v>2801</v>
      </c>
    </row>
    <row r="563" spans="1:16" x14ac:dyDescent="0.35">
      <c r="A563" s="5">
        <v>45644</v>
      </c>
      <c r="B563" s="2">
        <v>571.6</v>
      </c>
      <c r="C563" s="2">
        <v>285.2</v>
      </c>
      <c r="D563" s="2">
        <v>196.95</v>
      </c>
      <c r="E563" s="2">
        <v>408</v>
      </c>
      <c r="F563" s="2">
        <v>7.95</v>
      </c>
      <c r="G563" s="2">
        <v>190.8</v>
      </c>
      <c r="H563" s="2">
        <v>1941</v>
      </c>
      <c r="I563" s="2">
        <v>1965</v>
      </c>
      <c r="J563" s="2">
        <v>1380</v>
      </c>
      <c r="K563" s="2">
        <v>4260</v>
      </c>
      <c r="L563" s="2">
        <v>130</v>
      </c>
      <c r="M563" s="2">
        <v>37.58</v>
      </c>
      <c r="N563" s="2">
        <v>449.15</v>
      </c>
      <c r="O563" s="2">
        <v>80</v>
      </c>
      <c r="P563" s="2">
        <v>2877</v>
      </c>
    </row>
    <row r="564" spans="1:16" x14ac:dyDescent="0.35">
      <c r="A564" s="5">
        <v>45645</v>
      </c>
      <c r="B564" s="2">
        <v>571.5</v>
      </c>
      <c r="C564" s="2">
        <v>290</v>
      </c>
      <c r="D564" s="2">
        <v>197</v>
      </c>
      <c r="E564" s="2">
        <v>395.4</v>
      </c>
      <c r="F564" s="2">
        <v>7.85</v>
      </c>
      <c r="G564" s="2">
        <v>190</v>
      </c>
      <c r="H564" s="2">
        <v>1941</v>
      </c>
      <c r="I564" s="2">
        <v>1911</v>
      </c>
      <c r="J564" s="2">
        <v>1400</v>
      </c>
      <c r="K564" s="2">
        <v>4250</v>
      </c>
      <c r="L564" s="2">
        <v>130</v>
      </c>
      <c r="M564" s="2">
        <v>36.9</v>
      </c>
      <c r="N564" s="2">
        <v>444.5</v>
      </c>
      <c r="O564" s="2">
        <v>77.989999999999995</v>
      </c>
      <c r="P564" s="2">
        <v>2878</v>
      </c>
    </row>
    <row r="565" spans="1:16" x14ac:dyDescent="0.35">
      <c r="A565" s="5">
        <v>45646</v>
      </c>
      <c r="B565" s="2">
        <v>574</v>
      </c>
      <c r="C565" s="2">
        <v>289.95</v>
      </c>
      <c r="D565" s="2">
        <v>198</v>
      </c>
      <c r="E565" s="2">
        <v>399.9</v>
      </c>
      <c r="F565" s="2">
        <v>7.9</v>
      </c>
      <c r="G565" s="2">
        <v>190</v>
      </c>
      <c r="H565" s="2">
        <v>1910</v>
      </c>
      <c r="I565" s="2">
        <v>1925</v>
      </c>
      <c r="J565" s="2">
        <v>1400</v>
      </c>
      <c r="K565" s="2">
        <v>4254</v>
      </c>
      <c r="L565" s="2">
        <v>128</v>
      </c>
      <c r="M565" s="2">
        <v>36.700000000000003</v>
      </c>
      <c r="N565" s="2">
        <v>443</v>
      </c>
      <c r="O565" s="2">
        <v>76.66</v>
      </c>
      <c r="P565" s="2">
        <v>2846</v>
      </c>
    </row>
    <row r="566" spans="1:16" x14ac:dyDescent="0.35">
      <c r="A566" s="5">
        <v>45649</v>
      </c>
      <c r="B566" s="2">
        <v>574</v>
      </c>
      <c r="C566" s="2">
        <v>285</v>
      </c>
      <c r="D566" s="2">
        <v>198.5</v>
      </c>
      <c r="E566" s="2">
        <v>399.9</v>
      </c>
      <c r="F566" s="2">
        <v>7.95</v>
      </c>
      <c r="G566" s="2">
        <v>190</v>
      </c>
      <c r="H566" s="2">
        <v>1907</v>
      </c>
      <c r="I566" s="2">
        <v>1925</v>
      </c>
      <c r="J566" s="2">
        <v>1341</v>
      </c>
      <c r="K566" s="2">
        <v>4498</v>
      </c>
      <c r="L566" s="2">
        <v>128</v>
      </c>
      <c r="M566" s="2">
        <v>36.700000000000003</v>
      </c>
      <c r="N566" s="2">
        <v>441.3</v>
      </c>
      <c r="O566" s="2">
        <v>76.98</v>
      </c>
      <c r="P566" s="2">
        <v>2850</v>
      </c>
    </row>
    <row r="567" spans="1:16" x14ac:dyDescent="0.35">
      <c r="A567" s="5">
        <v>45653</v>
      </c>
      <c r="B567" s="2">
        <v>566</v>
      </c>
      <c r="C567" s="2">
        <v>281</v>
      </c>
      <c r="D567" s="2">
        <v>200.5</v>
      </c>
      <c r="E567" s="2">
        <v>398</v>
      </c>
      <c r="F567" s="2">
        <v>8</v>
      </c>
      <c r="G567" s="2">
        <v>186.05</v>
      </c>
      <c r="H567" s="2">
        <v>1949</v>
      </c>
      <c r="I567" s="2">
        <v>1920</v>
      </c>
      <c r="J567" s="2">
        <v>1320</v>
      </c>
      <c r="K567" s="2">
        <v>4450</v>
      </c>
      <c r="L567" s="2">
        <v>125</v>
      </c>
      <c r="M567" s="2">
        <v>38.5</v>
      </c>
      <c r="N567" s="2">
        <v>444</v>
      </c>
      <c r="O567" s="2">
        <v>76</v>
      </c>
      <c r="P567" s="2">
        <v>2820</v>
      </c>
    </row>
    <row r="568" spans="1:16" x14ac:dyDescent="0.35">
      <c r="A568" s="5">
        <v>45659</v>
      </c>
      <c r="B568" s="2">
        <v>583</v>
      </c>
      <c r="C568" s="2">
        <v>280</v>
      </c>
      <c r="D568" s="2">
        <v>204</v>
      </c>
      <c r="E568" s="2">
        <v>395</v>
      </c>
      <c r="F568" s="2">
        <v>8.1</v>
      </c>
      <c r="G568" s="2">
        <v>187</v>
      </c>
      <c r="H568" s="2">
        <v>1968</v>
      </c>
      <c r="I568" s="2">
        <v>1886</v>
      </c>
      <c r="J568" s="2">
        <v>1400</v>
      </c>
      <c r="K568" s="2">
        <v>4400</v>
      </c>
      <c r="L568" s="2">
        <v>125.3</v>
      </c>
      <c r="M568" s="2">
        <v>42.5</v>
      </c>
      <c r="N568" s="2">
        <v>520</v>
      </c>
      <c r="O568" s="2">
        <v>78.69</v>
      </c>
      <c r="P568" s="2">
        <v>2833</v>
      </c>
    </row>
    <row r="569" spans="1:16" x14ac:dyDescent="0.35">
      <c r="A569" s="5">
        <v>45660</v>
      </c>
      <c r="B569" s="2">
        <v>608.9</v>
      </c>
      <c r="C569" s="2">
        <v>283.2</v>
      </c>
      <c r="D569" s="2">
        <v>209.5</v>
      </c>
      <c r="E569" s="2">
        <v>409</v>
      </c>
      <c r="F569" s="2">
        <v>7.75</v>
      </c>
      <c r="G569" s="2">
        <v>194</v>
      </c>
      <c r="H569" s="2">
        <v>2040</v>
      </c>
      <c r="I569" s="2">
        <v>1930</v>
      </c>
      <c r="J569" s="2">
        <v>1405</v>
      </c>
      <c r="K569" s="2">
        <v>4540</v>
      </c>
      <c r="L569" s="2">
        <v>130</v>
      </c>
      <c r="M569" s="2">
        <v>44.31</v>
      </c>
      <c r="N569" s="2">
        <v>525</v>
      </c>
      <c r="O569" s="2">
        <v>77</v>
      </c>
      <c r="P569" s="2">
        <v>2900</v>
      </c>
    </row>
    <row r="570" spans="1:16" x14ac:dyDescent="0.35">
      <c r="A570" s="5">
        <v>45663</v>
      </c>
      <c r="B570" s="2">
        <v>605</v>
      </c>
      <c r="C570" s="2">
        <v>284.89999999999998</v>
      </c>
      <c r="D570" s="2">
        <v>209.4</v>
      </c>
      <c r="E570" s="2">
        <v>402.05</v>
      </c>
      <c r="F570" s="2">
        <v>7.7</v>
      </c>
      <c r="G570" s="2">
        <v>191.5</v>
      </c>
      <c r="H570" s="2">
        <v>2040</v>
      </c>
      <c r="I570" s="2">
        <v>1944</v>
      </c>
      <c r="J570" s="2">
        <v>1399</v>
      </c>
      <c r="K570" s="2">
        <v>4500</v>
      </c>
      <c r="L570" s="2">
        <v>128</v>
      </c>
      <c r="M570" s="2">
        <v>43.9</v>
      </c>
      <c r="N570" s="2">
        <v>520.5</v>
      </c>
      <c r="O570" s="2">
        <v>77.98</v>
      </c>
      <c r="P570" s="2">
        <v>2909</v>
      </c>
    </row>
    <row r="571" spans="1:16" x14ac:dyDescent="0.35">
      <c r="A571" s="5">
        <v>45664</v>
      </c>
      <c r="B571" s="2">
        <v>606.1</v>
      </c>
      <c r="C571" s="2">
        <v>284</v>
      </c>
      <c r="D571" s="2">
        <v>203.1</v>
      </c>
      <c r="E571" s="2">
        <v>408</v>
      </c>
      <c r="F571" s="2">
        <v>7.7</v>
      </c>
      <c r="G571" s="2">
        <v>188.6</v>
      </c>
      <c r="H571" s="2">
        <v>2035</v>
      </c>
      <c r="I571" s="2">
        <v>1932</v>
      </c>
      <c r="J571" s="2">
        <v>1400</v>
      </c>
      <c r="K571" s="2">
        <v>4336</v>
      </c>
      <c r="L571" s="2">
        <v>128.1</v>
      </c>
      <c r="M571" s="2">
        <v>45.33</v>
      </c>
      <c r="N571" s="2">
        <v>530</v>
      </c>
      <c r="O571" s="2">
        <v>81.5</v>
      </c>
      <c r="P571" s="2">
        <v>2919</v>
      </c>
    </row>
    <row r="572" spans="1:16" x14ac:dyDescent="0.35">
      <c r="A572" s="5">
        <v>45665</v>
      </c>
      <c r="B572" s="2">
        <v>614.20000000000005</v>
      </c>
      <c r="C572" s="2">
        <v>289.39999999999998</v>
      </c>
      <c r="D572" s="2">
        <v>205.3</v>
      </c>
      <c r="E572" s="2">
        <v>410</v>
      </c>
      <c r="F572" s="2">
        <v>7.7</v>
      </c>
      <c r="G572" s="2">
        <v>192</v>
      </c>
      <c r="H572" s="2">
        <v>2034</v>
      </c>
      <c r="I572" s="2">
        <v>1950</v>
      </c>
      <c r="J572" s="2">
        <v>1400</v>
      </c>
      <c r="K572" s="2">
        <v>4590</v>
      </c>
      <c r="L572" s="2">
        <v>130</v>
      </c>
      <c r="M572" s="2">
        <v>46.25</v>
      </c>
      <c r="N572" s="2">
        <v>545</v>
      </c>
      <c r="O572" s="2">
        <v>89.64</v>
      </c>
      <c r="P572" s="2">
        <v>3059</v>
      </c>
    </row>
    <row r="573" spans="1:16" x14ac:dyDescent="0.35">
      <c r="A573" s="5">
        <v>45666</v>
      </c>
      <c r="B573" s="2">
        <v>621.79999999999995</v>
      </c>
      <c r="C573" s="2">
        <v>288</v>
      </c>
      <c r="D573" s="2">
        <v>210</v>
      </c>
      <c r="E573" s="2">
        <v>400</v>
      </c>
      <c r="F573" s="2">
        <v>7.95</v>
      </c>
      <c r="G573" s="2">
        <v>195.25</v>
      </c>
      <c r="H573" s="2">
        <v>2038</v>
      </c>
      <c r="I573" s="2">
        <v>1940</v>
      </c>
      <c r="J573" s="2">
        <v>1440</v>
      </c>
      <c r="K573" s="2">
        <v>4590</v>
      </c>
      <c r="L573" s="2">
        <v>131.55000000000001</v>
      </c>
      <c r="M573" s="2">
        <v>46.3</v>
      </c>
      <c r="N573" s="2">
        <v>532</v>
      </c>
      <c r="O573" s="2">
        <v>91</v>
      </c>
      <c r="P573" s="2">
        <v>3200</v>
      </c>
    </row>
    <row r="574" spans="1:16" x14ac:dyDescent="0.35">
      <c r="A574" s="5">
        <v>45667</v>
      </c>
      <c r="B574" s="2">
        <v>620</v>
      </c>
      <c r="C574" s="2">
        <v>289.95</v>
      </c>
      <c r="D574" s="2">
        <v>213.65</v>
      </c>
      <c r="E574" s="2">
        <v>409</v>
      </c>
      <c r="F574" s="2">
        <v>7.7</v>
      </c>
      <c r="G574" s="2">
        <v>199</v>
      </c>
      <c r="H574" s="2">
        <v>2038</v>
      </c>
      <c r="I574" s="2">
        <v>1936</v>
      </c>
      <c r="J574" s="2">
        <v>1439</v>
      </c>
      <c r="K574" s="2">
        <v>4590</v>
      </c>
      <c r="L574" s="2">
        <v>133</v>
      </c>
      <c r="M574" s="2">
        <v>45.51</v>
      </c>
      <c r="N574" s="2">
        <v>518</v>
      </c>
      <c r="O574" s="2">
        <v>87.61</v>
      </c>
      <c r="P574" s="2">
        <v>3360</v>
      </c>
    </row>
    <row r="575" spans="1:16" x14ac:dyDescent="0.35">
      <c r="A575" s="5">
        <v>45670</v>
      </c>
      <c r="B575" s="2">
        <v>620</v>
      </c>
      <c r="C575" s="2">
        <v>288</v>
      </c>
      <c r="D575" s="2">
        <v>214.85</v>
      </c>
      <c r="E575" s="2">
        <v>409</v>
      </c>
      <c r="F575" s="2">
        <v>7.7</v>
      </c>
      <c r="G575" s="2">
        <v>208</v>
      </c>
      <c r="H575" s="2">
        <v>2041</v>
      </c>
      <c r="I575" s="2">
        <v>1970</v>
      </c>
      <c r="J575" s="2">
        <v>1430</v>
      </c>
      <c r="K575" s="2">
        <v>4590</v>
      </c>
      <c r="L575" s="2">
        <v>132</v>
      </c>
      <c r="M575" s="2">
        <v>45</v>
      </c>
      <c r="N575" s="2">
        <v>519</v>
      </c>
      <c r="O575" s="2">
        <v>89</v>
      </c>
      <c r="P575" s="2">
        <v>3400</v>
      </c>
    </row>
    <row r="576" spans="1:16" x14ac:dyDescent="0.35">
      <c r="A576" s="5">
        <v>45672</v>
      </c>
      <c r="B576" s="2">
        <v>627.5</v>
      </c>
      <c r="C576" s="2">
        <v>289</v>
      </c>
      <c r="D576" s="2">
        <v>215.1</v>
      </c>
      <c r="E576" s="2">
        <v>414</v>
      </c>
      <c r="F576" s="2">
        <v>7.45</v>
      </c>
      <c r="G576" s="2">
        <v>215</v>
      </c>
      <c r="H576" s="2">
        <v>2045</v>
      </c>
      <c r="I576" s="2">
        <v>1930</v>
      </c>
      <c r="J576" s="2">
        <v>1406</v>
      </c>
      <c r="K576" s="2">
        <v>4750</v>
      </c>
      <c r="L576" s="2">
        <v>143</v>
      </c>
      <c r="M576" s="2">
        <v>45.99</v>
      </c>
      <c r="N576" s="2">
        <v>520</v>
      </c>
      <c r="O576" s="2">
        <v>94.77</v>
      </c>
      <c r="P576" s="2">
        <v>3460</v>
      </c>
    </row>
    <row r="577" spans="1:16" x14ac:dyDescent="0.35">
      <c r="A577" s="5">
        <v>45673</v>
      </c>
      <c r="B577" s="2">
        <v>624.70000000000005</v>
      </c>
      <c r="C577" s="2">
        <v>289</v>
      </c>
      <c r="D577" s="2">
        <v>214.95</v>
      </c>
      <c r="E577" s="2">
        <v>415</v>
      </c>
      <c r="F577" s="2">
        <v>7.7</v>
      </c>
      <c r="G577" s="2">
        <v>213</v>
      </c>
      <c r="H577" s="2">
        <v>2050</v>
      </c>
      <c r="I577" s="2">
        <v>1928</v>
      </c>
      <c r="J577" s="2">
        <v>1425</v>
      </c>
      <c r="K577" s="2">
        <v>4890</v>
      </c>
      <c r="L577" s="2">
        <v>141</v>
      </c>
      <c r="M577" s="2">
        <v>46.5</v>
      </c>
      <c r="N577" s="2">
        <v>527</v>
      </c>
      <c r="O577" s="2">
        <v>104.2</v>
      </c>
      <c r="P577" s="2">
        <v>3448</v>
      </c>
    </row>
    <row r="578" spans="1:16" x14ac:dyDescent="0.35">
      <c r="A578" s="5">
        <v>45674</v>
      </c>
      <c r="B578" s="2">
        <v>621</v>
      </c>
      <c r="C578" s="2">
        <v>289</v>
      </c>
      <c r="D578" s="2">
        <v>211.5</v>
      </c>
      <c r="E578" s="2">
        <v>413</v>
      </c>
      <c r="F578" s="2">
        <v>7.55</v>
      </c>
      <c r="G578" s="2">
        <v>209.1</v>
      </c>
      <c r="H578" s="2">
        <v>2045</v>
      </c>
      <c r="I578" s="2">
        <v>1915</v>
      </c>
      <c r="J578" s="2">
        <v>1420</v>
      </c>
      <c r="K578" s="2">
        <v>4690</v>
      </c>
      <c r="L578" s="2">
        <v>148.19999999999999</v>
      </c>
      <c r="M578" s="2">
        <v>46.56</v>
      </c>
      <c r="N578" s="2">
        <v>527</v>
      </c>
      <c r="O578" s="2">
        <v>114.6</v>
      </c>
      <c r="P578" s="2">
        <v>3448</v>
      </c>
    </row>
    <row r="579" spans="1:16" x14ac:dyDescent="0.35">
      <c r="A579" s="5">
        <v>45677</v>
      </c>
      <c r="B579" s="2">
        <v>622.1</v>
      </c>
      <c r="C579" s="2">
        <v>288.5</v>
      </c>
      <c r="D579" s="2">
        <v>211.75</v>
      </c>
      <c r="E579" s="2">
        <v>410</v>
      </c>
      <c r="F579" s="2">
        <v>8</v>
      </c>
      <c r="G579" s="2">
        <v>204.45</v>
      </c>
      <c r="H579" s="2">
        <v>2030</v>
      </c>
      <c r="I579" s="2">
        <v>1915</v>
      </c>
      <c r="J579" s="2">
        <v>1381</v>
      </c>
      <c r="K579" s="2">
        <v>4550</v>
      </c>
      <c r="L579" s="2">
        <v>153.5</v>
      </c>
      <c r="M579" s="2">
        <v>46.22</v>
      </c>
      <c r="N579" s="2">
        <v>525.5</v>
      </c>
      <c r="O579" s="2">
        <v>119.5</v>
      </c>
      <c r="P579" s="2">
        <v>3350</v>
      </c>
    </row>
    <row r="580" spans="1:16" x14ac:dyDescent="0.35">
      <c r="A580" s="5">
        <v>45679</v>
      </c>
      <c r="B580" s="2">
        <v>613</v>
      </c>
      <c r="C580" s="2">
        <v>287.95</v>
      </c>
      <c r="D580" s="2">
        <v>209.9</v>
      </c>
      <c r="E580" s="2">
        <v>413.85</v>
      </c>
      <c r="F580" s="2">
        <v>7.85</v>
      </c>
      <c r="G580" s="2">
        <v>201.5</v>
      </c>
      <c r="H580" s="2">
        <v>2010</v>
      </c>
      <c r="I580" s="2">
        <v>1900</v>
      </c>
      <c r="J580" s="2">
        <v>1418</v>
      </c>
      <c r="K580" s="2">
        <v>4436</v>
      </c>
      <c r="L580" s="2">
        <v>154.9</v>
      </c>
      <c r="M580" s="2">
        <v>44.2</v>
      </c>
      <c r="N580" s="2">
        <v>509</v>
      </c>
      <c r="O580" s="2">
        <v>120.1</v>
      </c>
      <c r="P580" s="2">
        <v>3300</v>
      </c>
    </row>
    <row r="581" spans="1:16" x14ac:dyDescent="0.35">
      <c r="A581" s="5">
        <v>45680</v>
      </c>
      <c r="B581" s="2">
        <v>612.6</v>
      </c>
      <c r="C581" s="2">
        <v>280</v>
      </c>
      <c r="D581" s="2">
        <v>209.45</v>
      </c>
      <c r="E581" s="2">
        <v>415</v>
      </c>
      <c r="F581" s="2">
        <v>7.85</v>
      </c>
      <c r="G581" s="2">
        <v>207</v>
      </c>
      <c r="H581" s="2">
        <v>2030</v>
      </c>
      <c r="I581" s="2">
        <v>1920</v>
      </c>
      <c r="J581" s="2">
        <v>1415</v>
      </c>
      <c r="K581" s="2">
        <v>4560</v>
      </c>
      <c r="L581" s="2">
        <v>160</v>
      </c>
      <c r="M581" s="2">
        <v>45.9</v>
      </c>
      <c r="N581" s="2">
        <v>515</v>
      </c>
      <c r="O581" s="2">
        <v>123</v>
      </c>
      <c r="P581" s="2">
        <v>2976</v>
      </c>
    </row>
    <row r="582" spans="1:16" x14ac:dyDescent="0.35">
      <c r="A582" s="5">
        <v>45681</v>
      </c>
      <c r="B582" s="2">
        <v>615</v>
      </c>
      <c r="C582" s="2">
        <v>286</v>
      </c>
      <c r="D582" s="2">
        <v>205</v>
      </c>
      <c r="E582" s="2">
        <v>430.1</v>
      </c>
      <c r="F582" s="2">
        <v>8</v>
      </c>
      <c r="G582" s="2">
        <v>208</v>
      </c>
      <c r="H582" s="2">
        <v>2028</v>
      </c>
      <c r="I582" s="2">
        <v>1895</v>
      </c>
      <c r="J582" s="2">
        <v>1415</v>
      </c>
      <c r="K582" s="2">
        <v>4500</v>
      </c>
      <c r="L582" s="2">
        <v>165</v>
      </c>
      <c r="M582" s="2">
        <v>46.1</v>
      </c>
      <c r="N582" s="2">
        <v>518</v>
      </c>
      <c r="O582" s="2">
        <v>117</v>
      </c>
      <c r="P582" s="2">
        <v>3052</v>
      </c>
    </row>
    <row r="583" spans="1:16" x14ac:dyDescent="0.35">
      <c r="A583" s="5">
        <v>45685</v>
      </c>
      <c r="B583" s="2">
        <v>617.1</v>
      </c>
      <c r="C583" s="2">
        <v>283.10000000000002</v>
      </c>
      <c r="D583" s="2">
        <v>207.5</v>
      </c>
      <c r="E583" s="2">
        <v>450</v>
      </c>
      <c r="F583" s="2">
        <v>8</v>
      </c>
      <c r="G583" s="2">
        <v>206.6</v>
      </c>
      <c r="H583" s="2">
        <v>2022</v>
      </c>
      <c r="I583" s="2">
        <v>1899</v>
      </c>
      <c r="J583" s="2">
        <v>1401</v>
      </c>
      <c r="K583" s="2">
        <v>4500</v>
      </c>
      <c r="L583" s="2">
        <v>161.9</v>
      </c>
      <c r="M583" s="2">
        <v>44.9</v>
      </c>
      <c r="N583" s="2">
        <v>518</v>
      </c>
      <c r="O583" s="2">
        <v>115.6</v>
      </c>
      <c r="P583" s="2">
        <v>3201</v>
      </c>
    </row>
    <row r="584" spans="1:16" x14ac:dyDescent="0.35">
      <c r="A584" s="5">
        <v>45692</v>
      </c>
      <c r="B584" s="2">
        <v>622.1</v>
      </c>
      <c r="C584" s="2">
        <v>285.10000000000002</v>
      </c>
      <c r="D584" s="2">
        <v>204.5</v>
      </c>
      <c r="E584" s="2">
        <v>470</v>
      </c>
      <c r="F584" s="2">
        <v>7.9</v>
      </c>
      <c r="G584" s="2">
        <v>210</v>
      </c>
      <c r="H584" s="2">
        <v>2020</v>
      </c>
      <c r="I584" s="2">
        <v>1903</v>
      </c>
      <c r="J584" s="2">
        <v>1420</v>
      </c>
      <c r="K584" s="2">
        <v>4500</v>
      </c>
      <c r="L584" s="2">
        <v>152.65</v>
      </c>
      <c r="M584" s="2">
        <v>45</v>
      </c>
      <c r="N584" s="2">
        <v>538.70000000000005</v>
      </c>
      <c r="O584" s="2">
        <v>113.1</v>
      </c>
      <c r="P584" s="2">
        <v>3400</v>
      </c>
    </row>
    <row r="585" spans="1:16" x14ac:dyDescent="0.35">
      <c r="A585" s="5">
        <v>45693</v>
      </c>
      <c r="B585" s="2">
        <v>625</v>
      </c>
      <c r="C585" s="2">
        <v>285.39999999999998</v>
      </c>
      <c r="D585" s="2">
        <v>205</v>
      </c>
      <c r="E585" s="2">
        <v>465</v>
      </c>
      <c r="F585" s="2">
        <v>7.85</v>
      </c>
      <c r="G585" s="2">
        <v>205.1</v>
      </c>
      <c r="H585" s="2">
        <v>2005</v>
      </c>
      <c r="I585" s="2">
        <v>1903</v>
      </c>
      <c r="J585" s="2">
        <v>1420</v>
      </c>
      <c r="K585" s="2">
        <v>4500</v>
      </c>
      <c r="L585" s="2">
        <v>152.75</v>
      </c>
      <c r="M585" s="2">
        <v>44.8</v>
      </c>
      <c r="N585" s="2">
        <v>538</v>
      </c>
      <c r="O585" s="2">
        <v>115</v>
      </c>
      <c r="P585" s="2">
        <v>3400</v>
      </c>
    </row>
    <row r="586" spans="1:16" x14ac:dyDescent="0.35">
      <c r="A586" s="5">
        <v>45694</v>
      </c>
      <c r="B586" s="2">
        <v>630.1</v>
      </c>
      <c r="C586" s="2">
        <v>284.89999999999998</v>
      </c>
      <c r="D586" s="2">
        <v>208</v>
      </c>
      <c r="E586" s="2">
        <v>470</v>
      </c>
      <c r="F586" s="2">
        <v>7.75</v>
      </c>
      <c r="G586" s="2">
        <v>209.9</v>
      </c>
      <c r="H586" s="2">
        <v>2001</v>
      </c>
      <c r="I586" s="2">
        <v>1903</v>
      </c>
      <c r="J586" s="2">
        <v>1450</v>
      </c>
      <c r="K586" s="2">
        <v>4450</v>
      </c>
      <c r="L586" s="2">
        <v>153.5</v>
      </c>
      <c r="M586" s="2">
        <v>44.5</v>
      </c>
      <c r="N586" s="2">
        <v>534.29999999999995</v>
      </c>
      <c r="O586" s="2">
        <v>114</v>
      </c>
      <c r="P586" s="2">
        <v>3501</v>
      </c>
    </row>
    <row r="587" spans="1:16" x14ac:dyDescent="0.35">
      <c r="A587" s="5">
        <v>45695</v>
      </c>
      <c r="B587" s="2">
        <v>628.5</v>
      </c>
      <c r="C587" s="2">
        <v>284.89999999999998</v>
      </c>
      <c r="D587" s="2">
        <v>208.9</v>
      </c>
      <c r="E587" s="2">
        <v>470</v>
      </c>
      <c r="F587" s="2">
        <v>7.5</v>
      </c>
      <c r="G587" s="2">
        <v>209.8</v>
      </c>
      <c r="H587" s="2">
        <v>1985</v>
      </c>
      <c r="I587" s="2">
        <v>1899</v>
      </c>
      <c r="J587" s="2">
        <v>1491</v>
      </c>
      <c r="K587" s="2">
        <v>4430</v>
      </c>
      <c r="L587" s="2">
        <v>156</v>
      </c>
      <c r="M587" s="2">
        <v>44.45</v>
      </c>
      <c r="N587" s="2">
        <v>540</v>
      </c>
      <c r="O587" s="2">
        <v>115</v>
      </c>
      <c r="P587" s="2">
        <v>3400</v>
      </c>
    </row>
    <row r="588" spans="1:16" x14ac:dyDescent="0.35">
      <c r="A588" s="5">
        <v>45698</v>
      </c>
      <c r="B588" s="2">
        <v>630</v>
      </c>
      <c r="C588" s="2">
        <v>282</v>
      </c>
      <c r="D588" s="2">
        <v>209</v>
      </c>
      <c r="E588" s="2">
        <v>470</v>
      </c>
      <c r="F588" s="2">
        <v>7.5</v>
      </c>
      <c r="G588" s="2">
        <v>208.9</v>
      </c>
      <c r="H588" s="2">
        <v>1986</v>
      </c>
      <c r="I588" s="2">
        <v>1899</v>
      </c>
      <c r="J588" s="2">
        <v>1470</v>
      </c>
      <c r="K588" s="2">
        <v>4500</v>
      </c>
      <c r="L588" s="2">
        <v>159</v>
      </c>
      <c r="M588" s="2">
        <v>44.6</v>
      </c>
      <c r="N588" s="2">
        <v>532.29999999999995</v>
      </c>
      <c r="O588" s="2">
        <v>114.8</v>
      </c>
      <c r="P588" s="2">
        <v>3500</v>
      </c>
    </row>
    <row r="589" spans="1:16" x14ac:dyDescent="0.35">
      <c r="A589" s="5">
        <v>45699</v>
      </c>
      <c r="B589" s="2">
        <v>626</v>
      </c>
      <c r="C589" s="2">
        <v>283.8</v>
      </c>
      <c r="D589" s="2">
        <v>204</v>
      </c>
      <c r="E589" s="2">
        <v>470</v>
      </c>
      <c r="F589" s="2">
        <v>7.5</v>
      </c>
      <c r="G589" s="2">
        <v>206</v>
      </c>
      <c r="H589" s="2">
        <v>1990</v>
      </c>
      <c r="I589" s="2">
        <v>1870</v>
      </c>
      <c r="J589" s="2">
        <v>1552</v>
      </c>
      <c r="K589" s="2">
        <v>4450</v>
      </c>
      <c r="L589" s="2">
        <v>155.25</v>
      </c>
      <c r="M589" s="2">
        <v>44</v>
      </c>
      <c r="N589" s="2">
        <v>532.20000000000005</v>
      </c>
      <c r="O589" s="2">
        <v>112</v>
      </c>
      <c r="P589" s="2">
        <v>3650</v>
      </c>
    </row>
    <row r="590" spans="1:16" x14ac:dyDescent="0.35">
      <c r="A590" s="5">
        <v>45701</v>
      </c>
      <c r="B590" s="2">
        <v>638</v>
      </c>
      <c r="C590" s="2">
        <v>282</v>
      </c>
      <c r="D590" s="2">
        <v>199.9</v>
      </c>
      <c r="E590" s="2">
        <v>447.5</v>
      </c>
      <c r="F590" s="2">
        <v>7.5</v>
      </c>
      <c r="G590" s="2">
        <v>205</v>
      </c>
      <c r="H590" s="2">
        <v>1970</v>
      </c>
      <c r="I590" s="2">
        <v>1900</v>
      </c>
      <c r="J590" s="2">
        <v>1500</v>
      </c>
      <c r="K590" s="2">
        <v>4450</v>
      </c>
      <c r="L590" s="2">
        <v>154.65</v>
      </c>
      <c r="M590" s="2">
        <v>43</v>
      </c>
      <c r="N590" s="2">
        <v>550</v>
      </c>
      <c r="O590" s="2">
        <v>116</v>
      </c>
      <c r="P590" s="2">
        <v>3650</v>
      </c>
    </row>
    <row r="591" spans="1:16" x14ac:dyDescent="0.35">
      <c r="A591" s="5">
        <v>45702</v>
      </c>
      <c r="B591" s="2">
        <v>645</v>
      </c>
      <c r="C591" s="2">
        <v>282.10000000000002</v>
      </c>
      <c r="D591" s="2">
        <v>200</v>
      </c>
      <c r="E591" s="2">
        <v>460</v>
      </c>
      <c r="F591" s="2">
        <v>7.5</v>
      </c>
      <c r="G591" s="2">
        <v>203.5</v>
      </c>
      <c r="H591" s="2">
        <v>1953</v>
      </c>
      <c r="I591" s="2">
        <v>1885</v>
      </c>
      <c r="J591" s="2">
        <v>1530</v>
      </c>
      <c r="K591" s="2">
        <v>4450</v>
      </c>
      <c r="L591" s="2">
        <v>150</v>
      </c>
      <c r="M591" s="2">
        <v>44</v>
      </c>
      <c r="N591" s="2">
        <v>569.4</v>
      </c>
      <c r="O591" s="2">
        <v>117</v>
      </c>
      <c r="P591" s="2">
        <v>3850</v>
      </c>
    </row>
    <row r="592" spans="1:16" x14ac:dyDescent="0.35">
      <c r="A592" s="5">
        <v>45705</v>
      </c>
      <c r="B592" s="2">
        <v>648.1</v>
      </c>
      <c r="C592" s="2">
        <v>282</v>
      </c>
      <c r="D592" s="2">
        <v>203.95</v>
      </c>
      <c r="E592" s="2">
        <v>460</v>
      </c>
      <c r="F592" s="2">
        <v>7.5</v>
      </c>
      <c r="G592" s="2">
        <v>205</v>
      </c>
      <c r="H592" s="2">
        <v>2000</v>
      </c>
      <c r="I592" s="2">
        <v>1895</v>
      </c>
      <c r="J592" s="2">
        <v>1580</v>
      </c>
      <c r="K592" s="2">
        <v>4450</v>
      </c>
      <c r="L592" s="2">
        <v>156</v>
      </c>
      <c r="M592" s="2">
        <v>45.35</v>
      </c>
      <c r="N592" s="2">
        <v>579.79999999999995</v>
      </c>
      <c r="O592" s="2">
        <v>118</v>
      </c>
      <c r="P592" s="2">
        <v>3998</v>
      </c>
    </row>
    <row r="593" spans="1:16" x14ac:dyDescent="0.35">
      <c r="A593" s="5">
        <v>45706</v>
      </c>
      <c r="B593" s="2">
        <v>657</v>
      </c>
      <c r="C593" s="2">
        <v>281</v>
      </c>
      <c r="D593" s="2">
        <v>201</v>
      </c>
      <c r="E593" s="2">
        <v>475</v>
      </c>
      <c r="F593" s="2">
        <v>7.5</v>
      </c>
      <c r="G593" s="2">
        <v>205</v>
      </c>
      <c r="H593" s="2">
        <v>1980</v>
      </c>
      <c r="I593" s="2">
        <v>1894</v>
      </c>
      <c r="J593" s="2">
        <v>1620</v>
      </c>
      <c r="K593" s="2">
        <v>4450</v>
      </c>
      <c r="L593" s="2">
        <v>155</v>
      </c>
      <c r="M593" s="2">
        <v>44.99</v>
      </c>
      <c r="N593" s="2">
        <v>589</v>
      </c>
      <c r="O593" s="2">
        <v>115.95</v>
      </c>
      <c r="P593" s="2">
        <v>4005</v>
      </c>
    </row>
    <row r="594" spans="1:16" x14ac:dyDescent="0.35">
      <c r="A594" s="5">
        <v>45707</v>
      </c>
      <c r="B594" s="2">
        <v>670</v>
      </c>
      <c r="C594" s="2">
        <v>280</v>
      </c>
      <c r="D594" s="2">
        <v>202</v>
      </c>
      <c r="E594" s="2">
        <v>471</v>
      </c>
      <c r="F594" s="2">
        <v>7.5</v>
      </c>
      <c r="G594" s="2">
        <v>204</v>
      </c>
      <c r="H594" s="2">
        <v>1980</v>
      </c>
      <c r="I594" s="2">
        <v>1895</v>
      </c>
      <c r="J594" s="2">
        <v>1660</v>
      </c>
      <c r="K594" s="2">
        <v>4440</v>
      </c>
      <c r="L594" s="2">
        <v>156</v>
      </c>
      <c r="M594" s="2">
        <v>44.9</v>
      </c>
      <c r="N594" s="2">
        <v>610.5</v>
      </c>
      <c r="O594" s="2">
        <v>118</v>
      </c>
      <c r="P594" s="2">
        <v>4020</v>
      </c>
    </row>
    <row r="595" spans="1:16" x14ac:dyDescent="0.35">
      <c r="A595" s="5">
        <v>45708</v>
      </c>
      <c r="B595" s="2">
        <v>667.5</v>
      </c>
      <c r="C595" s="2">
        <v>277</v>
      </c>
      <c r="D595" s="2">
        <v>200</v>
      </c>
      <c r="E595" s="2">
        <v>470</v>
      </c>
      <c r="F595" s="2">
        <v>7.5</v>
      </c>
      <c r="G595" s="2">
        <v>205</v>
      </c>
      <c r="H595" s="2">
        <v>1960</v>
      </c>
      <c r="I595" s="2">
        <v>1890</v>
      </c>
      <c r="J595" s="2">
        <v>1670</v>
      </c>
      <c r="K595" s="2">
        <v>4350</v>
      </c>
      <c r="L595" s="2">
        <v>158</v>
      </c>
      <c r="M595" s="2">
        <v>44.99</v>
      </c>
      <c r="N595" s="2">
        <v>600</v>
      </c>
      <c r="O595" s="2">
        <v>117</v>
      </c>
      <c r="P595" s="2">
        <v>4020</v>
      </c>
    </row>
    <row r="596" spans="1:16" x14ac:dyDescent="0.35">
      <c r="A596" s="5">
        <v>45709</v>
      </c>
      <c r="B596" s="2">
        <v>666</v>
      </c>
      <c r="C596" s="2">
        <v>276.05</v>
      </c>
      <c r="D596" s="2">
        <v>200</v>
      </c>
      <c r="E596" s="2">
        <v>461</v>
      </c>
      <c r="F596" s="2">
        <v>7.5</v>
      </c>
      <c r="G596" s="2">
        <v>205</v>
      </c>
      <c r="H596" s="2">
        <v>1905</v>
      </c>
      <c r="I596" s="2">
        <v>1899</v>
      </c>
      <c r="J596" s="2">
        <v>1650</v>
      </c>
      <c r="K596" s="2">
        <v>4400</v>
      </c>
      <c r="L596" s="2">
        <v>153.9</v>
      </c>
      <c r="M596" s="2">
        <v>44</v>
      </c>
      <c r="N596" s="2">
        <v>581</v>
      </c>
      <c r="O596" s="2">
        <v>122</v>
      </c>
      <c r="P596" s="2">
        <v>3960</v>
      </c>
    </row>
    <row r="597" spans="1:16" x14ac:dyDescent="0.35">
      <c r="A597" s="5">
        <v>45712</v>
      </c>
      <c r="B597" s="2">
        <v>666</v>
      </c>
      <c r="C597" s="2">
        <v>276.05</v>
      </c>
      <c r="D597" s="2">
        <v>201.95</v>
      </c>
      <c r="E597" s="2">
        <v>461</v>
      </c>
      <c r="F597" s="2">
        <v>7.5</v>
      </c>
      <c r="G597" s="2">
        <v>207.45</v>
      </c>
      <c r="H597" s="2">
        <v>1925</v>
      </c>
      <c r="I597" s="2">
        <v>1900</v>
      </c>
      <c r="J597" s="2">
        <v>1650</v>
      </c>
      <c r="K597" s="2">
        <v>4400</v>
      </c>
      <c r="L597" s="2">
        <v>154.69999999999999</v>
      </c>
      <c r="M597" s="2">
        <v>43.47</v>
      </c>
      <c r="N597" s="2">
        <v>575</v>
      </c>
      <c r="O597" s="2">
        <v>128</v>
      </c>
      <c r="P597" s="2">
        <v>3920</v>
      </c>
    </row>
    <row r="598" spans="1:16" x14ac:dyDescent="0.35">
      <c r="A598" s="5">
        <v>45713</v>
      </c>
      <c r="B598" s="2">
        <v>666</v>
      </c>
      <c r="C598" s="2">
        <v>280</v>
      </c>
      <c r="D598" s="2">
        <v>200</v>
      </c>
      <c r="E598" s="2">
        <v>461</v>
      </c>
      <c r="F598" s="2">
        <v>7.5</v>
      </c>
      <c r="G598" s="2">
        <v>206.05</v>
      </c>
      <c r="H598" s="2">
        <v>1902</v>
      </c>
      <c r="I598" s="2">
        <v>1900</v>
      </c>
      <c r="J598" s="2">
        <v>1650</v>
      </c>
      <c r="K598" s="2">
        <v>4490</v>
      </c>
      <c r="L598" s="2">
        <v>154.9</v>
      </c>
      <c r="M598" s="2">
        <v>44</v>
      </c>
      <c r="N598" s="2">
        <v>576.1</v>
      </c>
      <c r="O598" s="2">
        <v>130</v>
      </c>
      <c r="P598" s="2">
        <v>3960</v>
      </c>
    </row>
    <row r="599" spans="1:16" x14ac:dyDescent="0.35">
      <c r="A599" s="5">
        <v>45714</v>
      </c>
      <c r="B599" s="2">
        <v>660</v>
      </c>
      <c r="C599" s="2">
        <v>284</v>
      </c>
      <c r="D599" s="2">
        <v>200</v>
      </c>
      <c r="E599" s="2">
        <v>458</v>
      </c>
      <c r="F599" s="2">
        <v>7.4</v>
      </c>
      <c r="G599" s="2">
        <v>207.45</v>
      </c>
      <c r="H599" s="2">
        <v>1916</v>
      </c>
      <c r="I599" s="2">
        <v>1910</v>
      </c>
      <c r="J599" s="2">
        <v>1653</v>
      </c>
      <c r="K599" s="2">
        <v>4490</v>
      </c>
      <c r="L599" s="2">
        <v>156.9</v>
      </c>
      <c r="M599" s="2">
        <v>44.3</v>
      </c>
      <c r="N599" s="2">
        <v>605</v>
      </c>
      <c r="O599" s="2">
        <v>126.3</v>
      </c>
      <c r="P599" s="2">
        <v>3830</v>
      </c>
    </row>
    <row r="600" spans="1:16" x14ac:dyDescent="0.35">
      <c r="A600" s="5">
        <v>45715</v>
      </c>
      <c r="B600" s="2">
        <v>655</v>
      </c>
      <c r="C600" s="2">
        <v>283</v>
      </c>
      <c r="D600" s="2">
        <v>200</v>
      </c>
      <c r="E600" s="2">
        <v>461</v>
      </c>
      <c r="F600" s="2">
        <v>7.5</v>
      </c>
      <c r="G600" s="2">
        <v>205</v>
      </c>
      <c r="H600" s="2">
        <v>1926</v>
      </c>
      <c r="I600" s="2">
        <v>1900</v>
      </c>
      <c r="J600" s="2">
        <v>1640</v>
      </c>
      <c r="K600" s="2">
        <v>4500</v>
      </c>
      <c r="L600" s="2">
        <v>153.19999999999999</v>
      </c>
      <c r="M600" s="2">
        <v>43.5</v>
      </c>
      <c r="N600" s="2">
        <v>590</v>
      </c>
      <c r="O600" s="2">
        <v>124</v>
      </c>
      <c r="P600" s="2">
        <v>3900</v>
      </c>
    </row>
    <row r="601" spans="1:16" x14ac:dyDescent="0.35">
      <c r="A601" s="5">
        <v>45720</v>
      </c>
      <c r="B601" s="2">
        <v>638</v>
      </c>
      <c r="C601" s="2">
        <v>280.10000000000002</v>
      </c>
      <c r="D601" s="2">
        <v>198</v>
      </c>
      <c r="E601" s="2">
        <v>445</v>
      </c>
      <c r="F601" s="2">
        <v>7.5</v>
      </c>
      <c r="G601" s="2">
        <v>203</v>
      </c>
      <c r="H601" s="2">
        <v>1905</v>
      </c>
      <c r="I601" s="2">
        <v>2008</v>
      </c>
      <c r="J601" s="2">
        <v>1670</v>
      </c>
      <c r="K601" s="2">
        <v>4450</v>
      </c>
      <c r="L601" s="2">
        <v>147.9</v>
      </c>
      <c r="M601" s="2">
        <v>41.8</v>
      </c>
      <c r="N601" s="2">
        <v>567</v>
      </c>
      <c r="O601" s="2">
        <v>113</v>
      </c>
      <c r="P601" s="2">
        <v>3940</v>
      </c>
    </row>
    <row r="602" spans="1:16" x14ac:dyDescent="0.35">
      <c r="A602" s="5">
        <v>45721</v>
      </c>
      <c r="B602" s="2">
        <v>635</v>
      </c>
      <c r="C602" s="2">
        <v>283.75</v>
      </c>
      <c r="D602" s="2">
        <v>196</v>
      </c>
      <c r="E602" s="2">
        <v>441.05</v>
      </c>
      <c r="F602" s="2">
        <v>7.5</v>
      </c>
      <c r="G602" s="2">
        <v>200</v>
      </c>
      <c r="H602" s="2">
        <v>1931</v>
      </c>
      <c r="I602" s="2">
        <v>1963</v>
      </c>
      <c r="J602" s="2">
        <v>1603</v>
      </c>
      <c r="K602" s="2">
        <v>4362</v>
      </c>
      <c r="L602" s="2">
        <v>147.6</v>
      </c>
      <c r="M602" s="2">
        <v>40.86</v>
      </c>
      <c r="N602" s="2">
        <v>559</v>
      </c>
      <c r="O602" s="2">
        <v>113</v>
      </c>
      <c r="P602" s="2">
        <v>3900</v>
      </c>
    </row>
    <row r="603" spans="1:16" x14ac:dyDescent="0.35">
      <c r="A603" s="5">
        <v>45722</v>
      </c>
      <c r="B603" s="2">
        <v>634</v>
      </c>
      <c r="C603" s="2">
        <v>281.10000000000002</v>
      </c>
      <c r="D603" s="2">
        <v>190</v>
      </c>
      <c r="E603" s="2">
        <v>441.5</v>
      </c>
      <c r="F603" s="2">
        <v>7.7</v>
      </c>
      <c r="G603" s="2">
        <v>206.8</v>
      </c>
      <c r="H603" s="2">
        <v>1900</v>
      </c>
      <c r="I603" s="2">
        <v>1978</v>
      </c>
      <c r="J603" s="2">
        <v>1571</v>
      </c>
      <c r="K603" s="2">
        <v>4500</v>
      </c>
      <c r="L603" s="2">
        <v>145</v>
      </c>
      <c r="M603" s="2">
        <v>41</v>
      </c>
      <c r="N603" s="2">
        <v>550</v>
      </c>
      <c r="O603" s="2">
        <v>115</v>
      </c>
      <c r="P603" s="2">
        <v>4000</v>
      </c>
    </row>
    <row r="604" spans="1:16" x14ac:dyDescent="0.35">
      <c r="A604" s="5">
        <v>45723</v>
      </c>
      <c r="B604" s="2">
        <v>635</v>
      </c>
      <c r="C604" s="2">
        <v>281</v>
      </c>
      <c r="D604" s="2">
        <v>190</v>
      </c>
      <c r="E604" s="2">
        <v>450</v>
      </c>
      <c r="F604" s="2">
        <v>7.6</v>
      </c>
      <c r="G604" s="2">
        <v>205</v>
      </c>
      <c r="H604" s="2">
        <v>1912</v>
      </c>
      <c r="I604" s="2">
        <v>1901</v>
      </c>
      <c r="J604" s="2">
        <v>1699</v>
      </c>
      <c r="K604" s="2">
        <v>4500</v>
      </c>
      <c r="L604" s="2">
        <v>150</v>
      </c>
      <c r="M604" s="2">
        <v>41</v>
      </c>
      <c r="N604" s="2">
        <v>558</v>
      </c>
      <c r="O604" s="2">
        <v>114.6</v>
      </c>
      <c r="P604" s="2">
        <v>4000</v>
      </c>
    </row>
    <row r="605" spans="1:16" x14ac:dyDescent="0.35">
      <c r="A605" s="5">
        <v>45729</v>
      </c>
      <c r="B605" s="2">
        <v>645</v>
      </c>
      <c r="C605" s="2">
        <v>282.7</v>
      </c>
      <c r="D605" s="2">
        <v>190</v>
      </c>
      <c r="E605" s="2">
        <v>430</v>
      </c>
      <c r="F605" s="2">
        <v>7.5</v>
      </c>
      <c r="G605" s="2">
        <v>201</v>
      </c>
      <c r="H605" s="2">
        <v>1900</v>
      </c>
      <c r="I605" s="2">
        <v>1889</v>
      </c>
      <c r="J605" s="2">
        <v>1633</v>
      </c>
      <c r="K605" s="2">
        <v>4550</v>
      </c>
      <c r="L605" s="2">
        <v>140</v>
      </c>
      <c r="M605" s="2">
        <v>41</v>
      </c>
      <c r="N605" s="2">
        <v>547.1</v>
      </c>
      <c r="O605" s="2">
        <v>112.95</v>
      </c>
      <c r="P605" s="2">
        <v>4030</v>
      </c>
    </row>
    <row r="606" spans="1:16" x14ac:dyDescent="0.35">
      <c r="A606" s="5">
        <v>45730</v>
      </c>
      <c r="B606" s="2">
        <v>649</v>
      </c>
      <c r="C606" s="2">
        <v>284</v>
      </c>
      <c r="D606" s="2">
        <v>192</v>
      </c>
      <c r="E606" s="2">
        <v>440</v>
      </c>
      <c r="F606" s="2">
        <v>7.5</v>
      </c>
      <c r="G606" s="2">
        <v>205</v>
      </c>
      <c r="H606" s="2">
        <v>1900</v>
      </c>
      <c r="I606" s="2">
        <v>1915</v>
      </c>
      <c r="J606" s="2">
        <v>1640</v>
      </c>
      <c r="K606" s="2">
        <v>4500</v>
      </c>
      <c r="L606" s="2">
        <v>139.94999999999999</v>
      </c>
      <c r="M606" s="2">
        <v>41</v>
      </c>
      <c r="N606" s="2">
        <v>546.20000000000005</v>
      </c>
      <c r="O606" s="2">
        <v>114</v>
      </c>
      <c r="P606" s="2">
        <v>4070</v>
      </c>
    </row>
    <row r="607" spans="1:16" x14ac:dyDescent="0.35">
      <c r="A607" s="5">
        <v>45734</v>
      </c>
      <c r="B607" s="2">
        <v>650.1</v>
      </c>
      <c r="C607" s="2">
        <v>282.10000000000002</v>
      </c>
      <c r="D607" s="2">
        <v>195</v>
      </c>
      <c r="E607" s="2">
        <v>430</v>
      </c>
      <c r="F607" s="2">
        <v>7.5</v>
      </c>
      <c r="G607" s="2">
        <v>202</v>
      </c>
      <c r="H607" s="2">
        <v>1900</v>
      </c>
      <c r="I607" s="2">
        <v>1900</v>
      </c>
      <c r="J607" s="2">
        <v>1720</v>
      </c>
      <c r="K607" s="2">
        <v>4600</v>
      </c>
      <c r="L607" s="2">
        <v>142</v>
      </c>
      <c r="M607" s="2">
        <v>40.9</v>
      </c>
      <c r="N607" s="2">
        <v>550</v>
      </c>
      <c r="O607" s="2">
        <v>114.8</v>
      </c>
      <c r="P607" s="2">
        <v>4500</v>
      </c>
    </row>
    <row r="608" spans="1:16" x14ac:dyDescent="0.35">
      <c r="A608" s="5">
        <v>45735</v>
      </c>
      <c r="B608" s="2">
        <v>670.1</v>
      </c>
      <c r="C608" s="2">
        <v>283</v>
      </c>
      <c r="D608" s="2">
        <v>196.9</v>
      </c>
      <c r="E608" s="2">
        <v>439</v>
      </c>
      <c r="F608" s="2">
        <v>7.5</v>
      </c>
      <c r="G608" s="2">
        <v>206</v>
      </c>
      <c r="H608" s="2">
        <v>1905</v>
      </c>
      <c r="I608" s="2">
        <v>1910</v>
      </c>
      <c r="J608" s="2">
        <v>1798</v>
      </c>
      <c r="K608" s="2">
        <v>4600</v>
      </c>
      <c r="L608" s="2">
        <v>142</v>
      </c>
      <c r="M608" s="2">
        <v>41.16</v>
      </c>
      <c r="N608" s="2">
        <v>559</v>
      </c>
      <c r="O608" s="2">
        <v>114.05</v>
      </c>
      <c r="P608" s="2">
        <v>4837</v>
      </c>
    </row>
    <row r="609" spans="1:16" x14ac:dyDescent="0.35">
      <c r="A609" s="5">
        <v>45736</v>
      </c>
      <c r="B609" s="2">
        <v>675</v>
      </c>
      <c r="C609" s="2">
        <v>280</v>
      </c>
      <c r="D609" s="2">
        <v>200</v>
      </c>
      <c r="E609" s="2">
        <v>430</v>
      </c>
      <c r="F609" s="2">
        <v>7.5</v>
      </c>
      <c r="G609" s="2">
        <v>213</v>
      </c>
      <c r="H609" s="2">
        <v>1920</v>
      </c>
      <c r="I609" s="2">
        <v>1875</v>
      </c>
      <c r="J609" s="2">
        <v>1898</v>
      </c>
      <c r="K609" s="2">
        <v>4949</v>
      </c>
      <c r="L609" s="2">
        <v>144</v>
      </c>
      <c r="M609" s="2">
        <v>45.27</v>
      </c>
      <c r="N609" s="2">
        <v>551</v>
      </c>
      <c r="O609" s="2">
        <v>115</v>
      </c>
      <c r="P609" s="2">
        <v>5011</v>
      </c>
    </row>
    <row r="610" spans="1:16" x14ac:dyDescent="0.35">
      <c r="A610" s="5">
        <v>45737</v>
      </c>
      <c r="B610" s="2">
        <v>687</v>
      </c>
      <c r="C610" s="2">
        <v>282</v>
      </c>
      <c r="D610" s="2">
        <v>200</v>
      </c>
      <c r="E610" s="2">
        <v>435</v>
      </c>
      <c r="F610" s="2">
        <v>7.5</v>
      </c>
      <c r="G610" s="2">
        <v>216</v>
      </c>
      <c r="H610" s="2">
        <v>1961</v>
      </c>
      <c r="I610" s="2">
        <v>1970</v>
      </c>
      <c r="J610" s="2">
        <v>1998</v>
      </c>
      <c r="K610" s="2">
        <v>5000</v>
      </c>
      <c r="L610" s="2">
        <v>141</v>
      </c>
      <c r="M610" s="2">
        <v>45.95</v>
      </c>
      <c r="N610" s="2">
        <v>550</v>
      </c>
      <c r="O610" s="2">
        <v>114.8</v>
      </c>
      <c r="P610" s="2">
        <v>5200</v>
      </c>
    </row>
    <row r="611" spans="1:16" x14ac:dyDescent="0.35">
      <c r="A611" s="5">
        <v>45740</v>
      </c>
      <c r="B611" s="2">
        <v>705</v>
      </c>
      <c r="C611" s="2">
        <v>284.89999999999998</v>
      </c>
      <c r="D611" s="2">
        <v>201</v>
      </c>
      <c r="E611" s="2">
        <v>440</v>
      </c>
      <c r="F611" s="2">
        <v>7.8</v>
      </c>
      <c r="G611" s="2">
        <v>216.05</v>
      </c>
      <c r="H611" s="2">
        <v>1962</v>
      </c>
      <c r="I611" s="2">
        <v>1910</v>
      </c>
      <c r="J611" s="2">
        <v>2100</v>
      </c>
      <c r="K611" s="2">
        <v>5200</v>
      </c>
      <c r="L611" s="2">
        <v>139</v>
      </c>
      <c r="M611" s="2">
        <v>46.51</v>
      </c>
      <c r="N611" s="2">
        <v>550</v>
      </c>
      <c r="O611" s="2">
        <v>114</v>
      </c>
      <c r="P611" s="2">
        <v>5200</v>
      </c>
    </row>
    <row r="612" spans="1:16" x14ac:dyDescent="0.35">
      <c r="A612" s="5">
        <v>45741</v>
      </c>
      <c r="B612" s="2">
        <v>693.1</v>
      </c>
      <c r="C612" s="2">
        <v>281.5</v>
      </c>
      <c r="D612" s="2">
        <v>204</v>
      </c>
      <c r="E612" s="2">
        <v>434.85</v>
      </c>
      <c r="F612" s="2">
        <v>7.5</v>
      </c>
      <c r="G612" s="2">
        <v>213.1</v>
      </c>
      <c r="H612" s="2">
        <v>1930</v>
      </c>
      <c r="I612" s="2">
        <v>1905</v>
      </c>
      <c r="J612" s="2">
        <v>2200</v>
      </c>
      <c r="K612" s="2">
        <v>5200</v>
      </c>
      <c r="L612" s="2">
        <v>140</v>
      </c>
      <c r="M612" s="2">
        <v>46</v>
      </c>
      <c r="N612" s="2">
        <v>559.5</v>
      </c>
      <c r="O612" s="2">
        <v>113.7</v>
      </c>
      <c r="P612" s="2">
        <v>5101</v>
      </c>
    </row>
    <row r="613" spans="1:16" x14ac:dyDescent="0.35">
      <c r="A613" s="5">
        <v>45742</v>
      </c>
      <c r="B613" s="2">
        <v>692</v>
      </c>
      <c r="C613" s="2">
        <v>282</v>
      </c>
      <c r="D613" s="2">
        <v>198.5</v>
      </c>
      <c r="E613" s="2">
        <v>431</v>
      </c>
      <c r="F613" s="2">
        <v>7.5</v>
      </c>
      <c r="G613" s="2">
        <v>214.5</v>
      </c>
      <c r="H613" s="2">
        <v>1920</v>
      </c>
      <c r="I613" s="2">
        <v>1909</v>
      </c>
      <c r="J613" s="2">
        <v>2150</v>
      </c>
      <c r="K613" s="2">
        <v>5200</v>
      </c>
      <c r="L613" s="2">
        <v>138</v>
      </c>
      <c r="M613" s="2">
        <v>46.56</v>
      </c>
      <c r="N613" s="2">
        <v>550</v>
      </c>
      <c r="O613" s="2">
        <v>112.3</v>
      </c>
      <c r="P613" s="2">
        <v>5200</v>
      </c>
    </row>
    <row r="614" spans="1:16" x14ac:dyDescent="0.35">
      <c r="A614" s="5">
        <v>45744</v>
      </c>
      <c r="B614" s="2">
        <v>699.8</v>
      </c>
      <c r="C614" s="2">
        <v>283.35000000000002</v>
      </c>
      <c r="D614" s="2">
        <v>195.9</v>
      </c>
      <c r="E614" s="2">
        <v>410</v>
      </c>
      <c r="F614" s="2">
        <v>7.9</v>
      </c>
      <c r="G614" s="2">
        <v>226</v>
      </c>
      <c r="H614" s="2">
        <v>1903</v>
      </c>
      <c r="I614" s="2">
        <v>1940</v>
      </c>
      <c r="J614" s="2">
        <v>2310</v>
      </c>
      <c r="K614" s="2">
        <v>5100</v>
      </c>
      <c r="L614" s="2">
        <v>139</v>
      </c>
      <c r="M614" s="2">
        <v>45.58</v>
      </c>
      <c r="N614" s="2">
        <v>555</v>
      </c>
      <c r="O614" s="2">
        <v>115</v>
      </c>
      <c r="P614" s="2">
        <v>5020</v>
      </c>
    </row>
    <row r="615" spans="1:16" x14ac:dyDescent="0.35">
      <c r="A615" s="5">
        <v>45749</v>
      </c>
      <c r="B615" s="2">
        <v>690</v>
      </c>
      <c r="C615" s="2">
        <v>280.10000000000002</v>
      </c>
      <c r="D615" s="2">
        <v>200.9</v>
      </c>
      <c r="E615" s="2">
        <v>427</v>
      </c>
      <c r="F615" s="2">
        <v>7.5</v>
      </c>
      <c r="G615" s="2">
        <v>227</v>
      </c>
      <c r="H615" s="2">
        <v>1920</v>
      </c>
      <c r="I615" s="2">
        <v>1932</v>
      </c>
      <c r="J615" s="2">
        <v>2130</v>
      </c>
      <c r="K615" s="2">
        <v>5100</v>
      </c>
      <c r="L615" s="2">
        <v>138</v>
      </c>
      <c r="M615" s="2">
        <v>44.15</v>
      </c>
      <c r="N615" s="2">
        <v>554.9</v>
      </c>
      <c r="O615" s="2">
        <v>115</v>
      </c>
      <c r="P615" s="2">
        <v>5170</v>
      </c>
    </row>
    <row r="616" spans="1:16" x14ac:dyDescent="0.35">
      <c r="A616" s="5">
        <v>45750</v>
      </c>
      <c r="B616" s="2">
        <v>680</v>
      </c>
      <c r="C616" s="2">
        <v>279.10000000000002</v>
      </c>
      <c r="D616" s="2">
        <v>195</v>
      </c>
      <c r="E616" s="2">
        <v>406.1</v>
      </c>
      <c r="F616" s="2">
        <v>8.15</v>
      </c>
      <c r="G616" s="2">
        <v>222.6</v>
      </c>
      <c r="H616" s="2">
        <v>1890</v>
      </c>
      <c r="I616" s="2">
        <v>1900</v>
      </c>
      <c r="J616" s="2">
        <v>2050</v>
      </c>
      <c r="K616" s="2">
        <v>4902</v>
      </c>
      <c r="L616" s="2">
        <v>135</v>
      </c>
      <c r="M616" s="2">
        <v>42.9</v>
      </c>
      <c r="N616" s="2">
        <v>530</v>
      </c>
      <c r="O616" s="2">
        <v>112</v>
      </c>
      <c r="P616" s="2">
        <v>5100</v>
      </c>
    </row>
    <row r="617" spans="1:16" x14ac:dyDescent="0.35">
      <c r="A617" s="5">
        <v>45751</v>
      </c>
      <c r="B617" s="2">
        <v>675</v>
      </c>
      <c r="C617" s="2">
        <v>275.10000000000002</v>
      </c>
      <c r="D617" s="2">
        <v>195</v>
      </c>
      <c r="E617" s="2">
        <v>432</v>
      </c>
      <c r="F617" s="2">
        <v>7.5</v>
      </c>
      <c r="G617" s="2">
        <v>218.1</v>
      </c>
      <c r="H617" s="2">
        <v>1899</v>
      </c>
      <c r="I617" s="2">
        <v>1890</v>
      </c>
      <c r="J617" s="2">
        <v>2101</v>
      </c>
      <c r="K617" s="2">
        <v>4790</v>
      </c>
      <c r="L617" s="2">
        <v>134.1</v>
      </c>
      <c r="M617" s="2">
        <v>43</v>
      </c>
      <c r="N617" s="2">
        <v>533</v>
      </c>
      <c r="O617" s="2">
        <v>111.85</v>
      </c>
      <c r="P617" s="2">
        <v>5050</v>
      </c>
    </row>
    <row r="618" spans="1:16" x14ac:dyDescent="0.35">
      <c r="A618" s="5">
        <v>45754</v>
      </c>
      <c r="B618" s="2">
        <v>646.5</v>
      </c>
      <c r="C618" s="2">
        <v>272</v>
      </c>
      <c r="D618" s="2">
        <v>190</v>
      </c>
      <c r="E618" s="2">
        <v>400</v>
      </c>
      <c r="F618" s="2">
        <v>7.5</v>
      </c>
      <c r="G618" s="2">
        <v>207</v>
      </c>
      <c r="H618" s="2">
        <v>1710</v>
      </c>
      <c r="I618" s="2">
        <v>1710</v>
      </c>
      <c r="J618" s="2">
        <v>1960</v>
      </c>
      <c r="K618" s="2">
        <v>4600</v>
      </c>
      <c r="L618" s="2">
        <v>123.2</v>
      </c>
      <c r="M618" s="2">
        <v>39.299999999999997</v>
      </c>
      <c r="N618" s="2">
        <v>479.75</v>
      </c>
      <c r="O618" s="2">
        <v>100.7</v>
      </c>
      <c r="P618" s="2">
        <v>4751</v>
      </c>
    </row>
    <row r="619" spans="1:16" x14ac:dyDescent="0.35">
      <c r="A619" s="5">
        <v>45755</v>
      </c>
      <c r="B619" s="2">
        <v>658.9</v>
      </c>
      <c r="C619" s="2">
        <v>273</v>
      </c>
      <c r="D619" s="2">
        <v>187</v>
      </c>
      <c r="E619" s="2">
        <v>414</v>
      </c>
      <c r="F619" s="2">
        <v>7.5</v>
      </c>
      <c r="G619" s="2">
        <v>207.1</v>
      </c>
      <c r="H619" s="2">
        <v>1770</v>
      </c>
      <c r="I619" s="2">
        <v>1828</v>
      </c>
      <c r="J619" s="2">
        <v>1989</v>
      </c>
      <c r="K619" s="2">
        <v>4580</v>
      </c>
      <c r="L619" s="2">
        <v>129.9</v>
      </c>
      <c r="M619" s="2">
        <v>39.9</v>
      </c>
      <c r="N619" s="2">
        <v>480</v>
      </c>
      <c r="O619" s="2">
        <v>101.8</v>
      </c>
      <c r="P619" s="2">
        <v>4830</v>
      </c>
    </row>
    <row r="620" spans="1:16" x14ac:dyDescent="0.35">
      <c r="A620" s="5">
        <v>45756</v>
      </c>
      <c r="B620" s="2">
        <v>636.70000000000005</v>
      </c>
      <c r="C620" s="2">
        <v>267.55</v>
      </c>
      <c r="D620" s="2">
        <v>184</v>
      </c>
      <c r="E620" s="2">
        <v>400</v>
      </c>
      <c r="F620" s="2">
        <v>7.5</v>
      </c>
      <c r="G620" s="2">
        <v>207.8</v>
      </c>
      <c r="H620" s="2">
        <v>1810</v>
      </c>
      <c r="I620" s="2">
        <v>1800</v>
      </c>
      <c r="J620" s="2">
        <v>1850</v>
      </c>
      <c r="K620" s="2">
        <v>4400</v>
      </c>
      <c r="L620" s="2">
        <v>126.5</v>
      </c>
      <c r="M620" s="2">
        <v>37.71</v>
      </c>
      <c r="N620" s="2">
        <v>454</v>
      </c>
      <c r="O620" s="2">
        <v>98</v>
      </c>
      <c r="P620" s="2">
        <v>4660</v>
      </c>
    </row>
    <row r="621" spans="1:16" x14ac:dyDescent="0.35">
      <c r="A621" s="5">
        <v>45757</v>
      </c>
      <c r="B621" s="2">
        <v>640</v>
      </c>
      <c r="C621" s="2">
        <v>270</v>
      </c>
      <c r="D621" s="2">
        <v>170</v>
      </c>
      <c r="E621" s="2">
        <v>410</v>
      </c>
      <c r="F621" s="2">
        <v>7.5</v>
      </c>
      <c r="G621" s="2">
        <v>214</v>
      </c>
      <c r="H621" s="2">
        <v>1750</v>
      </c>
      <c r="I621" s="2">
        <v>1850</v>
      </c>
      <c r="J621" s="2">
        <v>1969</v>
      </c>
      <c r="K621" s="2">
        <v>4550</v>
      </c>
      <c r="L621" s="2">
        <v>128</v>
      </c>
      <c r="M621" s="2">
        <v>38.75</v>
      </c>
      <c r="N621" s="2">
        <v>470.45</v>
      </c>
      <c r="O621" s="2">
        <v>106.95</v>
      </c>
      <c r="P621" s="2">
        <v>4900</v>
      </c>
    </row>
    <row r="622" spans="1:16" x14ac:dyDescent="0.35">
      <c r="A622" s="5">
        <v>45758</v>
      </c>
      <c r="B622" s="2">
        <v>630.1</v>
      </c>
      <c r="C622" s="2">
        <v>268</v>
      </c>
      <c r="D622" s="2">
        <v>176</v>
      </c>
      <c r="E622" s="2">
        <v>391</v>
      </c>
      <c r="F622" s="2">
        <v>7.5</v>
      </c>
      <c r="G622" s="2">
        <v>208.3</v>
      </c>
      <c r="H622" s="2">
        <v>1720</v>
      </c>
      <c r="I622" s="2">
        <v>1730</v>
      </c>
      <c r="J622" s="2">
        <v>1826</v>
      </c>
      <c r="K622" s="2">
        <v>4096</v>
      </c>
      <c r="L622" s="2">
        <v>123</v>
      </c>
      <c r="M622" s="2">
        <v>37.81</v>
      </c>
      <c r="N622" s="2">
        <v>458</v>
      </c>
      <c r="O622" s="2">
        <v>97.7</v>
      </c>
      <c r="P622" s="2">
        <v>4900</v>
      </c>
    </row>
    <row r="623" spans="1:16" x14ac:dyDescent="0.35">
      <c r="A623" s="5">
        <v>45761</v>
      </c>
      <c r="B623" s="2">
        <v>648</v>
      </c>
      <c r="C623" s="2">
        <v>270</v>
      </c>
      <c r="D623" s="2">
        <v>185</v>
      </c>
      <c r="E623" s="2">
        <v>416.75</v>
      </c>
      <c r="F623" s="2">
        <v>7.8</v>
      </c>
      <c r="G623" s="2">
        <v>214.95</v>
      </c>
      <c r="H623" s="2">
        <v>1800</v>
      </c>
      <c r="I623" s="2">
        <v>1849</v>
      </c>
      <c r="J623" s="2">
        <v>1954</v>
      </c>
      <c r="K623" s="2">
        <v>4505</v>
      </c>
      <c r="L623" s="2">
        <v>129.69999999999999</v>
      </c>
      <c r="M623" s="2">
        <v>39.25</v>
      </c>
      <c r="N623" s="2">
        <v>465.5</v>
      </c>
      <c r="O623" s="2">
        <v>105</v>
      </c>
      <c r="P623" s="2">
        <v>4951</v>
      </c>
    </row>
    <row r="624" spans="1:16" x14ac:dyDescent="0.35">
      <c r="A624" s="5">
        <v>45762</v>
      </c>
      <c r="B624" s="2">
        <v>664</v>
      </c>
      <c r="C624" s="2">
        <v>270</v>
      </c>
      <c r="D624" s="2">
        <v>187.2</v>
      </c>
      <c r="E624" s="2">
        <v>410.75</v>
      </c>
      <c r="F624" s="2">
        <v>8.1</v>
      </c>
      <c r="G624" s="2">
        <v>218</v>
      </c>
      <c r="H624" s="2">
        <v>1890</v>
      </c>
      <c r="I624" s="2">
        <v>1861</v>
      </c>
      <c r="J624" s="2">
        <v>2100</v>
      </c>
      <c r="K624" s="2">
        <v>4900</v>
      </c>
      <c r="L624" s="2">
        <v>129</v>
      </c>
      <c r="M624" s="2">
        <v>41.84</v>
      </c>
      <c r="N624" s="2">
        <v>510</v>
      </c>
      <c r="O624" s="2">
        <v>110.5</v>
      </c>
      <c r="P624" s="2">
        <v>5096</v>
      </c>
    </row>
    <row r="625" spans="1:16" x14ac:dyDescent="0.35">
      <c r="A625" s="5">
        <v>45763</v>
      </c>
      <c r="B625" s="2">
        <v>665</v>
      </c>
      <c r="C625" s="2">
        <v>270</v>
      </c>
      <c r="D625" s="2">
        <v>185</v>
      </c>
      <c r="E625" s="2">
        <v>410.05</v>
      </c>
      <c r="F625" s="2">
        <v>8.4</v>
      </c>
      <c r="G625" s="2">
        <v>219</v>
      </c>
      <c r="H625" s="2">
        <v>1880</v>
      </c>
      <c r="I625" s="2">
        <v>1888</v>
      </c>
      <c r="J625" s="2">
        <v>2190</v>
      </c>
      <c r="K625" s="2">
        <v>4899</v>
      </c>
      <c r="L625" s="2">
        <v>129.75</v>
      </c>
      <c r="M625" s="2">
        <v>41.6</v>
      </c>
      <c r="N625" s="2">
        <v>509</v>
      </c>
      <c r="O625" s="2">
        <v>111.25</v>
      </c>
      <c r="P625" s="2">
        <v>5080</v>
      </c>
    </row>
    <row r="626" spans="1:16" x14ac:dyDescent="0.35">
      <c r="A626" s="5">
        <v>45764</v>
      </c>
      <c r="B626" s="2">
        <v>664</v>
      </c>
      <c r="C626" s="2">
        <v>270</v>
      </c>
      <c r="D626" s="2">
        <v>189</v>
      </c>
      <c r="E626" s="2">
        <v>415</v>
      </c>
      <c r="F626" s="2">
        <v>8.65</v>
      </c>
      <c r="G626" s="2">
        <v>217.25</v>
      </c>
      <c r="H626" s="2">
        <v>1866</v>
      </c>
      <c r="I626" s="2">
        <v>1890</v>
      </c>
      <c r="J626" s="2">
        <v>2288</v>
      </c>
      <c r="K626" s="2">
        <v>4798</v>
      </c>
      <c r="L626" s="2">
        <v>132.75</v>
      </c>
      <c r="M626" s="2">
        <v>41.21</v>
      </c>
      <c r="N626" s="2">
        <v>507.1</v>
      </c>
      <c r="O626" s="2">
        <v>109.9</v>
      </c>
      <c r="P626" s="2">
        <v>5015</v>
      </c>
    </row>
    <row r="627" spans="1:16" x14ac:dyDescent="0.35">
      <c r="A627" s="5">
        <v>45769</v>
      </c>
      <c r="B627" s="2">
        <v>665</v>
      </c>
      <c r="C627" s="2">
        <v>268.5</v>
      </c>
      <c r="D627" s="2">
        <v>195</v>
      </c>
      <c r="E627" s="2">
        <v>413.75</v>
      </c>
      <c r="F627" s="2">
        <v>9.4700000000000006</v>
      </c>
      <c r="G627" s="2">
        <v>225.2</v>
      </c>
      <c r="H627" s="2">
        <v>1870</v>
      </c>
      <c r="I627" s="2">
        <v>1865</v>
      </c>
      <c r="J627" s="2">
        <v>2250</v>
      </c>
      <c r="K627" s="2">
        <v>4751</v>
      </c>
      <c r="L627" s="2">
        <v>130</v>
      </c>
      <c r="M627" s="2">
        <v>38.049999999999997</v>
      </c>
      <c r="N627" s="2">
        <v>502.8</v>
      </c>
      <c r="O627" s="2">
        <v>110.15</v>
      </c>
      <c r="P627" s="2">
        <v>5097</v>
      </c>
    </row>
    <row r="628" spans="1:16" x14ac:dyDescent="0.35">
      <c r="A628" s="5">
        <v>45770</v>
      </c>
      <c r="B628" s="2">
        <v>660</v>
      </c>
      <c r="C628" s="2">
        <v>268</v>
      </c>
      <c r="D628" s="2">
        <v>197</v>
      </c>
      <c r="E628" s="2">
        <v>405</v>
      </c>
      <c r="F628" s="2">
        <v>9.9</v>
      </c>
      <c r="G628" s="2">
        <v>236.15</v>
      </c>
      <c r="H628" s="2">
        <v>1856</v>
      </c>
      <c r="I628" s="2">
        <v>1865</v>
      </c>
      <c r="J628" s="2">
        <v>2249</v>
      </c>
      <c r="K628" s="2">
        <v>4894</v>
      </c>
      <c r="L628" s="2">
        <v>130.15</v>
      </c>
      <c r="M628" s="2">
        <v>38.950000000000003</v>
      </c>
      <c r="N628" s="2">
        <v>493.9</v>
      </c>
      <c r="O628" s="2">
        <v>112.2</v>
      </c>
      <c r="P628" s="2">
        <v>5094</v>
      </c>
    </row>
    <row r="629" spans="1:16" x14ac:dyDescent="0.35">
      <c r="A629" s="5">
        <v>45772</v>
      </c>
      <c r="B629" s="2">
        <v>663</v>
      </c>
      <c r="C629" s="2">
        <v>267</v>
      </c>
      <c r="D629" s="2">
        <v>202</v>
      </c>
      <c r="E629" s="2">
        <v>404</v>
      </c>
      <c r="F629" s="2">
        <v>10.050000000000001</v>
      </c>
      <c r="G629" s="2">
        <v>239</v>
      </c>
      <c r="H629" s="2">
        <v>1890</v>
      </c>
      <c r="I629" s="2">
        <v>1880</v>
      </c>
      <c r="J629" s="2">
        <v>2274</v>
      </c>
      <c r="K629" s="2">
        <v>4900</v>
      </c>
      <c r="L629" s="2">
        <v>134</v>
      </c>
      <c r="M629" s="2">
        <v>38.1</v>
      </c>
      <c r="N629" s="2">
        <v>483</v>
      </c>
      <c r="O629" s="2">
        <v>116</v>
      </c>
      <c r="P629" s="2">
        <v>5098</v>
      </c>
    </row>
    <row r="630" spans="1:16" x14ac:dyDescent="0.35">
      <c r="A630" s="5">
        <v>45777</v>
      </c>
      <c r="B630" s="2">
        <v>660</v>
      </c>
      <c r="C630" s="2">
        <v>265.10000000000002</v>
      </c>
      <c r="D630" s="2">
        <v>223</v>
      </c>
      <c r="E630" s="2">
        <v>402.05</v>
      </c>
      <c r="F630" s="2">
        <v>9.98</v>
      </c>
      <c r="G630" s="2">
        <v>237</v>
      </c>
      <c r="H630" s="2">
        <v>1900</v>
      </c>
      <c r="I630" s="2">
        <v>1865</v>
      </c>
      <c r="J630" s="2">
        <v>2399</v>
      </c>
      <c r="K630" s="2">
        <v>4899</v>
      </c>
      <c r="L630" s="2">
        <v>131</v>
      </c>
      <c r="M630" s="2">
        <v>38.1</v>
      </c>
      <c r="N630" s="2">
        <v>480</v>
      </c>
      <c r="O630" s="2">
        <v>102</v>
      </c>
      <c r="P630" s="2">
        <v>5016</v>
      </c>
    </row>
    <row r="631" spans="1:16" x14ac:dyDescent="0.35">
      <c r="A631" s="5">
        <v>45779</v>
      </c>
      <c r="B631" s="2">
        <v>663</v>
      </c>
      <c r="C631" s="2">
        <v>266.10000000000002</v>
      </c>
      <c r="D631" s="2">
        <v>226</v>
      </c>
      <c r="E631" s="2">
        <v>409</v>
      </c>
      <c r="F631" s="2">
        <v>9.9700000000000006</v>
      </c>
      <c r="G631" s="2">
        <v>238</v>
      </c>
      <c r="H631" s="2">
        <v>1903</v>
      </c>
      <c r="I631" s="2">
        <v>1890</v>
      </c>
      <c r="J631" s="2">
        <v>2400</v>
      </c>
      <c r="K631" s="2">
        <v>5140</v>
      </c>
      <c r="L631" s="2">
        <v>135</v>
      </c>
      <c r="M631" s="2">
        <v>38.479999999999997</v>
      </c>
      <c r="N631" s="2">
        <v>488</v>
      </c>
      <c r="O631" s="2">
        <v>102</v>
      </c>
      <c r="P631" s="2">
        <v>5100</v>
      </c>
    </row>
    <row r="632" spans="1:16" x14ac:dyDescent="0.35">
      <c r="A632" s="5">
        <v>45782</v>
      </c>
      <c r="B632" s="2">
        <v>663</v>
      </c>
      <c r="C632" s="2">
        <v>266.10000000000002</v>
      </c>
      <c r="D632" s="2">
        <v>219</v>
      </c>
      <c r="E632" s="2">
        <v>408</v>
      </c>
      <c r="F632" s="2">
        <v>9.9499999999999993</v>
      </c>
      <c r="G632" s="2">
        <v>235</v>
      </c>
      <c r="H632" s="2">
        <v>1900</v>
      </c>
      <c r="I632" s="2">
        <v>1875</v>
      </c>
      <c r="J632" s="2">
        <v>2400</v>
      </c>
      <c r="K632" s="2">
        <v>5150</v>
      </c>
      <c r="L632" s="2">
        <v>135</v>
      </c>
      <c r="M632" s="2">
        <v>38.56</v>
      </c>
      <c r="N632" s="2">
        <v>493.95</v>
      </c>
      <c r="O632" s="2">
        <v>104</v>
      </c>
      <c r="P632" s="2">
        <v>5129</v>
      </c>
    </row>
    <row r="633" spans="1:16" x14ac:dyDescent="0.35">
      <c r="A633" s="5">
        <v>45783</v>
      </c>
      <c r="B633" s="2">
        <v>663</v>
      </c>
      <c r="C633" s="2">
        <v>266.14999999999998</v>
      </c>
      <c r="D633" s="2">
        <v>219</v>
      </c>
      <c r="E633" s="2">
        <v>410</v>
      </c>
      <c r="F633" s="2">
        <v>9.99</v>
      </c>
      <c r="G633" s="2">
        <v>235</v>
      </c>
      <c r="H633" s="2">
        <v>1920</v>
      </c>
      <c r="I633" s="2">
        <v>1880</v>
      </c>
      <c r="J633" s="2">
        <v>2464</v>
      </c>
      <c r="K633" s="2">
        <v>5150</v>
      </c>
      <c r="L633" s="2">
        <v>141.9</v>
      </c>
      <c r="M633" s="2">
        <v>40.15</v>
      </c>
      <c r="N633" s="2">
        <v>514</v>
      </c>
      <c r="O633" s="2">
        <v>104</v>
      </c>
      <c r="P633" s="2">
        <v>5178</v>
      </c>
    </row>
    <row r="634" spans="1:16" x14ac:dyDescent="0.35">
      <c r="A634" s="5">
        <v>45785</v>
      </c>
      <c r="B634" s="2">
        <v>670</v>
      </c>
      <c r="C634" s="2">
        <v>265.8</v>
      </c>
      <c r="D634" s="2">
        <v>223</v>
      </c>
      <c r="E634" s="2">
        <v>410</v>
      </c>
      <c r="F634" s="2">
        <v>9.9600000000000009</v>
      </c>
      <c r="G634" s="2">
        <v>240</v>
      </c>
      <c r="H634" s="2">
        <v>1945</v>
      </c>
      <c r="I634" s="2">
        <v>1930</v>
      </c>
      <c r="J634" s="2">
        <v>2488</v>
      </c>
      <c r="K634" s="2">
        <v>5145</v>
      </c>
      <c r="L634" s="2">
        <v>138.9</v>
      </c>
      <c r="M634" s="2">
        <v>39.020000000000003</v>
      </c>
      <c r="N634" s="2">
        <v>506</v>
      </c>
      <c r="O634" s="2">
        <v>96.89</v>
      </c>
      <c r="P634" s="2">
        <v>5120</v>
      </c>
    </row>
    <row r="635" spans="1:16" x14ac:dyDescent="0.35">
      <c r="A635" s="5">
        <v>45786</v>
      </c>
      <c r="B635" s="2">
        <v>666</v>
      </c>
      <c r="C635" s="2">
        <v>265.95</v>
      </c>
      <c r="D635" s="2">
        <v>229</v>
      </c>
      <c r="E635" s="2">
        <v>414.9</v>
      </c>
      <c r="F635" s="2">
        <v>9.8800000000000008</v>
      </c>
      <c r="G635" s="2">
        <v>241.5</v>
      </c>
      <c r="H635" s="2">
        <v>1960</v>
      </c>
      <c r="I635" s="2">
        <v>1960</v>
      </c>
      <c r="J635" s="2">
        <v>2540</v>
      </c>
      <c r="K635" s="2">
        <v>5135</v>
      </c>
      <c r="L635" s="2">
        <v>140</v>
      </c>
      <c r="M635" s="2">
        <v>39.479999999999997</v>
      </c>
      <c r="N635" s="2">
        <v>508</v>
      </c>
      <c r="O635" s="2">
        <v>95</v>
      </c>
      <c r="P635" s="2">
        <v>5200</v>
      </c>
    </row>
    <row r="636" spans="1:16" x14ac:dyDescent="0.35">
      <c r="A636" s="5">
        <v>45792</v>
      </c>
      <c r="B636" s="2">
        <v>675</v>
      </c>
      <c r="C636" s="2">
        <v>267.89999999999998</v>
      </c>
      <c r="D636" s="2">
        <v>235</v>
      </c>
      <c r="E636" s="2">
        <v>415</v>
      </c>
      <c r="F636" s="2">
        <v>9.75</v>
      </c>
      <c r="G636" s="2">
        <v>240</v>
      </c>
      <c r="H636" s="2">
        <v>1975</v>
      </c>
      <c r="I636" s="2">
        <v>1960</v>
      </c>
      <c r="J636" s="2">
        <v>2770</v>
      </c>
      <c r="K636" s="2">
        <v>5135</v>
      </c>
      <c r="L636" s="2">
        <v>141</v>
      </c>
      <c r="M636" s="2">
        <v>38.130000000000003</v>
      </c>
      <c r="N636" s="2">
        <v>495</v>
      </c>
      <c r="O636" s="2">
        <v>96</v>
      </c>
      <c r="P636" s="2">
        <v>5299</v>
      </c>
    </row>
    <row r="637" spans="1:16" x14ac:dyDescent="0.35">
      <c r="A637" s="5">
        <v>45793</v>
      </c>
      <c r="B637" s="2">
        <v>667.1</v>
      </c>
      <c r="C637" s="2">
        <v>267</v>
      </c>
      <c r="D637" s="2">
        <v>235</v>
      </c>
      <c r="E637" s="2">
        <v>400</v>
      </c>
      <c r="F637" s="2">
        <v>9.8000000000000007</v>
      </c>
      <c r="G637" s="2">
        <v>235.05</v>
      </c>
      <c r="H637" s="2">
        <v>1960</v>
      </c>
      <c r="I637" s="2">
        <v>1911</v>
      </c>
      <c r="J637" s="2">
        <v>2756</v>
      </c>
      <c r="K637" s="2">
        <v>4900</v>
      </c>
      <c r="L637" s="2">
        <v>137.25</v>
      </c>
      <c r="M637" s="2">
        <v>37</v>
      </c>
      <c r="N637" s="2">
        <v>483</v>
      </c>
      <c r="O637" s="2">
        <v>96</v>
      </c>
      <c r="P637" s="2">
        <v>5200</v>
      </c>
    </row>
    <row r="638" spans="1:16" x14ac:dyDescent="0.35">
      <c r="A638" s="5">
        <v>45797</v>
      </c>
      <c r="B638" s="2">
        <v>680</v>
      </c>
      <c r="C638" s="2">
        <v>267</v>
      </c>
      <c r="D638" s="2">
        <v>231</v>
      </c>
      <c r="E638" s="2">
        <v>402</v>
      </c>
      <c r="F638" s="2">
        <v>9.8000000000000007</v>
      </c>
      <c r="G638" s="2">
        <v>235.15</v>
      </c>
      <c r="H638" s="2">
        <v>1970</v>
      </c>
      <c r="I638" s="2">
        <v>1950</v>
      </c>
      <c r="J638" s="2">
        <v>3031</v>
      </c>
      <c r="K638" s="2">
        <v>5129</v>
      </c>
      <c r="L638" s="2">
        <v>138.5</v>
      </c>
      <c r="M638" s="2">
        <v>36.99</v>
      </c>
      <c r="N638" s="2">
        <v>481.7</v>
      </c>
      <c r="O638" s="2">
        <v>96.55</v>
      </c>
      <c r="P638" s="2">
        <v>5399</v>
      </c>
    </row>
    <row r="639" spans="1:16" x14ac:dyDescent="0.35">
      <c r="A639" s="5">
        <v>45798</v>
      </c>
      <c r="B639" s="2">
        <v>685</v>
      </c>
      <c r="C639" s="2">
        <v>267</v>
      </c>
      <c r="D639" s="2">
        <v>230</v>
      </c>
      <c r="E639" s="2">
        <v>409.5</v>
      </c>
      <c r="F639" s="2">
        <v>10</v>
      </c>
      <c r="G639" s="2">
        <v>239.9</v>
      </c>
      <c r="H639" s="2">
        <v>1974</v>
      </c>
      <c r="I639" s="2">
        <v>1948</v>
      </c>
      <c r="J639" s="2">
        <v>3164</v>
      </c>
      <c r="K639" s="2">
        <v>5135</v>
      </c>
      <c r="L639" s="2">
        <v>138</v>
      </c>
      <c r="M639" s="2">
        <v>36.5</v>
      </c>
      <c r="N639" s="2">
        <v>467.5</v>
      </c>
      <c r="O639" s="2">
        <v>97</v>
      </c>
      <c r="P639" s="2">
        <v>5300</v>
      </c>
    </row>
    <row r="640" spans="1:16" x14ac:dyDescent="0.35">
      <c r="A640" s="5">
        <v>45799</v>
      </c>
      <c r="B640" s="2">
        <v>693</v>
      </c>
      <c r="C640" s="2">
        <v>273.95</v>
      </c>
      <c r="D640" s="2">
        <v>233</v>
      </c>
      <c r="E640" s="2">
        <v>408.95</v>
      </c>
      <c r="F640" s="2">
        <v>10</v>
      </c>
      <c r="G640" s="2">
        <v>236.2</v>
      </c>
      <c r="H640" s="2">
        <v>1973</v>
      </c>
      <c r="I640" s="2">
        <v>1956</v>
      </c>
      <c r="J640" s="2">
        <v>3053</v>
      </c>
      <c r="K640" s="2">
        <v>5125</v>
      </c>
      <c r="L640" s="2">
        <v>142.44999999999999</v>
      </c>
      <c r="M640" s="2">
        <v>37.119999999999997</v>
      </c>
      <c r="N640" s="2">
        <v>470</v>
      </c>
      <c r="O640" s="2">
        <v>96</v>
      </c>
      <c r="P640" s="2">
        <v>5375</v>
      </c>
    </row>
    <row r="641" spans="1:16" x14ac:dyDescent="0.35">
      <c r="A641" s="5">
        <v>45800</v>
      </c>
      <c r="B641" s="2">
        <v>694.9</v>
      </c>
      <c r="C641" s="2">
        <v>275</v>
      </c>
      <c r="D641" s="2">
        <v>233.1</v>
      </c>
      <c r="E641" s="2">
        <v>400</v>
      </c>
      <c r="F641" s="2">
        <v>10</v>
      </c>
      <c r="G641" s="2">
        <v>235.05</v>
      </c>
      <c r="H641" s="2">
        <v>1960</v>
      </c>
      <c r="I641" s="2">
        <v>1930</v>
      </c>
      <c r="J641" s="2">
        <v>3090</v>
      </c>
      <c r="K641" s="2">
        <v>5125</v>
      </c>
      <c r="L641" s="2">
        <v>141</v>
      </c>
      <c r="M641" s="2">
        <v>35.619999999999997</v>
      </c>
      <c r="N641" s="2">
        <v>470</v>
      </c>
      <c r="O641" s="2">
        <v>97</v>
      </c>
      <c r="P641" s="2">
        <v>5299</v>
      </c>
    </row>
    <row r="642" spans="1:16" x14ac:dyDescent="0.35">
      <c r="A642" s="5">
        <v>45804</v>
      </c>
      <c r="B642" s="2">
        <v>679</v>
      </c>
      <c r="C642" s="2">
        <v>272</v>
      </c>
      <c r="D642" s="2">
        <v>234</v>
      </c>
      <c r="E642" s="2">
        <v>398.45</v>
      </c>
      <c r="F642" s="2">
        <v>10</v>
      </c>
      <c r="G642" s="2">
        <v>230</v>
      </c>
      <c r="H642" s="2">
        <v>1970</v>
      </c>
      <c r="I642" s="2">
        <v>1970</v>
      </c>
      <c r="J642" s="2">
        <v>2977</v>
      </c>
      <c r="K642" s="2">
        <v>5125</v>
      </c>
      <c r="L642" s="2">
        <v>139.05000000000001</v>
      </c>
      <c r="M642" s="2">
        <v>34.770000000000003</v>
      </c>
      <c r="N642" s="2">
        <v>457</v>
      </c>
      <c r="O642" s="2">
        <v>96.01</v>
      </c>
      <c r="P642" s="2">
        <v>5250</v>
      </c>
    </row>
    <row r="643" spans="1:16" x14ac:dyDescent="0.35">
      <c r="A643" s="5">
        <v>45805</v>
      </c>
      <c r="B643" s="2">
        <v>673</v>
      </c>
      <c r="C643" s="2">
        <v>271.5</v>
      </c>
      <c r="D643" s="2">
        <v>234</v>
      </c>
      <c r="E643" s="2">
        <v>399</v>
      </c>
      <c r="F643" s="2">
        <v>9.9499999999999993</v>
      </c>
      <c r="G643" s="2">
        <v>230.2</v>
      </c>
      <c r="H643" s="2">
        <v>1970</v>
      </c>
      <c r="I643" s="2">
        <v>1945</v>
      </c>
      <c r="J643" s="2">
        <v>2860</v>
      </c>
      <c r="K643" s="2">
        <v>5125</v>
      </c>
      <c r="L643" s="2">
        <v>140</v>
      </c>
      <c r="M643" s="2">
        <v>34</v>
      </c>
      <c r="N643" s="2">
        <v>470</v>
      </c>
      <c r="O643" s="2">
        <v>96</v>
      </c>
      <c r="P643" s="2">
        <v>5278</v>
      </c>
    </row>
    <row r="644" spans="1:16" x14ac:dyDescent="0.35">
      <c r="A644" s="5">
        <v>45807</v>
      </c>
      <c r="B644" s="2">
        <v>664</v>
      </c>
      <c r="C644" s="2">
        <v>268</v>
      </c>
      <c r="D644" s="2">
        <v>238</v>
      </c>
      <c r="E644" s="2">
        <v>401</v>
      </c>
      <c r="F644" s="2">
        <v>10</v>
      </c>
      <c r="G644" s="2">
        <v>230</v>
      </c>
      <c r="H644" s="2">
        <v>1993</v>
      </c>
      <c r="I644" s="2">
        <v>1945</v>
      </c>
      <c r="J644" s="2">
        <v>3090</v>
      </c>
      <c r="K644" s="2">
        <v>5125</v>
      </c>
      <c r="L644" s="2">
        <v>137</v>
      </c>
      <c r="M644" s="2">
        <v>36</v>
      </c>
      <c r="N644" s="2">
        <v>474</v>
      </c>
      <c r="O644" s="2">
        <v>101</v>
      </c>
      <c r="P644" s="2">
        <v>5290</v>
      </c>
    </row>
    <row r="645" spans="1:16" x14ac:dyDescent="0.35">
      <c r="A645" s="5">
        <v>45810</v>
      </c>
      <c r="B645" s="2">
        <v>670</v>
      </c>
      <c r="C645" s="2">
        <v>274</v>
      </c>
      <c r="D645" s="2">
        <v>238</v>
      </c>
      <c r="E645" s="2">
        <v>400</v>
      </c>
      <c r="F645" s="2">
        <v>9.85</v>
      </c>
      <c r="G645" s="2">
        <v>233</v>
      </c>
      <c r="H645" s="2">
        <v>1994</v>
      </c>
      <c r="I645" s="2">
        <v>1988</v>
      </c>
      <c r="J645" s="2">
        <v>3050</v>
      </c>
      <c r="K645" s="2">
        <v>5200</v>
      </c>
      <c r="L645" s="2">
        <v>144.5</v>
      </c>
      <c r="M645" s="2">
        <v>36.520000000000003</v>
      </c>
      <c r="N645" s="2">
        <v>503</v>
      </c>
      <c r="O645" s="2">
        <v>103.9</v>
      </c>
      <c r="P645" s="2">
        <v>5250</v>
      </c>
    </row>
    <row r="646" spans="1:16" x14ac:dyDescent="0.35">
      <c r="A646" s="5">
        <v>45812</v>
      </c>
      <c r="B646" s="2">
        <v>682</v>
      </c>
      <c r="C646" s="2">
        <v>295</v>
      </c>
      <c r="D646" s="2">
        <v>265</v>
      </c>
      <c r="E646" s="2">
        <v>409</v>
      </c>
      <c r="F646" s="2">
        <v>10.1</v>
      </c>
      <c r="G646" s="2">
        <v>235</v>
      </c>
      <c r="H646" s="2">
        <v>2000</v>
      </c>
      <c r="I646" s="2">
        <v>2064</v>
      </c>
      <c r="J646" s="2">
        <v>3079</v>
      </c>
      <c r="K646" s="2">
        <v>5374</v>
      </c>
      <c r="L646" s="2">
        <v>142.6</v>
      </c>
      <c r="M646" s="2">
        <v>37</v>
      </c>
      <c r="N646" s="2">
        <v>520</v>
      </c>
      <c r="O646" s="2">
        <v>103.5</v>
      </c>
      <c r="P646" s="2">
        <v>5250</v>
      </c>
    </row>
    <row r="647" spans="1:16" x14ac:dyDescent="0.35">
      <c r="A647" s="5">
        <v>45813</v>
      </c>
      <c r="B647" s="2">
        <v>683.5</v>
      </c>
      <c r="C647" s="2">
        <v>306</v>
      </c>
      <c r="D647" s="2">
        <v>277</v>
      </c>
      <c r="E647" s="2">
        <v>425.05</v>
      </c>
      <c r="F647" s="2">
        <v>10.1</v>
      </c>
      <c r="G647" s="2">
        <v>237.5</v>
      </c>
      <c r="H647" s="2">
        <v>1980</v>
      </c>
      <c r="I647" s="2">
        <v>1980</v>
      </c>
      <c r="J647" s="2">
        <v>3080</v>
      </c>
      <c r="K647" s="2">
        <v>5149</v>
      </c>
      <c r="L647" s="2">
        <v>141.19999999999999</v>
      </c>
      <c r="M647" s="2">
        <v>38.200000000000003</v>
      </c>
      <c r="N647" s="2">
        <v>520</v>
      </c>
      <c r="O647" s="2">
        <v>113.8</v>
      </c>
      <c r="P647" s="2">
        <v>5150</v>
      </c>
    </row>
    <row r="648" spans="1:16" x14ac:dyDescent="0.35">
      <c r="A648" s="5">
        <v>45814</v>
      </c>
      <c r="B648" s="2">
        <v>671.6</v>
      </c>
      <c r="C648" s="2">
        <v>302</v>
      </c>
      <c r="D648" s="2">
        <v>270</v>
      </c>
      <c r="E648" s="2">
        <v>414</v>
      </c>
      <c r="F648" s="2">
        <v>10.1</v>
      </c>
      <c r="G648" s="2">
        <v>243</v>
      </c>
      <c r="H648" s="2">
        <v>1980</v>
      </c>
      <c r="I648" s="2">
        <v>2030</v>
      </c>
      <c r="J648" s="2">
        <v>3030</v>
      </c>
      <c r="K648" s="2">
        <v>5150</v>
      </c>
      <c r="L648" s="2">
        <v>147.9</v>
      </c>
      <c r="M648" s="2">
        <v>38.5</v>
      </c>
      <c r="N648" s="2">
        <v>513.20000000000005</v>
      </c>
      <c r="O648" s="2">
        <v>112.8</v>
      </c>
      <c r="P648" s="2">
        <v>5150</v>
      </c>
    </row>
    <row r="649" spans="1:16" x14ac:dyDescent="0.35">
      <c r="A649" s="5">
        <v>45818</v>
      </c>
      <c r="B649" s="2">
        <v>680</v>
      </c>
      <c r="C649" s="2">
        <v>300</v>
      </c>
      <c r="D649" s="2">
        <v>270</v>
      </c>
      <c r="E649" s="2">
        <v>420</v>
      </c>
      <c r="F649" s="2">
        <v>9.8000000000000007</v>
      </c>
      <c r="G649" s="2">
        <v>238</v>
      </c>
      <c r="H649" s="2">
        <v>2000</v>
      </c>
      <c r="I649" s="2">
        <v>1998</v>
      </c>
      <c r="J649" s="2">
        <v>3040</v>
      </c>
      <c r="K649" s="2">
        <v>5250</v>
      </c>
      <c r="L649" s="2">
        <v>145.80000000000001</v>
      </c>
      <c r="M649" s="2">
        <v>39.01</v>
      </c>
      <c r="N649" s="2">
        <v>512</v>
      </c>
      <c r="O649" s="2">
        <v>117.15</v>
      </c>
      <c r="P649" s="2">
        <v>5175</v>
      </c>
    </row>
    <row r="650" spans="1:16" x14ac:dyDescent="0.35">
      <c r="A650" s="5">
        <v>45820</v>
      </c>
      <c r="B650" s="2">
        <v>684.2</v>
      </c>
      <c r="C650" s="2">
        <v>296</v>
      </c>
      <c r="D650" s="2">
        <v>265</v>
      </c>
      <c r="E650" s="2">
        <v>415</v>
      </c>
      <c r="F650" s="2">
        <v>9.8000000000000007</v>
      </c>
      <c r="G650" s="2">
        <v>236</v>
      </c>
      <c r="H650" s="2">
        <v>2050</v>
      </c>
      <c r="I650" s="2">
        <v>1980</v>
      </c>
      <c r="J650" s="2">
        <v>3015</v>
      </c>
      <c r="K650" s="2">
        <v>5002</v>
      </c>
      <c r="L650" s="2">
        <v>144</v>
      </c>
      <c r="M650" s="2">
        <v>38.200000000000003</v>
      </c>
      <c r="N650" s="2">
        <v>502</v>
      </c>
      <c r="O650" s="2">
        <v>115.35</v>
      </c>
      <c r="P650" s="2">
        <v>5145</v>
      </c>
    </row>
    <row r="651" spans="1:16" x14ac:dyDescent="0.35">
      <c r="A651" s="5">
        <v>45821</v>
      </c>
      <c r="B651" s="2">
        <v>686</v>
      </c>
      <c r="C651" s="2">
        <v>294.5</v>
      </c>
      <c r="D651" s="2">
        <v>275</v>
      </c>
      <c r="E651" s="2">
        <v>413</v>
      </c>
      <c r="F651" s="2">
        <v>9.8000000000000007</v>
      </c>
      <c r="G651" s="2">
        <v>235</v>
      </c>
      <c r="H651" s="2">
        <v>1966</v>
      </c>
      <c r="I651" s="2">
        <v>1930</v>
      </c>
      <c r="J651" s="2">
        <v>2950</v>
      </c>
      <c r="K651" s="2">
        <v>5002</v>
      </c>
      <c r="L651" s="2">
        <v>144</v>
      </c>
      <c r="M651" s="2">
        <v>37.03</v>
      </c>
      <c r="N651" s="2">
        <v>500</v>
      </c>
      <c r="O651" s="2">
        <v>108.2</v>
      </c>
      <c r="P651" s="2">
        <v>5250</v>
      </c>
    </row>
    <row r="652" spans="1:16" x14ac:dyDescent="0.35">
      <c r="A652" s="5">
        <v>45824</v>
      </c>
      <c r="B652" s="2">
        <v>676.1</v>
      </c>
      <c r="C652" s="2">
        <v>290</v>
      </c>
      <c r="D652" s="2">
        <v>266.8</v>
      </c>
      <c r="E652" s="2">
        <v>415</v>
      </c>
      <c r="F652" s="2">
        <v>9.8000000000000007</v>
      </c>
      <c r="G652" s="2">
        <v>234</v>
      </c>
      <c r="H652" s="2">
        <v>1910</v>
      </c>
      <c r="I652" s="2">
        <v>1922</v>
      </c>
      <c r="J652" s="2">
        <v>2881</v>
      </c>
      <c r="K652" s="2">
        <v>5279</v>
      </c>
      <c r="L652" s="2">
        <v>145</v>
      </c>
      <c r="M652" s="2">
        <v>35.6</v>
      </c>
      <c r="N652" s="2">
        <v>485</v>
      </c>
      <c r="O652" s="2">
        <v>108.5</v>
      </c>
      <c r="P652" s="2">
        <v>5229</v>
      </c>
    </row>
    <row r="653" spans="1:16" x14ac:dyDescent="0.35">
      <c r="A653" s="5">
        <v>45825</v>
      </c>
      <c r="B653" s="2">
        <v>671.5</v>
      </c>
      <c r="C653" s="2">
        <v>290</v>
      </c>
      <c r="D653" s="2">
        <v>268</v>
      </c>
      <c r="E653" s="2">
        <v>414.95</v>
      </c>
      <c r="F653" s="2">
        <v>9.8000000000000007</v>
      </c>
      <c r="G653" s="2">
        <v>230.5</v>
      </c>
      <c r="H653" s="2">
        <v>1915</v>
      </c>
      <c r="I653" s="2">
        <v>1930</v>
      </c>
      <c r="J653" s="2">
        <v>2860</v>
      </c>
      <c r="K653" s="2">
        <v>5250</v>
      </c>
      <c r="L653" s="2">
        <v>144.80000000000001</v>
      </c>
      <c r="M653" s="2">
        <v>35</v>
      </c>
      <c r="N653" s="2">
        <v>473</v>
      </c>
      <c r="O653" s="2">
        <v>110</v>
      </c>
      <c r="P653" s="2">
        <v>5150</v>
      </c>
    </row>
    <row r="654" spans="1:16" x14ac:dyDescent="0.35">
      <c r="A654" s="5">
        <v>45827</v>
      </c>
      <c r="B654" s="2">
        <v>658</v>
      </c>
      <c r="C654" s="2">
        <v>280</v>
      </c>
      <c r="D654" s="2">
        <v>260</v>
      </c>
      <c r="E654" s="2">
        <v>410.9</v>
      </c>
      <c r="F654" s="2">
        <v>9.9</v>
      </c>
      <c r="G654" s="2">
        <v>227</v>
      </c>
      <c r="H654" s="2">
        <v>1900</v>
      </c>
      <c r="I654" s="2">
        <v>1900</v>
      </c>
      <c r="J654" s="2">
        <v>2740</v>
      </c>
      <c r="K654" s="2">
        <v>5159</v>
      </c>
      <c r="L654" s="2">
        <v>140</v>
      </c>
      <c r="M654" s="2">
        <v>34</v>
      </c>
      <c r="N654" s="2">
        <v>450</v>
      </c>
      <c r="O654" s="2">
        <v>105</v>
      </c>
      <c r="P654" s="2">
        <v>5130</v>
      </c>
    </row>
    <row r="655" spans="1:16" x14ac:dyDescent="0.35">
      <c r="A655" s="5">
        <v>45828</v>
      </c>
      <c r="B655" s="2">
        <v>665</v>
      </c>
      <c r="C655" s="2">
        <v>284.05</v>
      </c>
      <c r="D655" s="2">
        <v>270</v>
      </c>
      <c r="E655" s="2">
        <v>413</v>
      </c>
      <c r="F655" s="2">
        <v>10</v>
      </c>
      <c r="G655" s="2">
        <v>230.15</v>
      </c>
      <c r="H655" s="2">
        <v>1924</v>
      </c>
      <c r="I655" s="2">
        <v>1915</v>
      </c>
      <c r="J655" s="2">
        <v>2885</v>
      </c>
      <c r="K655" s="2">
        <v>5155</v>
      </c>
      <c r="L655" s="2">
        <v>140</v>
      </c>
      <c r="M655" s="2">
        <v>35</v>
      </c>
      <c r="N655" s="2">
        <v>463</v>
      </c>
      <c r="O655" s="2">
        <v>111.1</v>
      </c>
      <c r="P655" s="2">
        <v>5199</v>
      </c>
    </row>
    <row r="656" spans="1:16" x14ac:dyDescent="0.35">
      <c r="A656" s="5">
        <v>45831</v>
      </c>
      <c r="B656" s="2">
        <v>660</v>
      </c>
      <c r="C656" s="2">
        <v>282</v>
      </c>
      <c r="D656" s="2">
        <v>263</v>
      </c>
      <c r="E656" s="2">
        <v>415</v>
      </c>
      <c r="F656" s="2">
        <v>10</v>
      </c>
      <c r="G656" s="2">
        <v>229</v>
      </c>
      <c r="H656" s="2">
        <v>1900</v>
      </c>
      <c r="I656" s="2">
        <v>1890</v>
      </c>
      <c r="J656" s="2">
        <v>2843</v>
      </c>
      <c r="K656" s="2">
        <v>5155</v>
      </c>
      <c r="L656" s="2">
        <v>139</v>
      </c>
      <c r="M656" s="2">
        <v>34.799999999999997</v>
      </c>
      <c r="N656" s="2">
        <v>460.5</v>
      </c>
      <c r="O656" s="2">
        <v>116.8</v>
      </c>
      <c r="P656" s="2">
        <v>5000</v>
      </c>
    </row>
    <row r="657" spans="1:16" x14ac:dyDescent="0.35">
      <c r="A657" s="5">
        <v>45832</v>
      </c>
      <c r="B657" s="2">
        <v>680</v>
      </c>
      <c r="C657" s="2">
        <v>293</v>
      </c>
      <c r="D657" s="2">
        <v>272</v>
      </c>
      <c r="E657" s="2">
        <v>418.17</v>
      </c>
      <c r="F657" s="2">
        <v>10</v>
      </c>
      <c r="G657" s="2">
        <v>230</v>
      </c>
      <c r="H657" s="2">
        <v>1945</v>
      </c>
      <c r="I657" s="2">
        <v>1993</v>
      </c>
      <c r="J657" s="2">
        <v>2860</v>
      </c>
      <c r="K657" s="2">
        <v>5150</v>
      </c>
      <c r="L657" s="2">
        <v>140</v>
      </c>
      <c r="M657" s="2">
        <v>36.700000000000003</v>
      </c>
      <c r="N657" s="2">
        <v>481</v>
      </c>
      <c r="O657" s="2">
        <v>123.05</v>
      </c>
      <c r="P657" s="2">
        <v>5200</v>
      </c>
    </row>
    <row r="658" spans="1:16" x14ac:dyDescent="0.35">
      <c r="A658" s="5">
        <v>45833</v>
      </c>
      <c r="B658" s="2">
        <v>685.2</v>
      </c>
      <c r="C658" s="2">
        <v>293</v>
      </c>
      <c r="D658" s="2">
        <v>272</v>
      </c>
      <c r="E658" s="2">
        <v>433.03</v>
      </c>
      <c r="F658" s="2">
        <v>10</v>
      </c>
      <c r="G658" s="2">
        <v>235.15</v>
      </c>
      <c r="H658" s="2">
        <v>1972</v>
      </c>
      <c r="I658" s="2">
        <v>1970</v>
      </c>
      <c r="J658" s="2">
        <v>2900</v>
      </c>
      <c r="K658" s="2">
        <v>5250</v>
      </c>
      <c r="L658" s="2">
        <v>144.80000000000001</v>
      </c>
      <c r="M658" s="2">
        <v>36.9</v>
      </c>
      <c r="N658" s="2">
        <v>485</v>
      </c>
      <c r="O658" s="2">
        <v>122.9</v>
      </c>
      <c r="P658" s="2">
        <v>5200</v>
      </c>
    </row>
    <row r="659" spans="1:16" x14ac:dyDescent="0.35">
      <c r="A659" s="5">
        <v>45834</v>
      </c>
      <c r="B659" s="2">
        <v>693</v>
      </c>
      <c r="C659" s="2">
        <v>289.10000000000002</v>
      </c>
      <c r="D659" s="2">
        <v>273.89999999999998</v>
      </c>
      <c r="E659" s="2">
        <v>428.11</v>
      </c>
      <c r="F659" s="2">
        <v>9.9499999999999993</v>
      </c>
      <c r="G659" s="2">
        <v>230</v>
      </c>
      <c r="H659" s="2">
        <v>1920</v>
      </c>
      <c r="I659" s="2">
        <v>1970</v>
      </c>
      <c r="J659" s="2">
        <v>2900</v>
      </c>
      <c r="K659" s="2">
        <v>5235</v>
      </c>
      <c r="L659" s="2">
        <v>150</v>
      </c>
      <c r="M659" s="2">
        <v>36.869999999999997</v>
      </c>
      <c r="N659" s="2">
        <v>486</v>
      </c>
      <c r="O659" s="2">
        <v>122.9</v>
      </c>
      <c r="P659" s="2">
        <v>5290</v>
      </c>
    </row>
    <row r="660" spans="1:16" x14ac:dyDescent="0.35">
      <c r="A660" s="5">
        <v>45838</v>
      </c>
      <c r="B660" s="2">
        <v>680</v>
      </c>
      <c r="C660" s="2">
        <v>290</v>
      </c>
      <c r="D660" s="2">
        <v>280</v>
      </c>
      <c r="E660" s="2">
        <v>408.42</v>
      </c>
      <c r="F660" s="2">
        <v>10</v>
      </c>
      <c r="G660" s="2">
        <v>235</v>
      </c>
      <c r="H660" s="2">
        <v>1925</v>
      </c>
      <c r="I660" s="2">
        <v>2050</v>
      </c>
      <c r="J660" s="2">
        <v>2800</v>
      </c>
      <c r="K660" s="2">
        <v>5200</v>
      </c>
      <c r="L660" s="2">
        <v>142</v>
      </c>
      <c r="M660" s="2">
        <v>36.99</v>
      </c>
      <c r="N660" s="2">
        <v>475</v>
      </c>
      <c r="O660" s="2">
        <v>125</v>
      </c>
      <c r="P660" s="2">
        <v>5250</v>
      </c>
    </row>
    <row r="661" spans="1:16" x14ac:dyDescent="0.35">
      <c r="A661" s="5">
        <v>45841</v>
      </c>
      <c r="B661" s="2">
        <v>690</v>
      </c>
      <c r="C661" s="2">
        <v>306.55</v>
      </c>
      <c r="D661" s="2">
        <v>270.10000000000002</v>
      </c>
      <c r="E661" s="2">
        <v>419.95</v>
      </c>
      <c r="F661" s="2">
        <v>10.199999999999999</v>
      </c>
      <c r="G661" s="2">
        <v>250.75</v>
      </c>
      <c r="H661" s="2">
        <v>1950</v>
      </c>
      <c r="I661" s="2">
        <v>2065</v>
      </c>
      <c r="J661" s="2">
        <v>2900</v>
      </c>
      <c r="K661" s="2">
        <v>5390</v>
      </c>
      <c r="L661" s="2">
        <v>144</v>
      </c>
      <c r="M661" s="2">
        <v>36.11</v>
      </c>
      <c r="N661" s="2">
        <v>492</v>
      </c>
      <c r="O661" s="2">
        <v>124.05</v>
      </c>
      <c r="P661" s="2">
        <v>5275</v>
      </c>
    </row>
    <row r="662" spans="1:16" x14ac:dyDescent="0.35">
      <c r="A662" s="5">
        <v>45842</v>
      </c>
      <c r="B662" s="2">
        <v>693</v>
      </c>
      <c r="C662" s="2">
        <v>306</v>
      </c>
      <c r="D662" s="2">
        <v>273</v>
      </c>
      <c r="E662" s="2">
        <v>410</v>
      </c>
      <c r="F662" s="2">
        <v>10.199999999999999</v>
      </c>
      <c r="G662" s="2">
        <v>252.1</v>
      </c>
      <c r="H662" s="2">
        <v>1930</v>
      </c>
      <c r="I662" s="2">
        <v>2065</v>
      </c>
      <c r="J662" s="2">
        <v>2920</v>
      </c>
      <c r="K662" s="2">
        <v>5390</v>
      </c>
      <c r="L662" s="2">
        <v>145.94999999999999</v>
      </c>
      <c r="M662" s="2">
        <v>36.01</v>
      </c>
      <c r="N662" s="2">
        <v>490</v>
      </c>
      <c r="O662" s="2">
        <v>132</v>
      </c>
      <c r="P662" s="2">
        <v>5300</v>
      </c>
    </row>
    <row r="663" spans="1:16" x14ac:dyDescent="0.35">
      <c r="A663" s="5">
        <v>45845</v>
      </c>
      <c r="B663" s="2">
        <v>700</v>
      </c>
      <c r="C663" s="2">
        <v>313</v>
      </c>
      <c r="D663" s="2">
        <v>274.5</v>
      </c>
      <c r="E663" s="2">
        <v>410</v>
      </c>
      <c r="F663" s="2">
        <v>10.199999999999999</v>
      </c>
      <c r="G663" s="2">
        <v>252</v>
      </c>
      <c r="H663" s="2">
        <v>1934</v>
      </c>
      <c r="I663" s="2">
        <v>2100</v>
      </c>
      <c r="J663" s="2">
        <v>2899</v>
      </c>
      <c r="K663" s="2">
        <v>5400</v>
      </c>
      <c r="L663" s="2">
        <v>141.5</v>
      </c>
      <c r="M663" s="2">
        <v>36.18</v>
      </c>
      <c r="N663" s="2">
        <v>491.5</v>
      </c>
      <c r="O663" s="2">
        <v>134</v>
      </c>
      <c r="P663" s="2">
        <v>5290</v>
      </c>
    </row>
    <row r="664" spans="1:16" x14ac:dyDescent="0.35">
      <c r="A664" s="5">
        <v>45847</v>
      </c>
      <c r="B664" s="2">
        <v>699.8</v>
      </c>
      <c r="C664" s="2">
        <v>315</v>
      </c>
      <c r="D664" s="2">
        <v>266</v>
      </c>
      <c r="E664" s="2">
        <v>404</v>
      </c>
      <c r="F664" s="2">
        <v>10.3</v>
      </c>
      <c r="G664" s="2">
        <v>260.85000000000002</v>
      </c>
      <c r="H664" s="2">
        <v>1955</v>
      </c>
      <c r="I664" s="2">
        <v>2100</v>
      </c>
      <c r="J664" s="2">
        <v>2887</v>
      </c>
      <c r="K664" s="2">
        <v>5385</v>
      </c>
      <c r="L664" s="2">
        <v>144</v>
      </c>
      <c r="M664" s="2">
        <v>35.92</v>
      </c>
      <c r="N664" s="2">
        <v>500</v>
      </c>
      <c r="O664" s="2">
        <v>128.5</v>
      </c>
      <c r="P664" s="2">
        <v>5300</v>
      </c>
    </row>
    <row r="665" spans="1:16" x14ac:dyDescent="0.35">
      <c r="A665" s="5">
        <v>45848</v>
      </c>
      <c r="B665" s="2">
        <v>700</v>
      </c>
      <c r="C665" s="2">
        <v>325</v>
      </c>
      <c r="D665" s="2">
        <v>267.5</v>
      </c>
      <c r="E665" s="2">
        <v>403.2</v>
      </c>
      <c r="F665" s="2">
        <v>10.199999999999999</v>
      </c>
      <c r="G665" s="2">
        <v>255.2</v>
      </c>
      <c r="H665" s="2">
        <v>1950</v>
      </c>
      <c r="I665" s="2">
        <v>2056</v>
      </c>
      <c r="J665" s="2">
        <v>2880</v>
      </c>
      <c r="K665" s="2">
        <v>5385</v>
      </c>
      <c r="L665" s="2">
        <v>142</v>
      </c>
      <c r="M665" s="2">
        <v>35.9</v>
      </c>
      <c r="N665" s="2">
        <v>493.1</v>
      </c>
      <c r="O665" s="2">
        <v>130.19999999999999</v>
      </c>
      <c r="P665" s="2">
        <v>5300</v>
      </c>
    </row>
    <row r="666" spans="1:16" x14ac:dyDescent="0.35">
      <c r="A666" s="5">
        <v>45852</v>
      </c>
      <c r="B666" s="2">
        <v>700</v>
      </c>
      <c r="C666" s="2">
        <v>334</v>
      </c>
      <c r="D666" s="2">
        <v>266</v>
      </c>
      <c r="E666" s="2">
        <v>407</v>
      </c>
      <c r="F666" s="2">
        <v>10.1</v>
      </c>
      <c r="G666" s="2">
        <v>258</v>
      </c>
      <c r="H666" s="2">
        <v>1932</v>
      </c>
      <c r="I666" s="2">
        <v>2098</v>
      </c>
      <c r="J666" s="2">
        <v>2929</v>
      </c>
      <c r="K666" s="2">
        <v>5300</v>
      </c>
      <c r="L666" s="2">
        <v>144</v>
      </c>
      <c r="M666" s="2">
        <v>35.86</v>
      </c>
      <c r="N666" s="2">
        <v>494.45</v>
      </c>
      <c r="O666" s="2">
        <v>131.69999999999999</v>
      </c>
      <c r="P666" s="2">
        <v>5220</v>
      </c>
    </row>
    <row r="667" spans="1:16" x14ac:dyDescent="0.35">
      <c r="A667" s="5">
        <v>45853</v>
      </c>
      <c r="B667" s="2">
        <v>699.8</v>
      </c>
      <c r="C667" s="2">
        <v>310</v>
      </c>
      <c r="D667" s="2">
        <v>264.2</v>
      </c>
      <c r="E667" s="2">
        <v>407</v>
      </c>
      <c r="F667" s="2">
        <v>10.1</v>
      </c>
      <c r="G667" s="2">
        <v>256.5</v>
      </c>
      <c r="H667" s="2">
        <v>1910</v>
      </c>
      <c r="I667" s="2">
        <v>2098</v>
      </c>
      <c r="J667" s="2">
        <v>2943</v>
      </c>
      <c r="K667" s="2">
        <v>5345</v>
      </c>
      <c r="L667" s="2">
        <v>143.9</v>
      </c>
      <c r="M667" s="2">
        <v>35.799999999999997</v>
      </c>
      <c r="N667" s="2">
        <v>490</v>
      </c>
      <c r="O667" s="2">
        <v>129</v>
      </c>
      <c r="P667" s="2">
        <v>5250</v>
      </c>
    </row>
    <row r="668" spans="1:16" x14ac:dyDescent="0.35">
      <c r="A668" s="5">
        <v>45854</v>
      </c>
      <c r="B668" s="2">
        <v>700</v>
      </c>
      <c r="C668" s="2">
        <v>311</v>
      </c>
      <c r="D668" s="2">
        <v>264</v>
      </c>
      <c r="E668" s="2">
        <v>408</v>
      </c>
      <c r="F668" s="2">
        <v>10.1</v>
      </c>
      <c r="G668" s="2">
        <v>255.1</v>
      </c>
      <c r="H668" s="2">
        <v>1919</v>
      </c>
      <c r="I668" s="2">
        <v>2125</v>
      </c>
      <c r="J668" s="2">
        <v>2978</v>
      </c>
      <c r="K668" s="2">
        <v>5344</v>
      </c>
      <c r="L668" s="2">
        <v>143.9</v>
      </c>
      <c r="M668" s="2">
        <v>35.6</v>
      </c>
      <c r="N668" s="2">
        <v>484</v>
      </c>
      <c r="O668" s="2">
        <v>127.6</v>
      </c>
      <c r="P668" s="2">
        <v>5255</v>
      </c>
    </row>
    <row r="669" spans="1:16" x14ac:dyDescent="0.35">
      <c r="A669" s="5">
        <v>45855</v>
      </c>
      <c r="B669" s="2">
        <v>700</v>
      </c>
      <c r="C669" s="2">
        <v>315</v>
      </c>
      <c r="D669" s="2">
        <v>263.7</v>
      </c>
      <c r="E669" s="2">
        <v>408</v>
      </c>
      <c r="F669" s="2">
        <v>10.1</v>
      </c>
      <c r="G669" s="2">
        <v>260</v>
      </c>
      <c r="H669" s="2">
        <v>1959</v>
      </c>
      <c r="I669" s="2">
        <v>2150</v>
      </c>
      <c r="J669" s="2">
        <v>2950</v>
      </c>
      <c r="K669" s="2">
        <v>5344</v>
      </c>
      <c r="L669" s="2">
        <v>140.75</v>
      </c>
      <c r="M669" s="2">
        <v>36</v>
      </c>
      <c r="N669" s="2">
        <v>490</v>
      </c>
      <c r="O669" s="2">
        <v>140.35</v>
      </c>
      <c r="P669" s="2">
        <v>5300</v>
      </c>
    </row>
    <row r="670" spans="1:16" x14ac:dyDescent="0.35">
      <c r="A670" s="5">
        <v>45856</v>
      </c>
      <c r="B670" s="2">
        <v>725</v>
      </c>
      <c r="C670" s="2">
        <v>315</v>
      </c>
      <c r="D670" s="2">
        <v>268.85000000000002</v>
      </c>
      <c r="E670" s="2">
        <v>410.1</v>
      </c>
      <c r="F670" s="2">
        <v>10.199999999999999</v>
      </c>
      <c r="G670" s="2">
        <v>266</v>
      </c>
      <c r="H670" s="2">
        <v>1960</v>
      </c>
      <c r="I670" s="2">
        <v>2060</v>
      </c>
      <c r="J670" s="2">
        <v>2985</v>
      </c>
      <c r="K670" s="2">
        <v>5319</v>
      </c>
      <c r="L670" s="2">
        <v>140</v>
      </c>
      <c r="M670" s="2">
        <v>36.9</v>
      </c>
      <c r="N670" s="2">
        <v>480</v>
      </c>
      <c r="O670" s="2">
        <v>142.19999999999999</v>
      </c>
      <c r="P670" s="2">
        <v>5500</v>
      </c>
    </row>
    <row r="671" spans="1:16" x14ac:dyDescent="0.35">
      <c r="A671" s="5">
        <v>45859</v>
      </c>
      <c r="B671" s="2">
        <v>718</v>
      </c>
      <c r="C671" s="2">
        <v>325.5</v>
      </c>
      <c r="D671" s="2">
        <v>265.10000000000002</v>
      </c>
      <c r="E671" s="2">
        <v>412</v>
      </c>
      <c r="F671" s="2">
        <v>10.5</v>
      </c>
      <c r="G671" s="2">
        <v>253.9</v>
      </c>
      <c r="H671" s="2">
        <v>1970</v>
      </c>
      <c r="I671" s="2">
        <v>2099</v>
      </c>
      <c r="J671" s="2">
        <v>3080</v>
      </c>
      <c r="K671" s="2">
        <v>5318</v>
      </c>
      <c r="L671" s="2">
        <v>143</v>
      </c>
      <c r="M671" s="2">
        <v>36.549999999999997</v>
      </c>
      <c r="N671" s="2">
        <v>482.1</v>
      </c>
      <c r="O671" s="2">
        <v>146.1</v>
      </c>
      <c r="P671" s="2">
        <v>5490</v>
      </c>
    </row>
    <row r="672" spans="1:16" x14ac:dyDescent="0.35">
      <c r="A672" s="5">
        <v>45861</v>
      </c>
      <c r="B672" s="2">
        <v>710</v>
      </c>
      <c r="C672" s="2">
        <v>329.9</v>
      </c>
      <c r="D672" s="2">
        <v>262.25</v>
      </c>
      <c r="E672" s="2">
        <v>415</v>
      </c>
      <c r="F672" s="2">
        <v>10.9</v>
      </c>
      <c r="G672" s="2">
        <v>244</v>
      </c>
      <c r="H672" s="2">
        <v>1971</v>
      </c>
      <c r="I672" s="2">
        <v>2099</v>
      </c>
      <c r="J672" s="2">
        <v>3028</v>
      </c>
      <c r="K672" s="2">
        <v>5329</v>
      </c>
      <c r="L672" s="2">
        <v>144.4</v>
      </c>
      <c r="M672" s="2">
        <v>36</v>
      </c>
      <c r="N672" s="2">
        <v>474</v>
      </c>
      <c r="O672" s="2">
        <v>143</v>
      </c>
      <c r="P672" s="2">
        <v>5500</v>
      </c>
    </row>
    <row r="673" spans="1:16" x14ac:dyDescent="0.35">
      <c r="A673" s="5">
        <v>45862</v>
      </c>
      <c r="B673" s="2">
        <v>730</v>
      </c>
      <c r="C673" s="2">
        <v>331</v>
      </c>
      <c r="D673" s="2">
        <v>265</v>
      </c>
      <c r="E673" s="2">
        <v>434.95</v>
      </c>
      <c r="F673" s="2">
        <v>10.9</v>
      </c>
      <c r="G673" s="2">
        <v>242</v>
      </c>
      <c r="H673" s="2">
        <v>1970</v>
      </c>
      <c r="I673" s="2">
        <v>2084</v>
      </c>
      <c r="J673" s="2">
        <v>2999</v>
      </c>
      <c r="K673" s="2">
        <v>5300</v>
      </c>
      <c r="L673" s="2">
        <v>141</v>
      </c>
      <c r="M673" s="2">
        <v>35.85</v>
      </c>
      <c r="N673" s="2">
        <v>473.1</v>
      </c>
      <c r="O673" s="2">
        <v>142</v>
      </c>
      <c r="P673" s="2">
        <v>5570</v>
      </c>
    </row>
    <row r="674" spans="1:16" x14ac:dyDescent="0.35">
      <c r="A674" s="5">
        <v>45863</v>
      </c>
      <c r="B674" s="2">
        <v>735</v>
      </c>
      <c r="C674" s="2">
        <v>330</v>
      </c>
      <c r="D674" s="2">
        <v>265.05</v>
      </c>
      <c r="E674" s="2">
        <v>437.5</v>
      </c>
      <c r="F674" s="2">
        <v>10.8</v>
      </c>
      <c r="G674" s="2">
        <v>242</v>
      </c>
      <c r="H674" s="2">
        <v>2000</v>
      </c>
      <c r="I674" s="2">
        <v>2064</v>
      </c>
      <c r="J674" s="2">
        <v>2990</v>
      </c>
      <c r="K674" s="2">
        <v>5299</v>
      </c>
      <c r="L674" s="2">
        <v>140.5</v>
      </c>
      <c r="M674" s="2">
        <v>37.869999999999997</v>
      </c>
      <c r="N674" s="2">
        <v>482.2</v>
      </c>
      <c r="O674" s="2">
        <v>144</v>
      </c>
      <c r="P674" s="2">
        <v>5800</v>
      </c>
    </row>
    <row r="675" spans="1:16" x14ac:dyDescent="0.35">
      <c r="A675" s="5">
        <v>45867</v>
      </c>
      <c r="B675" s="2">
        <v>740</v>
      </c>
      <c r="C675" s="2">
        <v>330</v>
      </c>
      <c r="D675" s="2">
        <v>270</v>
      </c>
      <c r="E675" s="2">
        <v>448</v>
      </c>
      <c r="F675" s="2">
        <v>10.8</v>
      </c>
      <c r="G675" s="2">
        <v>242</v>
      </c>
      <c r="H675" s="2">
        <v>2000</v>
      </c>
      <c r="I675" s="2">
        <v>2040</v>
      </c>
      <c r="J675" s="2">
        <v>2965</v>
      </c>
      <c r="K675" s="2">
        <v>5300</v>
      </c>
      <c r="L675" s="2">
        <v>141</v>
      </c>
      <c r="M675" s="2">
        <v>37.18</v>
      </c>
      <c r="N675" s="2">
        <v>475</v>
      </c>
      <c r="O675" s="2">
        <v>141.75</v>
      </c>
      <c r="P675" s="2">
        <v>5800</v>
      </c>
    </row>
    <row r="676" spans="1:16" x14ac:dyDescent="0.35">
      <c r="A676" s="5">
        <v>45869</v>
      </c>
      <c r="B676" s="2">
        <v>750</v>
      </c>
      <c r="C676" s="2">
        <v>335</v>
      </c>
      <c r="D676" s="2">
        <v>265.2</v>
      </c>
      <c r="E676" s="2">
        <v>450</v>
      </c>
      <c r="F676" s="2">
        <v>10.8</v>
      </c>
      <c r="G676" s="2">
        <v>249.9</v>
      </c>
      <c r="H676" s="2">
        <v>2000</v>
      </c>
      <c r="I676" s="2">
        <v>2060</v>
      </c>
      <c r="J676" s="2">
        <v>2950</v>
      </c>
      <c r="K676" s="2">
        <v>5280</v>
      </c>
      <c r="L676" s="2">
        <v>142.5</v>
      </c>
      <c r="M676" s="2">
        <v>37</v>
      </c>
      <c r="N676" s="2">
        <v>480</v>
      </c>
      <c r="O676" s="2">
        <v>141.80000000000001</v>
      </c>
      <c r="P676" s="2">
        <v>5798</v>
      </c>
    </row>
    <row r="677" spans="1:16" x14ac:dyDescent="0.35">
      <c r="A677" s="5">
        <v>45876</v>
      </c>
      <c r="B677" s="2">
        <v>769.7</v>
      </c>
      <c r="C677" s="2">
        <v>329</v>
      </c>
      <c r="D677" s="2">
        <v>268</v>
      </c>
      <c r="E677" s="2">
        <v>439.75</v>
      </c>
      <c r="F677" s="2">
        <v>10.9</v>
      </c>
      <c r="G677" s="2">
        <v>244.95</v>
      </c>
      <c r="H677" s="2">
        <v>2000</v>
      </c>
      <c r="I677" s="2">
        <v>2012</v>
      </c>
      <c r="J677" s="2">
        <v>2870</v>
      </c>
      <c r="K677" s="2">
        <v>5280</v>
      </c>
      <c r="L677" s="2">
        <v>150</v>
      </c>
      <c r="M677" s="2">
        <v>40</v>
      </c>
      <c r="N677" s="2">
        <v>528.1</v>
      </c>
      <c r="O677" s="2">
        <v>147.5</v>
      </c>
      <c r="P677" s="2">
        <v>5680</v>
      </c>
    </row>
    <row r="678" spans="1:16" x14ac:dyDescent="0.35">
      <c r="A678" s="5">
        <v>45877</v>
      </c>
      <c r="B678" s="2">
        <v>767.9</v>
      </c>
      <c r="C678" s="2">
        <v>323.2</v>
      </c>
      <c r="D678" s="2">
        <v>268</v>
      </c>
      <c r="E678" s="2">
        <v>437</v>
      </c>
      <c r="F678" s="2">
        <v>11.1</v>
      </c>
      <c r="G678" s="2">
        <v>245.1</v>
      </c>
      <c r="H678" s="2">
        <v>2000</v>
      </c>
      <c r="I678" s="2">
        <v>2019</v>
      </c>
      <c r="J678" s="2">
        <v>2800</v>
      </c>
      <c r="K678" s="2">
        <v>5280</v>
      </c>
      <c r="L678" s="2">
        <v>159.9</v>
      </c>
      <c r="M678" s="2">
        <v>41.75</v>
      </c>
      <c r="N678" s="2">
        <v>550</v>
      </c>
      <c r="O678" s="2">
        <v>152.69999999999999</v>
      </c>
      <c r="P678" s="2">
        <v>5798</v>
      </c>
    </row>
    <row r="679" spans="1:16" x14ac:dyDescent="0.35">
      <c r="A679" s="5">
        <v>45880</v>
      </c>
      <c r="B679" s="2">
        <v>768.9</v>
      </c>
      <c r="C679" s="2">
        <v>325</v>
      </c>
      <c r="D679" s="2">
        <v>267.2</v>
      </c>
      <c r="E679" s="2">
        <v>435</v>
      </c>
      <c r="F679" s="2">
        <v>11.1</v>
      </c>
      <c r="G679" s="2">
        <v>243.9</v>
      </c>
      <c r="H679" s="2">
        <v>1986</v>
      </c>
      <c r="I679" s="2">
        <v>2024</v>
      </c>
      <c r="J679" s="2">
        <v>2860</v>
      </c>
      <c r="K679" s="2">
        <v>5298</v>
      </c>
      <c r="L679" s="2">
        <v>160</v>
      </c>
      <c r="M679" s="2">
        <v>40.72</v>
      </c>
      <c r="N679" s="2">
        <v>550</v>
      </c>
      <c r="O679" s="2">
        <v>150.25</v>
      </c>
      <c r="P679" s="2">
        <v>5795</v>
      </c>
    </row>
    <row r="680" spans="1:16" x14ac:dyDescent="0.35">
      <c r="A680" s="5">
        <v>45881</v>
      </c>
      <c r="B680" s="2">
        <v>768</v>
      </c>
      <c r="C680" s="2">
        <v>325</v>
      </c>
      <c r="D680" s="2">
        <v>260</v>
      </c>
      <c r="E680" s="2">
        <v>426.5</v>
      </c>
      <c r="F680" s="2">
        <v>11.1</v>
      </c>
      <c r="G680" s="2">
        <v>240.15</v>
      </c>
      <c r="H680" s="2">
        <v>1990</v>
      </c>
      <c r="I680" s="2">
        <v>2024</v>
      </c>
      <c r="J680" s="2">
        <v>2925</v>
      </c>
      <c r="K680" s="2">
        <v>5298</v>
      </c>
      <c r="L680" s="2">
        <v>156</v>
      </c>
      <c r="M680" s="2">
        <v>40.049999999999997</v>
      </c>
      <c r="N680" s="2">
        <v>548.5</v>
      </c>
      <c r="O680" s="2">
        <v>153.85</v>
      </c>
      <c r="P680" s="2">
        <v>5779</v>
      </c>
    </row>
    <row r="681" spans="1:16" x14ac:dyDescent="0.35">
      <c r="A681" s="5">
        <v>45882</v>
      </c>
      <c r="B681" s="2">
        <v>765</v>
      </c>
      <c r="C681" s="2">
        <v>323</v>
      </c>
      <c r="D681" s="2">
        <v>263.5</v>
      </c>
      <c r="E681" s="2">
        <v>432.9</v>
      </c>
      <c r="F681" s="2">
        <v>11.1</v>
      </c>
      <c r="G681" s="2">
        <v>244</v>
      </c>
      <c r="H681" s="2">
        <v>2039</v>
      </c>
      <c r="I681" s="2">
        <v>2025</v>
      </c>
      <c r="J681" s="2">
        <v>2832</v>
      </c>
      <c r="K681" s="2">
        <v>5299</v>
      </c>
      <c r="L681" s="2">
        <v>162</v>
      </c>
      <c r="M681" s="2">
        <v>40.700000000000003</v>
      </c>
      <c r="N681" s="2">
        <v>545.29999999999995</v>
      </c>
      <c r="O681" s="2">
        <v>153.85</v>
      </c>
      <c r="P681" s="2">
        <v>5600</v>
      </c>
    </row>
    <row r="682" spans="1:16" x14ac:dyDescent="0.35">
      <c r="A682" s="5">
        <v>45884</v>
      </c>
      <c r="B682" s="2">
        <v>760</v>
      </c>
      <c r="C682" s="2">
        <v>325.10000000000002</v>
      </c>
      <c r="D682" s="2">
        <v>266.39999999999998</v>
      </c>
      <c r="E682" s="2">
        <v>429.9</v>
      </c>
      <c r="F682" s="2">
        <v>11.1</v>
      </c>
      <c r="G682" s="2">
        <v>243.95</v>
      </c>
      <c r="H682" s="2">
        <v>2003</v>
      </c>
      <c r="I682" s="2">
        <v>2003</v>
      </c>
      <c r="J682" s="2">
        <v>2900</v>
      </c>
      <c r="K682" s="2">
        <v>5299</v>
      </c>
      <c r="L682" s="2">
        <v>162</v>
      </c>
      <c r="M682" s="2">
        <v>40.4</v>
      </c>
      <c r="N682" s="2">
        <v>540.1</v>
      </c>
      <c r="O682" s="2">
        <v>152</v>
      </c>
      <c r="P682" s="2">
        <v>5500</v>
      </c>
    </row>
    <row r="683" spans="1:16" x14ac:dyDescent="0.35">
      <c r="A683" s="5">
        <v>45888</v>
      </c>
      <c r="B683" s="2">
        <v>755</v>
      </c>
      <c r="C683" s="2">
        <v>320.25</v>
      </c>
      <c r="D683" s="2">
        <v>265</v>
      </c>
      <c r="E683" s="2">
        <v>422</v>
      </c>
      <c r="F683" s="2">
        <v>11.4</v>
      </c>
      <c r="G683" s="2">
        <v>235</v>
      </c>
      <c r="H683" s="2">
        <v>2012</v>
      </c>
      <c r="I683" s="2">
        <v>1985</v>
      </c>
      <c r="J683" s="2">
        <v>2899</v>
      </c>
      <c r="K683" s="2">
        <v>5290</v>
      </c>
      <c r="L683" s="2">
        <v>155</v>
      </c>
      <c r="M683" s="2">
        <v>38.61</v>
      </c>
      <c r="N683" s="2">
        <v>534.9</v>
      </c>
      <c r="O683" s="2">
        <v>149</v>
      </c>
      <c r="P683" s="2">
        <v>5341</v>
      </c>
    </row>
    <row r="684" spans="1:16" x14ac:dyDescent="0.35">
      <c r="A684" s="5">
        <v>45891</v>
      </c>
      <c r="B684" s="2">
        <v>789.9</v>
      </c>
      <c r="C684" s="2">
        <v>322.5</v>
      </c>
      <c r="D684" s="2">
        <v>264</v>
      </c>
      <c r="E684" s="2">
        <v>429.4</v>
      </c>
      <c r="F684" s="2">
        <v>11.4</v>
      </c>
      <c r="G684" s="2">
        <v>237</v>
      </c>
      <c r="H684" s="2">
        <v>2030</v>
      </c>
      <c r="I684" s="2">
        <v>2040</v>
      </c>
      <c r="J684" s="2">
        <v>2950</v>
      </c>
      <c r="K684" s="2">
        <v>5167</v>
      </c>
      <c r="L684" s="2">
        <v>154.94999999999999</v>
      </c>
      <c r="M684" s="2">
        <v>39.049999999999997</v>
      </c>
      <c r="N684" s="2">
        <v>545</v>
      </c>
      <c r="O684" s="2">
        <v>150</v>
      </c>
      <c r="P684" s="2">
        <v>5553</v>
      </c>
    </row>
    <row r="685" spans="1:16" x14ac:dyDescent="0.35">
      <c r="A685" s="5">
        <v>45895</v>
      </c>
      <c r="B685" s="2">
        <v>780</v>
      </c>
      <c r="C685" s="2">
        <v>323</v>
      </c>
      <c r="D685" s="2">
        <v>261</v>
      </c>
      <c r="E685" s="2">
        <v>428</v>
      </c>
      <c r="F685" s="2">
        <v>11.4</v>
      </c>
      <c r="G685" s="2">
        <v>232.05</v>
      </c>
      <c r="H685" s="2">
        <v>2125</v>
      </c>
      <c r="I685" s="2">
        <v>2060</v>
      </c>
      <c r="J685" s="2">
        <v>2850</v>
      </c>
      <c r="K685" s="2">
        <v>5199</v>
      </c>
      <c r="L685" s="2">
        <v>154.85</v>
      </c>
      <c r="M685" s="2">
        <v>39.9</v>
      </c>
      <c r="N685" s="2">
        <v>552</v>
      </c>
      <c r="O685" s="2">
        <v>156.69999999999999</v>
      </c>
      <c r="P685" s="2">
        <v>5600</v>
      </c>
    </row>
    <row r="686" spans="1:16" x14ac:dyDescent="0.35">
      <c r="A686" s="5">
        <v>45896</v>
      </c>
      <c r="B686" s="2">
        <v>786.5</v>
      </c>
      <c r="C686" s="2">
        <v>325.95</v>
      </c>
      <c r="D686" s="2">
        <v>260</v>
      </c>
      <c r="E686" s="2">
        <v>429.65</v>
      </c>
      <c r="F686" s="2">
        <v>11.4</v>
      </c>
      <c r="G686" s="2">
        <v>237.8</v>
      </c>
      <c r="H686" s="2">
        <v>2148</v>
      </c>
      <c r="I686" s="2">
        <v>2129</v>
      </c>
      <c r="J686" s="2">
        <v>2868</v>
      </c>
      <c r="K686" s="2">
        <v>5190</v>
      </c>
      <c r="L686" s="2">
        <v>154</v>
      </c>
      <c r="M686" s="2">
        <v>39.92</v>
      </c>
      <c r="N686" s="2">
        <v>553</v>
      </c>
      <c r="O686" s="2">
        <v>159.9</v>
      </c>
      <c r="P686" s="2">
        <v>5680</v>
      </c>
    </row>
    <row r="687" spans="1:16" x14ac:dyDescent="0.35">
      <c r="A687" s="5">
        <v>45898</v>
      </c>
      <c r="B687" s="2">
        <v>781</v>
      </c>
      <c r="C687" s="2">
        <v>323</v>
      </c>
      <c r="D687" s="2">
        <v>251.5</v>
      </c>
      <c r="E687" s="2">
        <v>430</v>
      </c>
      <c r="F687" s="2">
        <v>11.4</v>
      </c>
      <c r="G687" s="2">
        <v>237.95</v>
      </c>
      <c r="H687" s="2">
        <v>2144</v>
      </c>
      <c r="I687" s="2">
        <v>2100</v>
      </c>
      <c r="J687" s="2">
        <v>2885</v>
      </c>
      <c r="K687" s="2">
        <v>5250</v>
      </c>
      <c r="L687" s="2">
        <v>154</v>
      </c>
      <c r="M687" s="2">
        <v>38.5</v>
      </c>
      <c r="N687" s="2">
        <v>535</v>
      </c>
      <c r="O687" s="2">
        <v>152</v>
      </c>
      <c r="P687" s="2">
        <v>5789</v>
      </c>
    </row>
    <row r="688" spans="1:16" x14ac:dyDescent="0.35">
      <c r="A688" s="5">
        <v>45901</v>
      </c>
      <c r="B688" s="2">
        <v>780.1</v>
      </c>
      <c r="C688" s="2">
        <v>324.2</v>
      </c>
      <c r="D688" s="2">
        <v>254.2</v>
      </c>
      <c r="E688" s="2">
        <v>427</v>
      </c>
      <c r="F688" s="2">
        <v>11.3</v>
      </c>
      <c r="G688" s="2">
        <v>237.2</v>
      </c>
      <c r="H688" s="2">
        <v>2100</v>
      </c>
      <c r="I688" s="2">
        <v>2098</v>
      </c>
      <c r="J688" s="2">
        <v>2890</v>
      </c>
      <c r="K688" s="2">
        <v>5250</v>
      </c>
      <c r="L688" s="2">
        <v>157.65</v>
      </c>
      <c r="M688" s="2">
        <v>42.34</v>
      </c>
      <c r="N688" s="2">
        <v>558</v>
      </c>
      <c r="O688" s="2">
        <v>163</v>
      </c>
      <c r="P688" s="2">
        <v>5787</v>
      </c>
    </row>
    <row r="689" spans="1:16" x14ac:dyDescent="0.35">
      <c r="A689" s="5">
        <v>45903</v>
      </c>
      <c r="B689" s="2">
        <v>778</v>
      </c>
      <c r="C689" s="2">
        <v>320</v>
      </c>
      <c r="D689" s="2">
        <v>254</v>
      </c>
      <c r="E689" s="2">
        <v>423.6</v>
      </c>
      <c r="F689" s="2">
        <v>11.4</v>
      </c>
      <c r="G689" s="2">
        <v>236</v>
      </c>
      <c r="H689" s="2">
        <v>2065</v>
      </c>
      <c r="I689" s="2">
        <v>2070</v>
      </c>
      <c r="J689" s="2">
        <v>2850</v>
      </c>
      <c r="K689" s="2">
        <v>5250</v>
      </c>
      <c r="L689" s="2">
        <v>163.44999999999999</v>
      </c>
      <c r="M689" s="2">
        <v>42.99</v>
      </c>
      <c r="N689" s="2">
        <v>567</v>
      </c>
      <c r="O689" s="2">
        <v>162.4</v>
      </c>
      <c r="P689" s="2">
        <v>5800</v>
      </c>
    </row>
    <row r="690" spans="1:16" x14ac:dyDescent="0.35">
      <c r="A690" s="5">
        <v>45908</v>
      </c>
      <c r="B690" s="2">
        <v>780</v>
      </c>
      <c r="C690" s="2">
        <v>315</v>
      </c>
      <c r="D690" s="2">
        <v>257</v>
      </c>
      <c r="E690" s="2">
        <v>425</v>
      </c>
      <c r="F690" s="2">
        <v>11.2</v>
      </c>
      <c r="G690" s="2">
        <v>229.95</v>
      </c>
      <c r="H690" s="2">
        <v>2040</v>
      </c>
      <c r="I690" s="2">
        <v>2020</v>
      </c>
      <c r="J690" s="2">
        <v>2900</v>
      </c>
      <c r="K690" s="2">
        <v>5185</v>
      </c>
      <c r="L690" s="2">
        <v>159.6</v>
      </c>
      <c r="M690" s="2">
        <v>41.35</v>
      </c>
      <c r="N690" s="2">
        <v>540</v>
      </c>
      <c r="O690" s="2">
        <v>162.05000000000001</v>
      </c>
      <c r="P690" s="2">
        <v>5795</v>
      </c>
    </row>
    <row r="691" spans="1:16" x14ac:dyDescent="0.35">
      <c r="A691" s="5">
        <v>45909</v>
      </c>
      <c r="B691" s="2">
        <v>758</v>
      </c>
      <c r="C691" s="2">
        <v>308</v>
      </c>
      <c r="D691" s="2">
        <v>251.2</v>
      </c>
      <c r="E691" s="2">
        <v>402</v>
      </c>
      <c r="F691" s="2">
        <v>11.2</v>
      </c>
      <c r="G691" s="2">
        <v>215.5</v>
      </c>
      <c r="H691" s="2">
        <v>1999</v>
      </c>
      <c r="I691" s="2">
        <v>1950</v>
      </c>
      <c r="J691" s="2">
        <v>2802</v>
      </c>
      <c r="K691" s="2">
        <v>5200</v>
      </c>
      <c r="L691" s="2">
        <v>159.55000000000001</v>
      </c>
      <c r="M691" s="2">
        <v>40</v>
      </c>
      <c r="N691" s="2">
        <v>520</v>
      </c>
      <c r="O691" s="2">
        <v>157.9</v>
      </c>
      <c r="P691" s="2">
        <v>5750</v>
      </c>
    </row>
    <row r="692" spans="1:16" x14ac:dyDescent="0.35">
      <c r="A692" s="5">
        <v>45911</v>
      </c>
      <c r="B692" s="2">
        <v>777</v>
      </c>
      <c r="C692" s="2">
        <v>314.14999999999998</v>
      </c>
      <c r="D692" s="2">
        <v>255</v>
      </c>
      <c r="E692" s="2">
        <v>418</v>
      </c>
      <c r="F692" s="2">
        <v>11.5</v>
      </c>
      <c r="G692" s="2">
        <v>227</v>
      </c>
      <c r="H692" s="2">
        <v>2012</v>
      </c>
      <c r="I692" s="2">
        <v>2000</v>
      </c>
      <c r="J692" s="2">
        <v>2826</v>
      </c>
      <c r="K692" s="2">
        <v>5180</v>
      </c>
      <c r="L692" s="2">
        <v>158</v>
      </c>
      <c r="M692" s="2">
        <v>40.61</v>
      </c>
      <c r="N692" s="2">
        <v>539.9</v>
      </c>
      <c r="O692" s="2">
        <v>174</v>
      </c>
      <c r="P692" s="2">
        <v>5805</v>
      </c>
    </row>
    <row r="693" spans="1:16" x14ac:dyDescent="0.35">
      <c r="A693" s="5">
        <v>45912</v>
      </c>
      <c r="B693" s="2">
        <v>772</v>
      </c>
      <c r="C693" s="2">
        <v>312</v>
      </c>
      <c r="D693" s="2">
        <v>255</v>
      </c>
      <c r="E693" s="2">
        <v>415.6</v>
      </c>
      <c r="F693" s="2">
        <v>11.6</v>
      </c>
      <c r="G693" s="2">
        <v>222</v>
      </c>
      <c r="H693" s="2">
        <v>1985</v>
      </c>
      <c r="I693" s="2">
        <v>1980</v>
      </c>
      <c r="J693" s="2">
        <v>2805</v>
      </c>
      <c r="K693" s="2">
        <v>5150</v>
      </c>
      <c r="L693" s="2">
        <v>156</v>
      </c>
      <c r="M693" s="2">
        <v>40.799999999999997</v>
      </c>
      <c r="N693" s="2">
        <v>537</v>
      </c>
      <c r="O693" s="2">
        <v>182.75</v>
      </c>
      <c r="P693" s="2">
        <v>5810</v>
      </c>
    </row>
    <row r="694" spans="1:16" x14ac:dyDescent="0.35">
      <c r="A694" s="5">
        <v>45915</v>
      </c>
      <c r="B694" s="2">
        <v>769.9</v>
      </c>
      <c r="C694" s="2">
        <v>311</v>
      </c>
      <c r="D694" s="2">
        <v>253</v>
      </c>
      <c r="E694" s="2">
        <v>410</v>
      </c>
      <c r="F694" s="2">
        <v>11.5</v>
      </c>
      <c r="G694" s="2">
        <v>222</v>
      </c>
      <c r="H694" s="2">
        <v>1900</v>
      </c>
      <c r="I694" s="2">
        <v>1950</v>
      </c>
      <c r="J694" s="2">
        <v>2750</v>
      </c>
      <c r="K694" s="2">
        <v>5199</v>
      </c>
      <c r="L694" s="2">
        <v>156.9</v>
      </c>
      <c r="M694" s="2">
        <v>40.590000000000003</v>
      </c>
      <c r="N694" s="2">
        <v>530</v>
      </c>
      <c r="O694" s="2">
        <v>186.2</v>
      </c>
      <c r="P694" s="2">
        <v>5900</v>
      </c>
    </row>
    <row r="695" spans="1:16" x14ac:dyDescent="0.35">
      <c r="A695" s="5">
        <v>45916</v>
      </c>
      <c r="B695" s="2">
        <v>772</v>
      </c>
      <c r="C695" s="2">
        <v>308</v>
      </c>
      <c r="D695" s="2">
        <v>255</v>
      </c>
      <c r="E695" s="2">
        <v>410</v>
      </c>
      <c r="F695" s="2">
        <v>11.3</v>
      </c>
      <c r="G695" s="2">
        <v>216.2</v>
      </c>
      <c r="H695" s="2">
        <v>1938</v>
      </c>
      <c r="I695" s="2">
        <v>1970</v>
      </c>
      <c r="J695" s="2">
        <v>2799</v>
      </c>
      <c r="K695" s="2">
        <v>5189</v>
      </c>
      <c r="L695" s="2">
        <v>152.19999999999999</v>
      </c>
      <c r="M695" s="2">
        <v>40.5</v>
      </c>
      <c r="N695" s="2">
        <v>530</v>
      </c>
      <c r="O695" s="2">
        <v>193.9</v>
      </c>
      <c r="P695" s="2">
        <v>5900</v>
      </c>
    </row>
    <row r="696" spans="1:16" x14ac:dyDescent="0.35">
      <c r="A696" s="5">
        <v>45917</v>
      </c>
      <c r="B696" s="2">
        <v>775.2</v>
      </c>
      <c r="C696" s="2">
        <v>307</v>
      </c>
      <c r="D696" s="2">
        <v>251.05</v>
      </c>
      <c r="E696" s="2">
        <v>413</v>
      </c>
      <c r="F696" s="2">
        <v>11.3</v>
      </c>
      <c r="G696" s="2">
        <v>216</v>
      </c>
      <c r="H696" s="2">
        <v>1925</v>
      </c>
      <c r="I696" s="2">
        <v>1920</v>
      </c>
      <c r="J696" s="2">
        <v>2720</v>
      </c>
      <c r="K696" s="2">
        <v>5189</v>
      </c>
      <c r="L696" s="2">
        <v>155.80000000000001</v>
      </c>
      <c r="M696" s="2">
        <v>40.11</v>
      </c>
      <c r="N696" s="2">
        <v>525</v>
      </c>
      <c r="O696" s="2">
        <v>185</v>
      </c>
      <c r="P696" s="2">
        <v>6000</v>
      </c>
    </row>
    <row r="697" spans="1:16" x14ac:dyDescent="0.35">
      <c r="A697" s="5">
        <v>45918</v>
      </c>
      <c r="B697" s="2">
        <v>777</v>
      </c>
      <c r="C697" s="2">
        <v>315</v>
      </c>
      <c r="D697" s="2">
        <v>257</v>
      </c>
      <c r="E697" s="2">
        <v>421</v>
      </c>
      <c r="F697" s="2">
        <v>11.3</v>
      </c>
      <c r="G697" s="2">
        <v>220.1</v>
      </c>
      <c r="H697" s="2">
        <v>1938</v>
      </c>
      <c r="I697" s="2">
        <v>1969</v>
      </c>
      <c r="J697" s="2">
        <v>2700</v>
      </c>
      <c r="K697" s="2">
        <v>5233</v>
      </c>
      <c r="L697" s="2">
        <v>155.5</v>
      </c>
      <c r="M697" s="2">
        <v>40.090000000000003</v>
      </c>
      <c r="N697" s="2">
        <v>525</v>
      </c>
      <c r="O697" s="2">
        <v>184</v>
      </c>
      <c r="P697" s="2">
        <v>6000</v>
      </c>
    </row>
    <row r="698" spans="1:16" x14ac:dyDescent="0.35">
      <c r="A698" s="5">
        <v>45919</v>
      </c>
      <c r="B698" s="2">
        <v>778</v>
      </c>
      <c r="C698" s="2">
        <v>315</v>
      </c>
      <c r="D698" s="2">
        <v>257</v>
      </c>
      <c r="E698" s="2">
        <v>427.8</v>
      </c>
      <c r="F698" s="2">
        <v>11.3</v>
      </c>
      <c r="G698" s="2">
        <v>230</v>
      </c>
      <c r="H698" s="2">
        <v>1921</v>
      </c>
      <c r="I698" s="2">
        <v>2150</v>
      </c>
      <c r="J698" s="2">
        <v>2698</v>
      </c>
      <c r="K698" s="2">
        <v>5250</v>
      </c>
      <c r="L698" s="2">
        <v>159.44999999999999</v>
      </c>
      <c r="M698" s="2">
        <v>39.200000000000003</v>
      </c>
      <c r="N698" s="2">
        <v>523</v>
      </c>
      <c r="O698" s="2">
        <v>175</v>
      </c>
      <c r="P698" s="2">
        <v>6200</v>
      </c>
    </row>
    <row r="699" spans="1:16" x14ac:dyDescent="0.35">
      <c r="A699" s="5">
        <v>45923</v>
      </c>
      <c r="B699" s="2">
        <v>775.1</v>
      </c>
      <c r="C699" s="2">
        <v>315</v>
      </c>
      <c r="D699" s="2">
        <v>254.9</v>
      </c>
      <c r="E699" s="2">
        <v>437.9</v>
      </c>
      <c r="F699" s="2">
        <v>11.3</v>
      </c>
      <c r="G699" s="2">
        <v>223.6</v>
      </c>
      <c r="H699" s="2">
        <v>1928</v>
      </c>
      <c r="I699" s="2">
        <v>1950</v>
      </c>
      <c r="J699" s="2">
        <v>2675</v>
      </c>
      <c r="K699" s="2">
        <v>5200</v>
      </c>
      <c r="L699" s="2">
        <v>154</v>
      </c>
      <c r="M699" s="2">
        <v>39.299999999999997</v>
      </c>
      <c r="N699" s="2">
        <v>520.1</v>
      </c>
      <c r="O699" s="2">
        <v>180</v>
      </c>
      <c r="P699" s="2">
        <v>6121</v>
      </c>
    </row>
    <row r="700" spans="1:16" x14ac:dyDescent="0.35">
      <c r="A700" s="5">
        <v>45924</v>
      </c>
      <c r="B700" s="2">
        <v>770.1</v>
      </c>
      <c r="C700" s="2">
        <v>309</v>
      </c>
      <c r="D700" s="2">
        <v>254</v>
      </c>
      <c r="E700" s="2">
        <v>437</v>
      </c>
      <c r="F700" s="2">
        <v>11.3</v>
      </c>
      <c r="G700" s="2">
        <v>220</v>
      </c>
      <c r="H700" s="2">
        <v>1910</v>
      </c>
      <c r="I700" s="2">
        <v>2046</v>
      </c>
      <c r="J700" s="2">
        <v>2650</v>
      </c>
      <c r="K700" s="2">
        <v>5200</v>
      </c>
      <c r="L700" s="2">
        <v>153</v>
      </c>
      <c r="M700" s="2">
        <v>40.299999999999997</v>
      </c>
      <c r="N700" s="2">
        <v>523</v>
      </c>
      <c r="O700" s="2">
        <v>179</v>
      </c>
      <c r="P700" s="2">
        <v>6100</v>
      </c>
    </row>
    <row r="701" spans="1:16" x14ac:dyDescent="0.35">
      <c r="A701" s="5">
        <v>45925</v>
      </c>
      <c r="B701" s="2">
        <v>765</v>
      </c>
      <c r="C701" s="2">
        <v>303</v>
      </c>
      <c r="D701" s="2">
        <v>250</v>
      </c>
      <c r="E701" s="2">
        <v>429</v>
      </c>
      <c r="F701" s="2">
        <v>11.3</v>
      </c>
      <c r="G701" s="2">
        <v>217</v>
      </c>
      <c r="H701" s="2">
        <v>1900</v>
      </c>
      <c r="I701" s="2">
        <v>2050</v>
      </c>
      <c r="J701" s="2">
        <v>2580</v>
      </c>
      <c r="K701" s="2">
        <v>5050</v>
      </c>
      <c r="L701" s="2">
        <v>150</v>
      </c>
      <c r="M701" s="2">
        <v>39.5</v>
      </c>
      <c r="N701" s="2">
        <v>518</v>
      </c>
      <c r="O701" s="2">
        <v>178</v>
      </c>
      <c r="P701" s="2">
        <v>6100</v>
      </c>
    </row>
    <row r="702" spans="1:16" x14ac:dyDescent="0.35">
      <c r="A702" s="5">
        <v>45926</v>
      </c>
      <c r="B702" s="2">
        <v>762.3</v>
      </c>
      <c r="C702" s="2">
        <v>296.39999999999998</v>
      </c>
      <c r="D702" s="2">
        <v>254</v>
      </c>
      <c r="E702" s="2">
        <v>430</v>
      </c>
      <c r="F702" s="2">
        <v>11.3</v>
      </c>
      <c r="G702" s="2">
        <v>215</v>
      </c>
      <c r="H702" s="2">
        <v>1885</v>
      </c>
      <c r="I702" s="2">
        <v>2049</v>
      </c>
      <c r="J702" s="2">
        <v>2500</v>
      </c>
      <c r="K702" s="2">
        <v>5050</v>
      </c>
      <c r="L702" s="2">
        <v>148.5</v>
      </c>
      <c r="M702" s="2">
        <v>40</v>
      </c>
      <c r="N702" s="2">
        <v>519</v>
      </c>
      <c r="O702" s="2">
        <v>172.4</v>
      </c>
      <c r="P702" s="2">
        <v>6100</v>
      </c>
    </row>
    <row r="703" spans="1:16" x14ac:dyDescent="0.35">
      <c r="A703" s="5">
        <v>45929</v>
      </c>
      <c r="B703" s="2">
        <v>751</v>
      </c>
      <c r="C703" s="2">
        <v>290</v>
      </c>
      <c r="D703" s="2">
        <v>247</v>
      </c>
      <c r="E703" s="2">
        <v>427</v>
      </c>
      <c r="F703" s="2">
        <v>11.3</v>
      </c>
      <c r="G703" s="2">
        <v>207</v>
      </c>
      <c r="H703" s="2">
        <v>1846</v>
      </c>
      <c r="I703" s="2">
        <v>1980</v>
      </c>
      <c r="J703" s="2">
        <v>2420</v>
      </c>
      <c r="K703" s="2">
        <v>5042</v>
      </c>
      <c r="L703" s="2">
        <v>135</v>
      </c>
      <c r="M703" s="2">
        <v>38.11</v>
      </c>
      <c r="N703" s="2">
        <v>510</v>
      </c>
      <c r="O703" s="2">
        <v>174.2</v>
      </c>
      <c r="P703" s="2">
        <v>6100</v>
      </c>
    </row>
    <row r="704" spans="1:16" x14ac:dyDescent="0.35">
      <c r="A704" s="5">
        <v>45930</v>
      </c>
      <c r="B704" s="2">
        <v>745</v>
      </c>
      <c r="C704" s="2">
        <v>295</v>
      </c>
      <c r="D704" s="2">
        <v>255</v>
      </c>
      <c r="E704" s="2">
        <v>426.5</v>
      </c>
      <c r="F704" s="2">
        <v>11.3</v>
      </c>
      <c r="G704" s="2">
        <v>214</v>
      </c>
      <c r="H704" s="2">
        <v>1900</v>
      </c>
      <c r="I704" s="2">
        <v>2050</v>
      </c>
      <c r="J704" s="2">
        <v>2350</v>
      </c>
      <c r="K704" s="2">
        <v>5000</v>
      </c>
      <c r="L704" s="2">
        <v>145</v>
      </c>
      <c r="M704" s="2">
        <v>38.700000000000003</v>
      </c>
      <c r="N704" s="2">
        <v>525</v>
      </c>
      <c r="O704" s="2">
        <v>177</v>
      </c>
      <c r="P704" s="2">
        <v>5903</v>
      </c>
    </row>
    <row r="705" spans="1:16" x14ac:dyDescent="0.35">
      <c r="A705" s="5">
        <v>45931</v>
      </c>
      <c r="B705" s="2">
        <v>725</v>
      </c>
      <c r="C705" s="2">
        <v>280</v>
      </c>
      <c r="D705" s="2">
        <v>236</v>
      </c>
      <c r="E705" s="2">
        <v>414.95</v>
      </c>
      <c r="F705" s="2">
        <v>11.5</v>
      </c>
      <c r="G705" s="2">
        <v>201</v>
      </c>
      <c r="H705" s="2">
        <v>1845</v>
      </c>
      <c r="I705" s="2">
        <v>1900</v>
      </c>
      <c r="J705" s="2">
        <v>2250</v>
      </c>
      <c r="K705" s="2">
        <v>4851</v>
      </c>
      <c r="L705" s="2">
        <v>144</v>
      </c>
      <c r="M705" s="2">
        <v>37</v>
      </c>
      <c r="N705" s="2">
        <v>495</v>
      </c>
      <c r="O705" s="2">
        <v>165</v>
      </c>
      <c r="P705" s="2">
        <v>6125</v>
      </c>
    </row>
    <row r="706" spans="1:16" x14ac:dyDescent="0.35">
      <c r="A706" s="5">
        <v>45932</v>
      </c>
      <c r="B706" s="2">
        <v>724.9</v>
      </c>
      <c r="C706" s="2">
        <v>280.05</v>
      </c>
      <c r="D706" s="2">
        <v>247</v>
      </c>
      <c r="E706" s="2">
        <v>414.9</v>
      </c>
      <c r="F706" s="2">
        <v>11.3</v>
      </c>
      <c r="G706" s="2">
        <v>203</v>
      </c>
      <c r="H706" s="2">
        <v>1878</v>
      </c>
      <c r="I706" s="2">
        <v>1979</v>
      </c>
      <c r="J706" s="2">
        <v>2250</v>
      </c>
      <c r="K706" s="2">
        <v>4950</v>
      </c>
      <c r="L706" s="2">
        <v>145</v>
      </c>
      <c r="M706" s="2">
        <v>37</v>
      </c>
      <c r="N706" s="2">
        <v>490</v>
      </c>
      <c r="O706" s="2">
        <v>160</v>
      </c>
      <c r="P706" s="2">
        <v>5900</v>
      </c>
    </row>
    <row r="707" spans="1:16" x14ac:dyDescent="0.35">
      <c r="A707" s="5">
        <v>45933</v>
      </c>
      <c r="B707" s="2">
        <v>740</v>
      </c>
      <c r="C707" s="2">
        <v>292.89999999999998</v>
      </c>
      <c r="D707" s="2">
        <v>241</v>
      </c>
      <c r="E707" s="2">
        <v>419</v>
      </c>
      <c r="F707" s="2">
        <v>11.3</v>
      </c>
      <c r="G707" s="2">
        <v>207.5</v>
      </c>
      <c r="H707" s="2">
        <v>1898</v>
      </c>
      <c r="I707" s="2">
        <v>1980</v>
      </c>
      <c r="J707" s="2">
        <v>2400</v>
      </c>
      <c r="K707" s="2">
        <v>5100</v>
      </c>
      <c r="L707" s="2">
        <v>147</v>
      </c>
      <c r="M707" s="2">
        <v>38.380000000000003</v>
      </c>
      <c r="N707" s="2">
        <v>510</v>
      </c>
      <c r="O707" s="2">
        <v>173.8</v>
      </c>
      <c r="P707" s="2">
        <v>5910</v>
      </c>
    </row>
    <row r="708" spans="1:16" x14ac:dyDescent="0.35">
      <c r="A708" s="5">
        <v>45938</v>
      </c>
      <c r="B708" s="2">
        <v>746</v>
      </c>
      <c r="C708" s="2">
        <v>292.05</v>
      </c>
      <c r="D708" s="2">
        <v>241</v>
      </c>
      <c r="E708" s="2">
        <v>420</v>
      </c>
      <c r="F708" s="2">
        <v>11.1</v>
      </c>
      <c r="G708" s="2">
        <v>210</v>
      </c>
      <c r="H708" s="2">
        <v>1870</v>
      </c>
      <c r="I708" s="2">
        <v>1942</v>
      </c>
      <c r="J708" s="2">
        <v>2450</v>
      </c>
      <c r="K708" s="2">
        <v>5000</v>
      </c>
      <c r="L708" s="2">
        <v>155</v>
      </c>
      <c r="M708" s="2">
        <v>37.049999999999997</v>
      </c>
      <c r="N708" s="2">
        <v>527</v>
      </c>
      <c r="O708" s="2">
        <v>184</v>
      </c>
      <c r="P708" s="2">
        <v>6000</v>
      </c>
    </row>
    <row r="709" spans="1:16" x14ac:dyDescent="0.35">
      <c r="A709" s="5">
        <v>45939</v>
      </c>
      <c r="B709" s="2">
        <v>730</v>
      </c>
      <c r="C709" s="2">
        <v>285</v>
      </c>
      <c r="D709" s="2">
        <v>231</v>
      </c>
      <c r="E709" s="2">
        <v>410</v>
      </c>
      <c r="F709" s="2">
        <v>11.1</v>
      </c>
      <c r="G709" s="2">
        <v>201</v>
      </c>
      <c r="H709" s="2">
        <v>1811</v>
      </c>
      <c r="I709" s="2">
        <v>1949</v>
      </c>
      <c r="J709" s="2">
        <v>2448</v>
      </c>
      <c r="K709" s="2">
        <v>5000</v>
      </c>
      <c r="L709" s="2">
        <v>154.80000000000001</v>
      </c>
      <c r="M709" s="2">
        <v>36.79</v>
      </c>
      <c r="N709" s="2">
        <v>525</v>
      </c>
      <c r="O709" s="2">
        <v>179.7</v>
      </c>
      <c r="P709" s="2">
        <v>6000</v>
      </c>
    </row>
    <row r="710" spans="1:16" x14ac:dyDescent="0.35">
      <c r="A710" s="5">
        <v>45940</v>
      </c>
      <c r="B710" s="2">
        <v>730</v>
      </c>
      <c r="C710" s="2">
        <v>285</v>
      </c>
      <c r="D710" s="2">
        <v>235.1</v>
      </c>
      <c r="E710" s="2">
        <v>402</v>
      </c>
      <c r="F710" s="2">
        <v>11.1</v>
      </c>
      <c r="G710" s="2">
        <v>204</v>
      </c>
      <c r="H710" s="2">
        <v>1800</v>
      </c>
      <c r="I710" s="2">
        <v>1940</v>
      </c>
      <c r="J710" s="2">
        <v>2400</v>
      </c>
      <c r="K710" s="2">
        <v>5099</v>
      </c>
      <c r="L710" s="2">
        <v>150.19999999999999</v>
      </c>
      <c r="M710" s="2">
        <v>36.15</v>
      </c>
      <c r="N710" s="2">
        <v>515</v>
      </c>
      <c r="O710" s="2">
        <v>178</v>
      </c>
      <c r="P710" s="2">
        <v>5999</v>
      </c>
    </row>
    <row r="711" spans="1:16" x14ac:dyDescent="0.35">
      <c r="A711" s="5">
        <v>45943</v>
      </c>
      <c r="B711" s="2">
        <v>739.8</v>
      </c>
      <c r="C711" s="2">
        <v>287</v>
      </c>
      <c r="D711" s="2">
        <v>228.83</v>
      </c>
      <c r="E711" s="2">
        <v>413</v>
      </c>
      <c r="F711" s="2">
        <v>11.1</v>
      </c>
      <c r="G711" s="2">
        <v>204.05</v>
      </c>
      <c r="H711" s="2">
        <v>1860</v>
      </c>
      <c r="I711" s="2">
        <v>1950</v>
      </c>
      <c r="J711" s="2">
        <v>2400</v>
      </c>
      <c r="K711" s="2">
        <v>5100</v>
      </c>
      <c r="L711" s="2">
        <v>155</v>
      </c>
      <c r="M711" s="2">
        <v>36</v>
      </c>
      <c r="N711" s="2">
        <v>520</v>
      </c>
      <c r="O711" s="2">
        <v>173</v>
      </c>
      <c r="P711" s="2">
        <v>6000</v>
      </c>
    </row>
    <row r="712" spans="1:16" x14ac:dyDescent="0.35">
      <c r="A712" s="5">
        <v>45944</v>
      </c>
      <c r="B712" s="2">
        <v>730</v>
      </c>
      <c r="C712" s="2">
        <v>277</v>
      </c>
      <c r="D712" s="2">
        <v>216.49</v>
      </c>
      <c r="E712" s="2">
        <v>410</v>
      </c>
      <c r="F712" s="2">
        <v>11.1</v>
      </c>
      <c r="G712" s="2">
        <v>198</v>
      </c>
      <c r="H712" s="2">
        <v>1806</v>
      </c>
      <c r="I712" s="2">
        <v>1900</v>
      </c>
      <c r="J712" s="2">
        <v>2300</v>
      </c>
      <c r="K712" s="2">
        <v>5099</v>
      </c>
      <c r="L712" s="2">
        <v>153.80000000000001</v>
      </c>
      <c r="M712" s="2">
        <v>35.03</v>
      </c>
      <c r="N712" s="2">
        <v>509.9</v>
      </c>
      <c r="O712" s="2">
        <v>166.9</v>
      </c>
      <c r="P712" s="2">
        <v>6000</v>
      </c>
    </row>
    <row r="713" spans="1:16" x14ac:dyDescent="0.35">
      <c r="A713" s="5">
        <v>45945</v>
      </c>
      <c r="B713" s="2">
        <v>715</v>
      </c>
      <c r="C713" s="2">
        <v>279.45</v>
      </c>
      <c r="D713" s="2">
        <v>218.5</v>
      </c>
      <c r="E713" s="2">
        <v>403.5</v>
      </c>
      <c r="F713" s="2">
        <v>11.1</v>
      </c>
      <c r="G713" s="2">
        <v>198.9</v>
      </c>
      <c r="H713" s="2">
        <v>1837</v>
      </c>
      <c r="I713" s="2">
        <v>1900</v>
      </c>
      <c r="J713" s="2">
        <v>2340</v>
      </c>
      <c r="K713" s="2">
        <v>5090</v>
      </c>
      <c r="L713" s="2">
        <v>148</v>
      </c>
      <c r="M713" s="2">
        <v>34.909999999999997</v>
      </c>
      <c r="N713" s="2">
        <v>502.1</v>
      </c>
      <c r="O713" s="2">
        <v>165</v>
      </c>
      <c r="P713" s="2">
        <v>6000</v>
      </c>
    </row>
    <row r="714" spans="1:16" x14ac:dyDescent="0.35">
      <c r="A714" s="5">
        <v>45946</v>
      </c>
      <c r="B714" s="2">
        <v>730</v>
      </c>
      <c r="C714" s="2">
        <v>279</v>
      </c>
      <c r="D714" s="2">
        <v>223.35</v>
      </c>
      <c r="E714" s="2">
        <v>403</v>
      </c>
      <c r="F714" s="2">
        <v>11.1</v>
      </c>
      <c r="G714" s="2">
        <v>204.25</v>
      </c>
      <c r="H714" s="2">
        <v>1860</v>
      </c>
      <c r="I714" s="2">
        <v>1989</v>
      </c>
      <c r="J714" s="2">
        <v>2340</v>
      </c>
      <c r="K714" s="2">
        <v>5000</v>
      </c>
      <c r="L714" s="2">
        <v>152.9</v>
      </c>
      <c r="M714" s="2">
        <v>36</v>
      </c>
      <c r="N714" s="2">
        <v>504.9</v>
      </c>
      <c r="O714" s="2">
        <v>169.1</v>
      </c>
      <c r="P714" s="2">
        <v>5902</v>
      </c>
    </row>
    <row r="715" spans="1:16" x14ac:dyDescent="0.35">
      <c r="A715" s="5">
        <v>45947</v>
      </c>
      <c r="B715" s="2">
        <v>728</v>
      </c>
      <c r="C715" s="2">
        <v>280</v>
      </c>
      <c r="D715" s="2">
        <v>225.31</v>
      </c>
      <c r="E715" s="2">
        <v>417</v>
      </c>
      <c r="F715" s="2">
        <v>11.1</v>
      </c>
      <c r="G715" s="2">
        <v>204</v>
      </c>
      <c r="H715" s="2">
        <v>1844</v>
      </c>
      <c r="I715" s="2">
        <v>1920</v>
      </c>
      <c r="J715" s="2">
        <v>2309</v>
      </c>
      <c r="K715" s="2">
        <v>5090</v>
      </c>
      <c r="L715" s="2">
        <v>142.6</v>
      </c>
      <c r="M715" s="2">
        <v>36.79</v>
      </c>
      <c r="N715" s="2">
        <v>519</v>
      </c>
      <c r="O715" s="2">
        <v>168.1</v>
      </c>
      <c r="P715" s="2">
        <v>5990</v>
      </c>
    </row>
    <row r="716" spans="1:16" x14ac:dyDescent="0.35">
      <c r="A716" s="5">
        <v>45950</v>
      </c>
      <c r="B716" s="2">
        <v>744</v>
      </c>
      <c r="C716" s="2">
        <v>289.85000000000002</v>
      </c>
      <c r="D716" s="2">
        <v>240</v>
      </c>
      <c r="E716" s="2">
        <v>420</v>
      </c>
      <c r="F716" s="2">
        <v>11.1</v>
      </c>
      <c r="G716" s="2">
        <v>207</v>
      </c>
      <c r="H716" s="2">
        <v>1883</v>
      </c>
      <c r="I716" s="2">
        <v>2020</v>
      </c>
      <c r="J716" s="2">
        <v>2400</v>
      </c>
      <c r="K716" s="2">
        <v>5150</v>
      </c>
      <c r="L716" s="2">
        <v>150</v>
      </c>
      <c r="M716" s="2">
        <v>37.61</v>
      </c>
      <c r="N716" s="2">
        <v>531</v>
      </c>
      <c r="O716" s="2">
        <v>173.9</v>
      </c>
      <c r="P716" s="2">
        <v>6200</v>
      </c>
    </row>
    <row r="717" spans="1:16" x14ac:dyDescent="0.35">
      <c r="A717" s="5">
        <v>45951</v>
      </c>
      <c r="B717" s="2">
        <v>768.3</v>
      </c>
      <c r="C717" s="2">
        <v>299.95</v>
      </c>
      <c r="D717" s="2">
        <v>243</v>
      </c>
      <c r="E717" s="2">
        <v>424</v>
      </c>
      <c r="F717" s="2">
        <v>11.1</v>
      </c>
      <c r="G717" s="2">
        <v>213</v>
      </c>
      <c r="H717" s="2">
        <v>1914</v>
      </c>
      <c r="I717" s="2">
        <v>2029</v>
      </c>
      <c r="J717" s="2">
        <v>2470</v>
      </c>
      <c r="K717" s="2">
        <v>5150</v>
      </c>
      <c r="L717" s="2">
        <v>156.6</v>
      </c>
      <c r="M717" s="2">
        <v>39.450000000000003</v>
      </c>
      <c r="N717" s="2">
        <v>543</v>
      </c>
      <c r="O717" s="2">
        <v>180</v>
      </c>
      <c r="P717" s="2">
        <v>6185</v>
      </c>
    </row>
    <row r="718" spans="1:16" x14ac:dyDescent="0.35">
      <c r="A718" s="5">
        <v>45952</v>
      </c>
      <c r="B718" s="2">
        <v>780</v>
      </c>
      <c r="C718" s="2">
        <v>292</v>
      </c>
      <c r="D718" s="2">
        <v>245</v>
      </c>
      <c r="E718" s="2">
        <v>420</v>
      </c>
      <c r="F718" s="2">
        <v>11.1</v>
      </c>
      <c r="G718" s="2">
        <v>212</v>
      </c>
      <c r="H718" s="2">
        <v>1900</v>
      </c>
      <c r="I718" s="2">
        <v>2035</v>
      </c>
      <c r="J718" s="2">
        <v>2499</v>
      </c>
      <c r="K718" s="2">
        <v>5120</v>
      </c>
      <c r="L718" s="2">
        <v>158.6</v>
      </c>
      <c r="M718" s="2">
        <v>40.5</v>
      </c>
      <c r="N718" s="2">
        <v>554</v>
      </c>
      <c r="O718" s="2">
        <v>184.9</v>
      </c>
      <c r="P718" s="2">
        <v>6080</v>
      </c>
    </row>
    <row r="719" spans="1:16" x14ac:dyDescent="0.35">
      <c r="A719" s="5">
        <v>45953</v>
      </c>
      <c r="B719" s="2">
        <v>780</v>
      </c>
      <c r="C719" s="2">
        <v>295.55</v>
      </c>
      <c r="D719" s="2">
        <v>245.9</v>
      </c>
      <c r="E719" s="2">
        <v>424.5</v>
      </c>
      <c r="F719" s="2">
        <v>11.1</v>
      </c>
      <c r="G719" s="2">
        <v>213</v>
      </c>
      <c r="H719" s="2">
        <v>1898</v>
      </c>
      <c r="I719" s="2">
        <v>2003</v>
      </c>
      <c r="J719" s="2">
        <v>2478</v>
      </c>
      <c r="K719" s="2">
        <v>5000</v>
      </c>
      <c r="L719" s="2">
        <v>157.9</v>
      </c>
      <c r="M719" s="2">
        <v>40.25</v>
      </c>
      <c r="N719" s="2">
        <v>550</v>
      </c>
      <c r="O719" s="2">
        <v>184.3</v>
      </c>
      <c r="P719" s="2">
        <v>6099</v>
      </c>
    </row>
    <row r="720" spans="1:16" x14ac:dyDescent="0.35">
      <c r="A720" s="5">
        <v>45954</v>
      </c>
      <c r="B720" s="2">
        <v>779.9</v>
      </c>
      <c r="C720" s="2">
        <v>298</v>
      </c>
      <c r="D720" s="2">
        <v>245</v>
      </c>
      <c r="E720" s="2">
        <v>426</v>
      </c>
      <c r="F720" s="2">
        <v>11.1</v>
      </c>
      <c r="G720" s="2">
        <v>218.1</v>
      </c>
      <c r="H720" s="2">
        <v>1900</v>
      </c>
      <c r="I720" s="2">
        <v>2020</v>
      </c>
      <c r="J720" s="2">
        <v>2495</v>
      </c>
      <c r="K720" s="2">
        <v>5000</v>
      </c>
      <c r="L720" s="2">
        <v>155.9</v>
      </c>
      <c r="M720" s="2">
        <v>40.9</v>
      </c>
      <c r="N720" s="2">
        <v>560</v>
      </c>
      <c r="O720" s="2">
        <v>186</v>
      </c>
      <c r="P720" s="2">
        <v>6000</v>
      </c>
    </row>
    <row r="721" spans="1:16" x14ac:dyDescent="0.35">
      <c r="A721" s="5">
        <v>45957</v>
      </c>
      <c r="B721" s="2">
        <v>773</v>
      </c>
      <c r="C721" s="2">
        <v>300</v>
      </c>
      <c r="D721" s="2">
        <v>244</v>
      </c>
      <c r="E721" s="2">
        <v>422</v>
      </c>
      <c r="F721" s="2">
        <v>11</v>
      </c>
      <c r="G721" s="2">
        <v>219</v>
      </c>
      <c r="H721" s="2">
        <v>1908</v>
      </c>
      <c r="I721" s="2">
        <v>2000</v>
      </c>
      <c r="J721" s="2">
        <v>2420</v>
      </c>
      <c r="K721" s="2">
        <v>5000</v>
      </c>
      <c r="L721" s="2">
        <v>154</v>
      </c>
      <c r="M721" s="2">
        <v>40</v>
      </c>
      <c r="N721" s="2">
        <v>570</v>
      </c>
      <c r="O721" s="2">
        <v>192</v>
      </c>
      <c r="P721" s="2">
        <v>6000</v>
      </c>
    </row>
    <row r="722" spans="1:16" x14ac:dyDescent="0.35">
      <c r="A722" s="5">
        <v>45958</v>
      </c>
      <c r="B722" s="2">
        <v>777</v>
      </c>
      <c r="C722" s="2">
        <v>299</v>
      </c>
      <c r="D722" s="2">
        <v>250</v>
      </c>
      <c r="E722" s="2">
        <v>425</v>
      </c>
      <c r="F722" s="2">
        <v>11</v>
      </c>
      <c r="G722" s="2">
        <v>218</v>
      </c>
      <c r="H722" s="2">
        <v>1898</v>
      </c>
      <c r="I722" s="2">
        <v>2007</v>
      </c>
      <c r="J722" s="2">
        <v>2450</v>
      </c>
      <c r="K722" s="2">
        <v>5000</v>
      </c>
      <c r="L722" s="2">
        <v>153</v>
      </c>
      <c r="M722" s="2">
        <v>40.89</v>
      </c>
      <c r="N722" s="2">
        <v>608.70000000000005</v>
      </c>
      <c r="O722" s="2">
        <v>195.4</v>
      </c>
      <c r="P722" s="2">
        <v>6050</v>
      </c>
    </row>
    <row r="723" spans="1:16" x14ac:dyDescent="0.35">
      <c r="A723" s="5">
        <v>45959</v>
      </c>
      <c r="B723" s="2">
        <v>777</v>
      </c>
      <c r="C723" s="2">
        <v>302.5</v>
      </c>
      <c r="D723" s="2">
        <v>245</v>
      </c>
      <c r="E723" s="2">
        <v>424</v>
      </c>
      <c r="F723" s="2">
        <v>11</v>
      </c>
      <c r="G723" s="2">
        <v>216.4</v>
      </c>
      <c r="H723" s="2">
        <v>1897</v>
      </c>
      <c r="I723" s="2">
        <v>2004</v>
      </c>
      <c r="J723" s="2">
        <v>2449</v>
      </c>
      <c r="K723" s="2">
        <v>5100</v>
      </c>
      <c r="L723" s="2">
        <v>153</v>
      </c>
      <c r="M723" s="2">
        <v>41.4</v>
      </c>
      <c r="N723" s="2">
        <v>618.20000000000005</v>
      </c>
      <c r="O723" s="2">
        <v>190</v>
      </c>
      <c r="P723" s="2">
        <v>6000</v>
      </c>
    </row>
    <row r="724" spans="1:16" x14ac:dyDescent="0.35">
      <c r="A724" s="5">
        <v>45960</v>
      </c>
      <c r="B724" s="2">
        <v>777</v>
      </c>
      <c r="C724" s="2">
        <v>310</v>
      </c>
      <c r="D724" s="2">
        <v>241</v>
      </c>
      <c r="E724" s="2">
        <v>420</v>
      </c>
      <c r="F724" s="2">
        <v>11</v>
      </c>
      <c r="G724" s="2">
        <v>217</v>
      </c>
      <c r="H724" s="2">
        <v>1902</v>
      </c>
      <c r="I724" s="2">
        <v>2010</v>
      </c>
      <c r="J724" s="2">
        <v>2450</v>
      </c>
      <c r="K724" s="2">
        <v>5100</v>
      </c>
      <c r="L724" s="2">
        <v>152.9</v>
      </c>
      <c r="M724" s="2">
        <v>41.44</v>
      </c>
      <c r="N724" s="2">
        <v>615</v>
      </c>
      <c r="O724" s="2">
        <v>190</v>
      </c>
      <c r="P724" s="2">
        <v>6000</v>
      </c>
    </row>
    <row r="725" spans="1:16" x14ac:dyDescent="0.35">
      <c r="A725" s="5">
        <v>45961</v>
      </c>
      <c r="B725" s="2">
        <v>777</v>
      </c>
      <c r="C725" s="2">
        <v>309</v>
      </c>
      <c r="D725" s="2">
        <v>242</v>
      </c>
      <c r="E725" s="2">
        <v>425</v>
      </c>
      <c r="F725" s="2">
        <v>11</v>
      </c>
      <c r="G725" s="2">
        <v>217</v>
      </c>
      <c r="H725" s="2">
        <v>1948</v>
      </c>
      <c r="I725" s="2">
        <v>2000</v>
      </c>
      <c r="J725" s="2">
        <v>2449</v>
      </c>
      <c r="K725" s="2">
        <v>5250</v>
      </c>
      <c r="L725" s="2">
        <v>152</v>
      </c>
      <c r="M725" s="2">
        <v>40.909999999999997</v>
      </c>
      <c r="N725" s="2">
        <v>617.9</v>
      </c>
      <c r="O725" s="2">
        <v>190</v>
      </c>
      <c r="P725" s="2">
        <v>6250</v>
      </c>
    </row>
    <row r="726" spans="1:16" x14ac:dyDescent="0.35">
      <c r="A726" s="5">
        <v>45964</v>
      </c>
      <c r="B726" s="2">
        <v>780</v>
      </c>
      <c r="C726" s="2">
        <v>303</v>
      </c>
      <c r="D726" s="2">
        <v>242</v>
      </c>
      <c r="E726" s="2">
        <v>429.8</v>
      </c>
      <c r="F726" s="2">
        <v>11</v>
      </c>
      <c r="G726" s="2">
        <v>215</v>
      </c>
      <c r="H726" s="2">
        <v>1980</v>
      </c>
      <c r="I726" s="2">
        <v>2010</v>
      </c>
      <c r="J726" s="2">
        <v>2480</v>
      </c>
      <c r="K726" s="2">
        <v>5250</v>
      </c>
      <c r="L726" s="2">
        <v>152.5</v>
      </c>
      <c r="M726" s="2">
        <v>41.1</v>
      </c>
      <c r="N726" s="2">
        <v>610.5</v>
      </c>
      <c r="O726" s="2">
        <v>187.85</v>
      </c>
      <c r="P726" s="2">
        <v>6240</v>
      </c>
    </row>
    <row r="727" spans="1:16" x14ac:dyDescent="0.35">
      <c r="A727" s="5">
        <v>45965</v>
      </c>
      <c r="B727" s="2">
        <v>770</v>
      </c>
      <c r="C727" s="2">
        <v>310</v>
      </c>
      <c r="D727" s="2">
        <v>244.9</v>
      </c>
      <c r="E727" s="2">
        <v>429.45</v>
      </c>
      <c r="F727" s="2">
        <v>11</v>
      </c>
      <c r="G727" s="2">
        <v>215.7</v>
      </c>
      <c r="H727" s="2">
        <v>1969</v>
      </c>
      <c r="I727" s="2">
        <v>2045</v>
      </c>
      <c r="J727" s="2">
        <v>2421</v>
      </c>
      <c r="K727" s="2">
        <v>5195</v>
      </c>
      <c r="L727" s="2">
        <v>151.55000000000001</v>
      </c>
      <c r="M727" s="2">
        <v>40.01</v>
      </c>
      <c r="N727" s="2">
        <v>620.1</v>
      </c>
      <c r="O727" s="2">
        <v>188</v>
      </c>
      <c r="P727" s="2">
        <v>6199</v>
      </c>
    </row>
    <row r="728" spans="1:16" x14ac:dyDescent="0.35">
      <c r="A728" s="5">
        <v>45966</v>
      </c>
      <c r="B728" s="2">
        <v>767</v>
      </c>
      <c r="C728" s="2">
        <v>309</v>
      </c>
      <c r="D728" s="2">
        <v>241</v>
      </c>
      <c r="E728" s="2">
        <v>428.9</v>
      </c>
      <c r="F728" s="2">
        <v>11</v>
      </c>
      <c r="G728" s="2">
        <v>210</v>
      </c>
      <c r="H728" s="2">
        <v>1964</v>
      </c>
      <c r="I728" s="2">
        <v>2047</v>
      </c>
      <c r="J728" s="2">
        <v>2380</v>
      </c>
      <c r="K728" s="2">
        <v>5195</v>
      </c>
      <c r="L728" s="2">
        <v>155</v>
      </c>
      <c r="M728" s="2">
        <v>40.14</v>
      </c>
      <c r="N728" s="2">
        <v>603.20000000000005</v>
      </c>
      <c r="O728" s="2">
        <v>180</v>
      </c>
      <c r="P728" s="2">
        <v>6200</v>
      </c>
    </row>
    <row r="729" spans="1:16" x14ac:dyDescent="0.35">
      <c r="A729" s="5">
        <v>45968</v>
      </c>
      <c r="B729" s="2">
        <v>766</v>
      </c>
      <c r="C729" s="2">
        <v>309</v>
      </c>
      <c r="D729" s="2">
        <v>235</v>
      </c>
      <c r="E729" s="2">
        <v>428.4</v>
      </c>
      <c r="F729" s="2">
        <v>11.1</v>
      </c>
      <c r="G729" s="2">
        <v>210</v>
      </c>
      <c r="H729" s="2">
        <v>1933</v>
      </c>
      <c r="I729" s="2">
        <v>2000</v>
      </c>
      <c r="J729" s="2">
        <v>2350</v>
      </c>
      <c r="K729" s="2">
        <v>5195</v>
      </c>
      <c r="L729" s="2">
        <v>150</v>
      </c>
      <c r="M729" s="2">
        <v>39.71</v>
      </c>
      <c r="N729" s="2">
        <v>618.1</v>
      </c>
      <c r="O729" s="2">
        <v>174</v>
      </c>
      <c r="P729" s="2">
        <v>6200</v>
      </c>
    </row>
    <row r="730" spans="1:16" x14ac:dyDescent="0.35">
      <c r="A730" s="5">
        <v>45971</v>
      </c>
      <c r="B730" s="2">
        <v>745</v>
      </c>
      <c r="C730" s="2">
        <v>305</v>
      </c>
      <c r="D730" s="2">
        <v>236.1</v>
      </c>
      <c r="E730" s="2">
        <v>427.8</v>
      </c>
      <c r="F730" s="2">
        <v>10.9</v>
      </c>
      <c r="G730" s="2">
        <v>205.95</v>
      </c>
      <c r="H730" s="2">
        <v>1939</v>
      </c>
      <c r="I730" s="2">
        <v>2010</v>
      </c>
      <c r="J730" s="2">
        <v>2375</v>
      </c>
      <c r="K730" s="2">
        <v>5188</v>
      </c>
      <c r="L730" s="2">
        <v>150</v>
      </c>
      <c r="M730" s="2">
        <v>39.22</v>
      </c>
      <c r="N730" s="2">
        <v>610.70000000000005</v>
      </c>
      <c r="O730" s="2">
        <v>175.65</v>
      </c>
      <c r="P730" s="2">
        <v>6190</v>
      </c>
    </row>
    <row r="731" spans="1:16" x14ac:dyDescent="0.35">
      <c r="A731" s="5">
        <v>45972</v>
      </c>
      <c r="B731" s="2">
        <v>731</v>
      </c>
      <c r="C731" s="2">
        <v>280.5</v>
      </c>
      <c r="D731" s="2">
        <v>226.5</v>
      </c>
      <c r="E731" s="2">
        <v>418</v>
      </c>
      <c r="F731" s="2">
        <v>10.9</v>
      </c>
      <c r="G731" s="2">
        <v>200</v>
      </c>
      <c r="H731" s="2">
        <v>1870</v>
      </c>
      <c r="I731" s="2">
        <v>1955</v>
      </c>
      <c r="J731" s="2">
        <v>2300</v>
      </c>
      <c r="K731" s="2">
        <v>5050</v>
      </c>
      <c r="L731" s="2">
        <v>147</v>
      </c>
      <c r="M731" s="2">
        <v>37.6</v>
      </c>
      <c r="N731" s="2">
        <v>595</v>
      </c>
      <c r="O731" s="2">
        <v>180</v>
      </c>
      <c r="P731" s="2">
        <v>5900</v>
      </c>
    </row>
    <row r="732" spans="1:16" x14ac:dyDescent="0.35">
      <c r="A732" s="5">
        <v>45973</v>
      </c>
      <c r="B732" s="2">
        <v>731</v>
      </c>
      <c r="C732" s="2">
        <v>286.89999999999998</v>
      </c>
      <c r="D732" s="2">
        <v>226.5</v>
      </c>
      <c r="E732" s="2">
        <v>420</v>
      </c>
      <c r="F732" s="2">
        <v>10.7</v>
      </c>
      <c r="G732" s="2">
        <v>204</v>
      </c>
      <c r="H732" s="2">
        <v>1898</v>
      </c>
      <c r="I732" s="2">
        <v>1930</v>
      </c>
      <c r="J732" s="2">
        <v>2300</v>
      </c>
      <c r="K732" s="2">
        <v>5179</v>
      </c>
      <c r="L732" s="2">
        <v>149.9</v>
      </c>
      <c r="M732" s="2">
        <v>37.35</v>
      </c>
      <c r="N732" s="2">
        <v>593</v>
      </c>
      <c r="O732" s="2">
        <v>179</v>
      </c>
      <c r="P732" s="2">
        <v>6050</v>
      </c>
    </row>
    <row r="733" spans="1:16" x14ac:dyDescent="0.35">
      <c r="A733" s="5">
        <v>45974</v>
      </c>
      <c r="B733" s="2">
        <v>741.9</v>
      </c>
      <c r="C733" s="2">
        <v>287</v>
      </c>
      <c r="D733" s="2">
        <v>230</v>
      </c>
      <c r="E733" s="2">
        <v>424.9</v>
      </c>
      <c r="F733" s="2">
        <v>10.7</v>
      </c>
      <c r="G733" s="2">
        <v>207</v>
      </c>
      <c r="H733" s="2">
        <v>1899</v>
      </c>
      <c r="I733" s="2">
        <v>1930</v>
      </c>
      <c r="J733" s="2">
        <v>2300</v>
      </c>
      <c r="K733" s="2">
        <v>5100</v>
      </c>
      <c r="L733" s="2">
        <v>153.9</v>
      </c>
      <c r="M733" s="2">
        <v>37.69</v>
      </c>
      <c r="N733" s="2">
        <v>590.1</v>
      </c>
      <c r="O733" s="2">
        <v>180.1</v>
      </c>
      <c r="P733" s="2">
        <v>6050</v>
      </c>
    </row>
    <row r="734" spans="1:16" x14ac:dyDescent="0.35">
      <c r="A734" s="5">
        <v>45975</v>
      </c>
      <c r="B734" s="2">
        <v>736</v>
      </c>
      <c r="C734" s="2">
        <v>287</v>
      </c>
      <c r="D734" s="2">
        <v>227</v>
      </c>
      <c r="E734" s="2">
        <v>420</v>
      </c>
      <c r="F734" s="2">
        <v>10.7</v>
      </c>
      <c r="G734" s="2">
        <v>204</v>
      </c>
      <c r="H734" s="2">
        <v>1830</v>
      </c>
      <c r="I734" s="2">
        <v>1910</v>
      </c>
      <c r="J734" s="2">
        <v>2281</v>
      </c>
      <c r="K734" s="2">
        <v>5149</v>
      </c>
      <c r="L734" s="2">
        <v>144.4</v>
      </c>
      <c r="M734" s="2">
        <v>37.81</v>
      </c>
      <c r="N734" s="2">
        <v>595</v>
      </c>
      <c r="O734" s="2">
        <v>181</v>
      </c>
      <c r="P734" s="2">
        <v>6050</v>
      </c>
    </row>
    <row r="735" spans="1:16" x14ac:dyDescent="0.35">
      <c r="A735" s="5">
        <v>45978</v>
      </c>
      <c r="B735" s="2">
        <v>728.8</v>
      </c>
      <c r="C735" s="2">
        <v>287</v>
      </c>
      <c r="D735" s="2">
        <v>225.1</v>
      </c>
      <c r="E735" s="2">
        <v>416</v>
      </c>
      <c r="F735" s="2">
        <v>10.7</v>
      </c>
      <c r="G735" s="2">
        <v>204</v>
      </c>
      <c r="H735" s="2">
        <v>1859</v>
      </c>
      <c r="I735" s="2">
        <v>1910</v>
      </c>
      <c r="J735" s="2">
        <v>2291</v>
      </c>
      <c r="K735" s="2">
        <v>5003</v>
      </c>
      <c r="L735" s="2">
        <v>147.9</v>
      </c>
      <c r="M735" s="2">
        <v>37.5</v>
      </c>
      <c r="N735" s="2">
        <v>590</v>
      </c>
      <c r="O735" s="2">
        <v>176.5</v>
      </c>
      <c r="P735" s="2">
        <v>5807</v>
      </c>
    </row>
    <row r="736" spans="1:16" x14ac:dyDescent="0.35">
      <c r="A736" s="5">
        <v>45980</v>
      </c>
      <c r="B736" s="2">
        <v>719.9</v>
      </c>
      <c r="C736" s="2">
        <v>282</v>
      </c>
      <c r="D736" s="2">
        <v>226.8</v>
      </c>
      <c r="E736" s="2">
        <v>410.35</v>
      </c>
      <c r="F736" s="2">
        <v>10.7</v>
      </c>
      <c r="G736" s="2">
        <v>198</v>
      </c>
      <c r="H736" s="2">
        <v>1860</v>
      </c>
      <c r="I736" s="2">
        <v>1901</v>
      </c>
      <c r="J736" s="2">
        <v>2205</v>
      </c>
      <c r="K736" s="2">
        <v>5050</v>
      </c>
      <c r="L736" s="2">
        <v>142</v>
      </c>
      <c r="M736" s="2">
        <v>36.71</v>
      </c>
      <c r="N736" s="2">
        <v>566.6</v>
      </c>
      <c r="O736" s="2">
        <v>170.15</v>
      </c>
      <c r="P736" s="2">
        <v>5800</v>
      </c>
    </row>
    <row r="737" spans="1:16" x14ac:dyDescent="0.35">
      <c r="A737" s="5">
        <v>45981</v>
      </c>
      <c r="B737" s="2">
        <v>711</v>
      </c>
      <c r="C737" s="2">
        <v>280</v>
      </c>
      <c r="D737" s="2">
        <v>220</v>
      </c>
      <c r="E737" s="2">
        <v>401</v>
      </c>
      <c r="F737" s="2">
        <v>10.5</v>
      </c>
      <c r="G737" s="2">
        <v>195</v>
      </c>
      <c r="H737" s="2">
        <v>1802</v>
      </c>
      <c r="I737" s="2">
        <v>1900</v>
      </c>
      <c r="J737" s="2">
        <v>2240</v>
      </c>
      <c r="K737" s="2">
        <v>5050</v>
      </c>
      <c r="L737" s="2">
        <v>146</v>
      </c>
      <c r="M737" s="2">
        <v>36.01</v>
      </c>
      <c r="N737" s="2">
        <v>565</v>
      </c>
      <c r="O737" s="2">
        <v>172.3</v>
      </c>
      <c r="P737" s="2">
        <v>5900</v>
      </c>
    </row>
    <row r="738" spans="1:16" x14ac:dyDescent="0.35">
      <c r="A738" s="5">
        <v>45982</v>
      </c>
      <c r="B738" s="2">
        <v>713</v>
      </c>
      <c r="C738" s="2">
        <v>278</v>
      </c>
      <c r="D738" s="2">
        <v>220</v>
      </c>
      <c r="E738" s="2">
        <v>410</v>
      </c>
      <c r="F738" s="2">
        <v>10.6</v>
      </c>
      <c r="G738" s="2">
        <v>200</v>
      </c>
      <c r="H738" s="2">
        <v>1815</v>
      </c>
      <c r="I738" s="2">
        <v>1900</v>
      </c>
      <c r="J738" s="2">
        <v>2259</v>
      </c>
      <c r="K738" s="2">
        <v>5100</v>
      </c>
      <c r="L738" s="2">
        <v>142</v>
      </c>
      <c r="M738" s="2">
        <v>36.21</v>
      </c>
      <c r="N738" s="2">
        <v>570</v>
      </c>
      <c r="O738" s="2">
        <v>173.9</v>
      </c>
      <c r="P738" s="2">
        <v>6000</v>
      </c>
    </row>
    <row r="739" spans="1:16" x14ac:dyDescent="0.35">
      <c r="A739" s="5">
        <v>45986</v>
      </c>
      <c r="B739" s="2">
        <v>725</v>
      </c>
      <c r="C739" s="2">
        <v>280</v>
      </c>
      <c r="D739" s="2">
        <v>220.1</v>
      </c>
      <c r="E739" s="2">
        <v>403.1</v>
      </c>
      <c r="F739" s="2">
        <v>10.6</v>
      </c>
      <c r="G739" s="2">
        <v>200</v>
      </c>
      <c r="H739" s="2">
        <v>1855</v>
      </c>
      <c r="I739" s="2">
        <v>1905</v>
      </c>
      <c r="J739" s="2">
        <v>2150</v>
      </c>
      <c r="K739" s="2">
        <v>5100</v>
      </c>
      <c r="L739" s="2">
        <v>140</v>
      </c>
      <c r="M739" s="2">
        <v>37.64</v>
      </c>
      <c r="N739" s="2">
        <v>571</v>
      </c>
      <c r="O739" s="2">
        <v>172.5</v>
      </c>
      <c r="P739" s="2">
        <v>6050</v>
      </c>
    </row>
    <row r="740" spans="1:16" x14ac:dyDescent="0.35">
      <c r="A740" s="5">
        <v>45987</v>
      </c>
      <c r="B740" s="2">
        <v>730</v>
      </c>
      <c r="C740" s="2">
        <v>280</v>
      </c>
      <c r="D740" s="2">
        <v>225</v>
      </c>
      <c r="E740" s="2">
        <v>409</v>
      </c>
      <c r="F740" s="2">
        <v>10.6</v>
      </c>
      <c r="G740" s="2">
        <v>200</v>
      </c>
      <c r="H740" s="2">
        <v>1880</v>
      </c>
      <c r="I740" s="2">
        <v>1880</v>
      </c>
      <c r="J740" s="2">
        <v>2180</v>
      </c>
      <c r="K740" s="2">
        <v>4952</v>
      </c>
      <c r="L740" s="2">
        <v>137.1</v>
      </c>
      <c r="M740" s="2">
        <v>37.79</v>
      </c>
      <c r="N740" s="2">
        <v>574</v>
      </c>
      <c r="O740" s="2">
        <v>178.6</v>
      </c>
      <c r="P740" s="2">
        <v>5893</v>
      </c>
    </row>
    <row r="741" spans="1:16" x14ac:dyDescent="0.35">
      <c r="A741" s="5">
        <v>45988</v>
      </c>
      <c r="B741" s="2">
        <v>734</v>
      </c>
      <c r="C741" s="2">
        <v>280</v>
      </c>
      <c r="D741" s="2">
        <v>225</v>
      </c>
      <c r="E741" s="2">
        <v>401</v>
      </c>
      <c r="F741" s="2">
        <v>10.8</v>
      </c>
      <c r="G741" s="2">
        <v>196</v>
      </c>
      <c r="H741" s="2">
        <v>1851</v>
      </c>
      <c r="I741" s="2">
        <v>1910</v>
      </c>
      <c r="J741" s="2">
        <v>2199</v>
      </c>
      <c r="K741" s="2">
        <v>5150</v>
      </c>
      <c r="L741" s="2">
        <v>140</v>
      </c>
      <c r="M741" s="2">
        <v>37.72</v>
      </c>
      <c r="N741" s="2">
        <v>591</v>
      </c>
      <c r="O741" s="2">
        <v>180.4</v>
      </c>
      <c r="P741" s="2">
        <v>6194</v>
      </c>
    </row>
    <row r="742" spans="1:16" x14ac:dyDescent="0.35">
      <c r="A742" s="5">
        <v>45992</v>
      </c>
      <c r="B742" s="2">
        <v>720</v>
      </c>
      <c r="C742" s="2">
        <v>279</v>
      </c>
      <c r="D742" s="2">
        <v>223</v>
      </c>
      <c r="E742" s="2">
        <v>409</v>
      </c>
      <c r="F742" s="2">
        <v>10.9</v>
      </c>
      <c r="G742" s="2">
        <v>199.95</v>
      </c>
      <c r="H742" s="2">
        <v>1848</v>
      </c>
      <c r="I742" s="2">
        <v>1947</v>
      </c>
      <c r="J742" s="2">
        <v>2240</v>
      </c>
      <c r="K742" s="2">
        <v>5150</v>
      </c>
      <c r="L742" s="2">
        <v>140</v>
      </c>
      <c r="M742" s="2">
        <v>36</v>
      </c>
      <c r="N742" s="2">
        <v>575</v>
      </c>
      <c r="O742" s="2">
        <v>175.7</v>
      </c>
      <c r="P742" s="2">
        <v>5920</v>
      </c>
    </row>
    <row r="743" spans="1:16" x14ac:dyDescent="0.35">
      <c r="A743" s="5">
        <v>45993</v>
      </c>
      <c r="B743" s="2">
        <v>720.2</v>
      </c>
      <c r="C743" s="2">
        <v>280</v>
      </c>
      <c r="D743" s="2">
        <v>224</v>
      </c>
      <c r="E743" s="2">
        <v>404</v>
      </c>
      <c r="F743" s="2">
        <v>10.9</v>
      </c>
      <c r="G743" s="2">
        <v>199.9</v>
      </c>
      <c r="H743" s="2">
        <v>1830</v>
      </c>
      <c r="I743" s="2">
        <v>1920</v>
      </c>
      <c r="J743" s="2">
        <v>2250</v>
      </c>
      <c r="K743" s="2">
        <v>5001</v>
      </c>
      <c r="L743" s="2">
        <v>140</v>
      </c>
      <c r="M743" s="2">
        <v>36.11</v>
      </c>
      <c r="N743" s="2">
        <v>568</v>
      </c>
      <c r="O743" s="2">
        <v>174.5</v>
      </c>
      <c r="P743" s="2">
        <v>5837</v>
      </c>
    </row>
    <row r="744" spans="1:16" x14ac:dyDescent="0.35">
      <c r="A744" s="5">
        <v>45994</v>
      </c>
      <c r="B744" s="2">
        <v>720.2</v>
      </c>
      <c r="C744" s="2">
        <v>280</v>
      </c>
      <c r="D744" s="2">
        <v>230</v>
      </c>
      <c r="E744" s="2">
        <v>407</v>
      </c>
      <c r="F744" s="2">
        <v>10.7</v>
      </c>
      <c r="G744" s="2">
        <v>197</v>
      </c>
      <c r="H744" s="2">
        <v>1825</v>
      </c>
      <c r="I744" s="2">
        <v>1909</v>
      </c>
      <c r="J744" s="2">
        <v>2300</v>
      </c>
      <c r="K744" s="2">
        <v>5000</v>
      </c>
      <c r="L744" s="2">
        <v>140</v>
      </c>
      <c r="M744" s="2">
        <v>36.700000000000003</v>
      </c>
      <c r="N744" s="2">
        <v>563.5</v>
      </c>
      <c r="O744" s="2">
        <v>175.45</v>
      </c>
      <c r="P744" s="2">
        <v>5880</v>
      </c>
    </row>
    <row r="745" spans="1:16" x14ac:dyDescent="0.35">
      <c r="A745" s="5">
        <v>45995</v>
      </c>
      <c r="B745" s="2">
        <v>718.5</v>
      </c>
      <c r="C745" s="2">
        <v>280</v>
      </c>
      <c r="D745" s="2">
        <v>230</v>
      </c>
      <c r="E745" s="2">
        <v>407</v>
      </c>
      <c r="F745" s="2">
        <v>10.9</v>
      </c>
      <c r="G745" s="2">
        <v>197</v>
      </c>
      <c r="H745" s="2">
        <v>1830</v>
      </c>
      <c r="I745" s="2">
        <v>1896</v>
      </c>
      <c r="J745" s="2">
        <v>2250</v>
      </c>
      <c r="K745" s="2">
        <v>5000</v>
      </c>
      <c r="L745" s="2">
        <v>140</v>
      </c>
      <c r="M745" s="2">
        <v>36.4</v>
      </c>
      <c r="N745" s="2">
        <v>561.5</v>
      </c>
      <c r="O745" s="2">
        <v>173.05</v>
      </c>
      <c r="P745" s="2">
        <v>5950</v>
      </c>
    </row>
    <row r="746" spans="1:16" x14ac:dyDescent="0.35">
      <c r="A746" s="5">
        <v>45996</v>
      </c>
      <c r="B746" s="2">
        <v>725</v>
      </c>
      <c r="C746" s="2">
        <v>279</v>
      </c>
      <c r="D746" s="2">
        <v>234</v>
      </c>
      <c r="E746" s="2">
        <v>415</v>
      </c>
      <c r="F746" s="2">
        <v>10.9</v>
      </c>
      <c r="G746" s="2">
        <v>198</v>
      </c>
      <c r="H746" s="2">
        <v>1831</v>
      </c>
      <c r="I746" s="2">
        <v>1881</v>
      </c>
      <c r="J746" s="2">
        <v>2250</v>
      </c>
      <c r="K746" s="2">
        <v>5020</v>
      </c>
      <c r="L746" s="2">
        <v>138</v>
      </c>
      <c r="M746" s="2">
        <v>36.549999999999997</v>
      </c>
      <c r="N746" s="2">
        <v>570</v>
      </c>
      <c r="O746" s="2">
        <v>179.4</v>
      </c>
      <c r="P746" s="2">
        <v>6100</v>
      </c>
    </row>
    <row r="747" spans="1:16" x14ac:dyDescent="0.35">
      <c r="A747" s="5">
        <v>45999</v>
      </c>
      <c r="B747" s="2">
        <v>719.9</v>
      </c>
      <c r="C747" s="2">
        <v>285.89999999999998</v>
      </c>
      <c r="D747" s="2">
        <v>235.8</v>
      </c>
      <c r="E747" s="2">
        <v>416</v>
      </c>
      <c r="F747" s="2">
        <v>10.7</v>
      </c>
      <c r="G747" s="2">
        <v>197</v>
      </c>
      <c r="H747" s="2">
        <v>1840</v>
      </c>
      <c r="I747" s="2">
        <v>1900</v>
      </c>
      <c r="J747" s="2">
        <v>2350</v>
      </c>
      <c r="K747" s="2">
        <v>5100</v>
      </c>
      <c r="L747" s="2">
        <v>140</v>
      </c>
      <c r="M747" s="2">
        <v>35.61</v>
      </c>
      <c r="N747" s="2">
        <v>561.5</v>
      </c>
      <c r="O747" s="2">
        <v>177</v>
      </c>
      <c r="P747" s="2">
        <v>6087</v>
      </c>
    </row>
    <row r="748" spans="1:16" x14ac:dyDescent="0.35">
      <c r="A748" s="5">
        <v>46002</v>
      </c>
      <c r="B748" s="2">
        <v>723.9</v>
      </c>
      <c r="C748" s="2">
        <v>283</v>
      </c>
      <c r="D748" s="2">
        <v>230.15</v>
      </c>
      <c r="E748" s="2">
        <v>415</v>
      </c>
      <c r="F748" s="2">
        <v>10.9</v>
      </c>
      <c r="G748" s="2">
        <v>199</v>
      </c>
      <c r="H748" s="2">
        <v>1850</v>
      </c>
      <c r="I748" s="2">
        <v>1885</v>
      </c>
      <c r="J748" s="2">
        <v>2299</v>
      </c>
      <c r="K748" s="2">
        <v>5050</v>
      </c>
      <c r="L748" s="2">
        <v>139</v>
      </c>
      <c r="M748" s="2">
        <v>35</v>
      </c>
      <c r="N748" s="2">
        <v>560</v>
      </c>
      <c r="O748" s="2">
        <v>175.1</v>
      </c>
      <c r="P748" s="2">
        <v>5910</v>
      </c>
    </row>
    <row r="749" spans="1:16" x14ac:dyDescent="0.35">
      <c r="A749" s="5">
        <v>46003</v>
      </c>
      <c r="B749" s="2">
        <v>720</v>
      </c>
      <c r="C749" s="2">
        <v>283</v>
      </c>
      <c r="D749" s="2">
        <v>234</v>
      </c>
      <c r="E749" s="2">
        <v>414.75</v>
      </c>
      <c r="F749" s="2">
        <v>10.9</v>
      </c>
      <c r="G749" s="2">
        <v>197.05</v>
      </c>
      <c r="H749" s="2">
        <v>1832</v>
      </c>
      <c r="I749" s="2">
        <v>1850</v>
      </c>
      <c r="J749" s="2">
        <v>2344</v>
      </c>
      <c r="K749" s="2">
        <v>5050</v>
      </c>
      <c r="L749" s="2">
        <v>141</v>
      </c>
      <c r="M749" s="2">
        <v>35.4</v>
      </c>
      <c r="N749" s="2">
        <v>560</v>
      </c>
      <c r="O749" s="2">
        <v>178</v>
      </c>
      <c r="P749" s="2">
        <v>6051</v>
      </c>
    </row>
    <row r="750" spans="1:16" x14ac:dyDescent="0.35">
      <c r="A750" s="5">
        <v>46006</v>
      </c>
      <c r="B750" s="2">
        <v>725.5</v>
      </c>
      <c r="C750" s="2">
        <v>284.95</v>
      </c>
      <c r="D750" s="2">
        <v>232</v>
      </c>
      <c r="E750" s="2">
        <v>411</v>
      </c>
      <c r="F750" s="2">
        <v>10.7</v>
      </c>
      <c r="G750" s="2">
        <v>197.65</v>
      </c>
      <c r="H750" s="2">
        <v>1850</v>
      </c>
      <c r="I750" s="2">
        <v>1875</v>
      </c>
      <c r="J750" s="2">
        <v>2200</v>
      </c>
      <c r="K750" s="2">
        <v>5020</v>
      </c>
      <c r="L750" s="2">
        <v>146.94999999999999</v>
      </c>
      <c r="M750" s="2">
        <v>34.799999999999997</v>
      </c>
      <c r="N750" s="2">
        <v>549</v>
      </c>
      <c r="O750" s="2">
        <v>175</v>
      </c>
      <c r="P750" s="2">
        <v>6055</v>
      </c>
    </row>
    <row r="751" spans="1:16" x14ac:dyDescent="0.35">
      <c r="A751" s="5">
        <v>46008</v>
      </c>
      <c r="B751" s="2">
        <v>738</v>
      </c>
      <c r="C751" s="2">
        <v>287</v>
      </c>
      <c r="D751" s="2">
        <v>232.9</v>
      </c>
      <c r="E751" s="2">
        <v>411</v>
      </c>
      <c r="F751" s="2">
        <v>10.5</v>
      </c>
      <c r="G751" s="2">
        <v>203.7</v>
      </c>
      <c r="H751" s="2">
        <v>1862</v>
      </c>
      <c r="I751" s="2">
        <v>1880</v>
      </c>
      <c r="J751" s="2">
        <v>2250</v>
      </c>
      <c r="K751" s="2">
        <v>5040</v>
      </c>
      <c r="L751" s="2">
        <v>144</v>
      </c>
      <c r="M751" s="2">
        <v>34.520000000000003</v>
      </c>
      <c r="N751" s="2">
        <v>549</v>
      </c>
      <c r="O751" s="2">
        <v>173</v>
      </c>
      <c r="P751" s="2">
        <v>6159</v>
      </c>
    </row>
    <row r="752" spans="1:16" x14ac:dyDescent="0.35">
      <c r="A752" s="5">
        <v>46009</v>
      </c>
      <c r="B752" s="2">
        <v>745.4</v>
      </c>
      <c r="C752" s="2">
        <v>287</v>
      </c>
      <c r="D752" s="2">
        <v>232.9</v>
      </c>
      <c r="E752" s="2">
        <v>412</v>
      </c>
      <c r="F752" s="2">
        <v>10.5</v>
      </c>
      <c r="G752" s="2">
        <v>203</v>
      </c>
      <c r="H752" s="2">
        <v>1850</v>
      </c>
      <c r="I752" s="2">
        <v>1865</v>
      </c>
      <c r="J752" s="2">
        <v>2290</v>
      </c>
      <c r="K752" s="2">
        <v>5050</v>
      </c>
      <c r="L752" s="2">
        <v>144</v>
      </c>
      <c r="M752" s="2">
        <v>34.86</v>
      </c>
      <c r="N752" s="2">
        <v>553</v>
      </c>
      <c r="O752" s="2">
        <v>175</v>
      </c>
      <c r="P752" s="2">
        <v>6149</v>
      </c>
    </row>
    <row r="753" spans="1:16" x14ac:dyDescent="0.35">
      <c r="A753" s="5">
        <v>46010</v>
      </c>
      <c r="B753" s="2">
        <v>764</v>
      </c>
      <c r="C753" s="2">
        <v>287</v>
      </c>
      <c r="D753" s="2">
        <v>230</v>
      </c>
      <c r="E753" s="2">
        <v>420</v>
      </c>
      <c r="F753" s="2">
        <v>10.5</v>
      </c>
      <c r="G753" s="2">
        <v>200</v>
      </c>
      <c r="H753" s="2">
        <v>1840</v>
      </c>
      <c r="I753" s="2">
        <v>1870</v>
      </c>
      <c r="J753" s="2">
        <v>2250</v>
      </c>
      <c r="K753" s="2">
        <v>5000</v>
      </c>
      <c r="L753" s="2">
        <v>141</v>
      </c>
      <c r="M753" s="2">
        <v>35</v>
      </c>
      <c r="N753" s="2">
        <v>558</v>
      </c>
      <c r="O753" s="2">
        <v>173</v>
      </c>
      <c r="P753" s="2">
        <v>6149</v>
      </c>
    </row>
    <row r="754" spans="1:16" x14ac:dyDescent="0.35">
      <c r="A754" s="5">
        <v>46013</v>
      </c>
      <c r="B754" s="2">
        <v>760</v>
      </c>
      <c r="C754" s="2">
        <v>290</v>
      </c>
      <c r="D754" s="2">
        <v>230</v>
      </c>
      <c r="E754" s="2">
        <v>412.2</v>
      </c>
      <c r="F754" s="2">
        <v>10.7</v>
      </c>
      <c r="G754" s="2">
        <v>200</v>
      </c>
      <c r="H754" s="2">
        <v>1842</v>
      </c>
      <c r="I754" s="2">
        <v>1860</v>
      </c>
      <c r="J754" s="2">
        <v>2250</v>
      </c>
      <c r="K754" s="2">
        <v>4882</v>
      </c>
      <c r="L754" s="2">
        <v>146</v>
      </c>
      <c r="M754" s="2">
        <v>35.04</v>
      </c>
      <c r="N754" s="2">
        <v>550</v>
      </c>
      <c r="O754" s="2">
        <v>173</v>
      </c>
      <c r="P754" s="2">
        <v>6154</v>
      </c>
    </row>
    <row r="755" spans="1:16" x14ac:dyDescent="0.35">
      <c r="A755" s="5">
        <v>46014</v>
      </c>
      <c r="B755" s="2">
        <v>754</v>
      </c>
      <c r="C755" s="2">
        <v>287</v>
      </c>
      <c r="D755" s="2">
        <v>229</v>
      </c>
      <c r="E755" s="2">
        <v>411</v>
      </c>
      <c r="F755" s="2">
        <v>10.7</v>
      </c>
      <c r="G755" s="2">
        <v>201.9</v>
      </c>
      <c r="H755" s="2">
        <v>1807</v>
      </c>
      <c r="I755" s="2">
        <v>1852</v>
      </c>
      <c r="J755" s="2">
        <v>2240</v>
      </c>
      <c r="K755" s="2">
        <v>5049</v>
      </c>
      <c r="L755" s="2">
        <v>142</v>
      </c>
      <c r="M755" s="2">
        <v>34.99</v>
      </c>
      <c r="N755" s="2">
        <v>540</v>
      </c>
      <c r="O755" s="2">
        <v>170</v>
      </c>
      <c r="P755" s="2">
        <v>6199</v>
      </c>
    </row>
    <row r="756" spans="1:16" x14ac:dyDescent="0.35">
      <c r="A756" s="5">
        <v>46015</v>
      </c>
      <c r="B756" s="2">
        <v>750</v>
      </c>
      <c r="C756" s="2">
        <v>291</v>
      </c>
      <c r="D756" s="2">
        <v>225</v>
      </c>
      <c r="E756" s="2">
        <v>411</v>
      </c>
      <c r="F756" s="2">
        <v>10.4</v>
      </c>
      <c r="G756" s="2">
        <v>200</v>
      </c>
      <c r="H756" s="2">
        <v>1810</v>
      </c>
      <c r="I756" s="2">
        <v>1800</v>
      </c>
      <c r="J756" s="2">
        <v>2200</v>
      </c>
      <c r="K756" s="2">
        <v>5048</v>
      </c>
      <c r="L756" s="2">
        <v>154</v>
      </c>
      <c r="M756" s="2">
        <v>34.770000000000003</v>
      </c>
      <c r="N756" s="2">
        <v>539</v>
      </c>
      <c r="O756" s="2">
        <v>167</v>
      </c>
      <c r="P756" s="2">
        <v>6400</v>
      </c>
    </row>
    <row r="757" spans="1:16" x14ac:dyDescent="0.35">
      <c r="A757" s="5">
        <v>46020</v>
      </c>
      <c r="B757" s="2">
        <v>718</v>
      </c>
      <c r="C757" s="2">
        <v>277</v>
      </c>
      <c r="D757" s="2">
        <v>212</v>
      </c>
      <c r="E757" s="2">
        <v>415</v>
      </c>
      <c r="F757" s="2">
        <v>10.4</v>
      </c>
      <c r="G757" s="2">
        <v>193</v>
      </c>
      <c r="H757" s="2">
        <v>1780</v>
      </c>
      <c r="I757" s="2">
        <v>1810</v>
      </c>
      <c r="J757" s="2">
        <v>2198</v>
      </c>
      <c r="K757" s="2">
        <v>4950</v>
      </c>
      <c r="L757" s="2">
        <v>145.80000000000001</v>
      </c>
      <c r="M757" s="2">
        <v>35</v>
      </c>
      <c r="N757" s="2">
        <v>535</v>
      </c>
      <c r="O757" s="2">
        <v>158.5</v>
      </c>
      <c r="P757" s="2">
        <v>6350</v>
      </c>
    </row>
    <row r="758" spans="1:16" x14ac:dyDescent="0.35">
      <c r="A758" s="5">
        <v>46021</v>
      </c>
      <c r="B758" s="2">
        <v>729</v>
      </c>
      <c r="C758" s="2">
        <v>280</v>
      </c>
      <c r="D758" s="2">
        <v>218</v>
      </c>
      <c r="E758" s="2">
        <v>413.95</v>
      </c>
      <c r="F758" s="2">
        <v>10.199999999999999</v>
      </c>
      <c r="G758" s="2">
        <v>197</v>
      </c>
      <c r="H758" s="2">
        <v>1805</v>
      </c>
      <c r="I758" s="2">
        <v>1820</v>
      </c>
      <c r="J758" s="2">
        <v>2180</v>
      </c>
      <c r="K758" s="2">
        <v>4804</v>
      </c>
      <c r="L758" s="2">
        <v>145</v>
      </c>
      <c r="M758" s="2">
        <v>34.950000000000003</v>
      </c>
      <c r="N758" s="2">
        <v>540</v>
      </c>
      <c r="O758" s="2">
        <v>158.9</v>
      </c>
      <c r="P758" s="2">
        <v>6300</v>
      </c>
    </row>
    <row r="759" spans="1:16" x14ac:dyDescent="0.35">
      <c r="A759" s="5">
        <v>46022</v>
      </c>
      <c r="B759" s="2">
        <v>730.1</v>
      </c>
      <c r="C759" s="2">
        <v>290</v>
      </c>
      <c r="D759" s="2">
        <v>225</v>
      </c>
      <c r="E759" s="2">
        <v>415</v>
      </c>
      <c r="F759" s="2">
        <v>10.199999999999999</v>
      </c>
      <c r="G759" s="2">
        <v>203.5</v>
      </c>
      <c r="H759" s="2">
        <v>1840</v>
      </c>
      <c r="I759" s="2">
        <v>1850</v>
      </c>
      <c r="J759" s="2">
        <v>2120</v>
      </c>
      <c r="K759" s="2">
        <v>4804</v>
      </c>
      <c r="L759" s="2">
        <v>150</v>
      </c>
      <c r="M759" s="2">
        <v>35.979999999999997</v>
      </c>
      <c r="N759" s="2">
        <v>530</v>
      </c>
      <c r="O759" s="2">
        <v>161</v>
      </c>
      <c r="P759" s="2">
        <v>6400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U760"/>
  <sheetViews>
    <sheetView topLeftCell="A171" zoomScale="70" zoomScaleNormal="70" workbookViewId="0">
      <selection activeCell="Q2" sqref="Q2:Q759"/>
    </sheetView>
  </sheetViews>
  <sheetFormatPr baseColWidth="10" defaultColWidth="8.7265625" defaultRowHeight="14.5" x14ac:dyDescent="0.35"/>
  <cols>
    <col min="1" max="1" width="10.453125" style="11" customWidth="1"/>
    <col min="2" max="5" width="11.6328125" customWidth="1"/>
    <col min="6" max="6" width="11.1796875" customWidth="1"/>
    <col min="7" max="7" width="11.6328125" customWidth="1"/>
    <col min="8" max="8" width="12.453125" customWidth="1"/>
    <col min="9" max="9" width="11.90625" customWidth="1"/>
    <col min="10" max="10" width="12.1796875" customWidth="1"/>
    <col min="11" max="11" width="12" customWidth="1"/>
    <col min="12" max="12" width="11.6328125" customWidth="1"/>
    <col min="13" max="13" width="14.453125" customWidth="1"/>
    <col min="14" max="14" width="14.36328125" customWidth="1"/>
    <col min="15" max="15" width="15.54296875" customWidth="1"/>
    <col min="16" max="16" width="11.6328125" customWidth="1"/>
    <col min="19" max="19" width="11.7265625" customWidth="1"/>
  </cols>
  <sheetData>
    <row r="1" spans="1:21" s="2" customFormat="1" x14ac:dyDescent="0.35">
      <c r="A1" s="8" t="s">
        <v>0</v>
      </c>
      <c r="B1" s="9" t="s">
        <v>21</v>
      </c>
      <c r="C1" s="9" t="s">
        <v>2</v>
      </c>
      <c r="D1" s="9" t="s">
        <v>3</v>
      </c>
      <c r="E1" s="9" t="s">
        <v>4</v>
      </c>
      <c r="F1" s="9" t="s">
        <v>8</v>
      </c>
      <c r="G1" s="9" t="s">
        <v>5</v>
      </c>
      <c r="H1" s="9" t="s">
        <v>7</v>
      </c>
      <c r="I1" s="9" t="s">
        <v>9</v>
      </c>
      <c r="J1" s="9" t="s">
        <v>15</v>
      </c>
      <c r="K1" s="9" t="s">
        <v>14</v>
      </c>
      <c r="L1" s="9" t="s">
        <v>13</v>
      </c>
      <c r="M1" s="9" t="s">
        <v>12</v>
      </c>
      <c r="N1" s="9" t="s">
        <v>11</v>
      </c>
      <c r="O1" s="9" t="s">
        <v>10</v>
      </c>
      <c r="P1" s="9" t="s">
        <v>6</v>
      </c>
      <c r="Q1" s="13" t="s">
        <v>16</v>
      </c>
      <c r="R1" s="13" t="s">
        <v>17</v>
      </c>
      <c r="S1" s="13" t="s">
        <v>20</v>
      </c>
      <c r="T1" s="13" t="s">
        <v>18</v>
      </c>
      <c r="U1" s="13" t="s">
        <v>19</v>
      </c>
    </row>
    <row r="2" spans="1:21" x14ac:dyDescent="0.35">
      <c r="A2" s="10">
        <v>43839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/>
      <c r="R2" s="14"/>
      <c r="S2" s="14"/>
      <c r="T2" s="14"/>
      <c r="U2" s="14"/>
    </row>
    <row r="3" spans="1:21" x14ac:dyDescent="0.35">
      <c r="A3" s="10">
        <v>43840</v>
      </c>
      <c r="B3" s="2">
        <v>-4.9224068450942756E-3</v>
      </c>
      <c r="C3" s="2">
        <v>-3.6225321895885603E-4</v>
      </c>
      <c r="D3" s="2">
        <v>-1.5532662598785369E-2</v>
      </c>
      <c r="E3" s="2">
        <v>1.324522675002072E-2</v>
      </c>
      <c r="F3" s="2">
        <v>0</v>
      </c>
      <c r="G3" s="2">
        <v>-1.697056649646116E-2</v>
      </c>
      <c r="H3" s="2">
        <v>0</v>
      </c>
      <c r="I3" s="2">
        <v>-1.9313905082527501E-2</v>
      </c>
      <c r="J3" s="2">
        <v>2.7028672387919419E-2</v>
      </c>
      <c r="K3" s="2">
        <v>-2.9289758202304221E-2</v>
      </c>
      <c r="L3" s="2">
        <v>0</v>
      </c>
      <c r="M3" s="2">
        <v>0</v>
      </c>
      <c r="N3" s="2">
        <v>-2.6702285558789212E-3</v>
      </c>
      <c r="O3" s="2">
        <v>-1.348335033728699E-2</v>
      </c>
      <c r="P3" s="2">
        <v>-1.7271586508660591E-2</v>
      </c>
      <c r="Q3" s="15">
        <f>AVERAGE(Tableau2[[#This Row],[AWB]:[IAM]])</f>
        <v>-5.3028545805345164E-3</v>
      </c>
      <c r="R3" s="15">
        <f>ABS(Tableau2[[#This Row],[Rm ]])</f>
        <v>5.3028545805345164E-3</v>
      </c>
      <c r="S3" s="15">
        <f>(Tableau2[[#This Row],[Rm ]]-Tableau2[[#Totals],[Rm ]])^2</f>
        <v>3.7143048103562481E-5</v>
      </c>
      <c r="T3" s="15">
        <f t="shared" ref="T3:T66" si="0">(ABS(B3-$Q3)+ABS(C3-$Q3)+ABS(D3-$Q3)+ABS(E3-$Q3)+ABS(F3-$Q3)+ABS(G3-$Q3)+ABS(H3-$Q3)+ABS(I3-$Q3)+ABS(J3-$Q3)+ABS(K3-$Q3)+ABS(L3-$Q3)+ABS(M3-$Q3)+ABS(N3-$Q3)+ABS(O3-$Q3)+ABS(P3-$Q3)/15)</f>
        <v>0.14891858701938643</v>
      </c>
      <c r="U3" s="15"/>
    </row>
    <row r="4" spans="1:21" x14ac:dyDescent="0.35">
      <c r="A4" s="10">
        <v>43844</v>
      </c>
      <c r="B4" s="2">
        <v>1.006998641403261E-4</v>
      </c>
      <c r="C4" s="2">
        <v>-7.2727593290798087E-3</v>
      </c>
      <c r="D4" s="2">
        <v>1.2925778953529589E-2</v>
      </c>
      <c r="E4" s="2">
        <v>-1.324522675002068E-2</v>
      </c>
      <c r="F4" s="2">
        <v>0</v>
      </c>
      <c r="G4" s="2">
        <v>-3.4233171642242211E-2</v>
      </c>
      <c r="H4" s="2">
        <v>-3.7740327982847093E-2</v>
      </c>
      <c r="I4" s="2">
        <v>-5.4318438823617293E-3</v>
      </c>
      <c r="J4" s="2">
        <v>-2.6891695468316022E-2</v>
      </c>
      <c r="K4" s="2">
        <v>4.4342239543508001E-2</v>
      </c>
      <c r="L4" s="2">
        <v>-3.0655802030935229E-2</v>
      </c>
      <c r="M4" s="2">
        <v>-6.0060240602119218E-3</v>
      </c>
      <c r="N4" s="2">
        <v>0</v>
      </c>
      <c r="O4" s="2">
        <v>1.58245766039721E-3</v>
      </c>
      <c r="P4" s="2">
        <v>1.727158650866072E-2</v>
      </c>
      <c r="Q4" s="15">
        <f>AVERAGE(Tableau2[[#This Row],[AWB]:[IAM]])</f>
        <v>-5.68360590771859E-3</v>
      </c>
      <c r="R4" s="15">
        <f>ABS(Tableau2[[#This Row],[Rm ]])</f>
        <v>5.68360590771859E-3</v>
      </c>
      <c r="S4" s="15">
        <f>(Tableau2[[#This Row],[Rm ]]-Tableau2[[#Totals],[Rm ]])^2</f>
        <v>4.1929004966607554E-5</v>
      </c>
      <c r="T4" s="15">
        <f t="shared" si="0"/>
        <v>0.21109468556395833</v>
      </c>
      <c r="U4" s="15">
        <f t="shared" ref="U4:U67" si="1">T3</f>
        <v>0.14891858701938643</v>
      </c>
    </row>
    <row r="5" spans="1:21" x14ac:dyDescent="0.35">
      <c r="A5" s="10">
        <v>43847</v>
      </c>
      <c r="B5" s="2">
        <v>4.921912402150978E-3</v>
      </c>
      <c r="C5" s="2">
        <v>1.0889399799268319E-2</v>
      </c>
      <c r="D5" s="2">
        <v>-1.8121973041728748E-2</v>
      </c>
      <c r="E5" s="2">
        <v>2.8749413285985789E-2</v>
      </c>
      <c r="F5" s="2">
        <v>-2.2606554628913939E-2</v>
      </c>
      <c r="G5" s="2">
        <v>2.5541663523783769E-2</v>
      </c>
      <c r="H5" s="2">
        <v>-4.6260683887823029E-3</v>
      </c>
      <c r="I5" s="2">
        <v>8.5557888361646572E-2</v>
      </c>
      <c r="J5" s="2">
        <v>9.1430216605887155E-2</v>
      </c>
      <c r="K5" s="2">
        <v>2.616082603867206E-2</v>
      </c>
      <c r="L5" s="2">
        <v>1.571422203273622E-2</v>
      </c>
      <c r="M5" s="2">
        <v>2.2633485520703642E-2</v>
      </c>
      <c r="N5" s="2">
        <v>1.5915455305899578E-2</v>
      </c>
      <c r="O5" s="2">
        <v>2.520485830325276E-2</v>
      </c>
      <c r="P5" s="2">
        <v>-3.4305350967891372E-3</v>
      </c>
      <c r="Q5" s="15">
        <f>AVERAGE(Tableau2[[#This Row],[AWB]:[IAM]])</f>
        <v>2.0262280668251514E-2</v>
      </c>
      <c r="R5" s="15">
        <f>ABS(Tableau2[[#This Row],[Rm ]])</f>
        <v>2.0262280668251514E-2</v>
      </c>
      <c r="S5" s="15">
        <f>(Tableau2[[#This Row],[Rm ]]-Tableau2[[#Totals],[Rm ]])^2</f>
        <v>3.7910526047451828E-4</v>
      </c>
      <c r="T5" s="15">
        <f t="shared" si="0"/>
        <v>0.30477147921030434</v>
      </c>
      <c r="U5" s="15">
        <f t="shared" si="1"/>
        <v>0.21109468556395833</v>
      </c>
    </row>
    <row r="6" spans="1:21" x14ac:dyDescent="0.35">
      <c r="A6" s="10">
        <v>43852</v>
      </c>
      <c r="B6" s="2">
        <v>1.5904907839664511E-2</v>
      </c>
      <c r="C6" s="2">
        <v>-1.8052170822559579E-4</v>
      </c>
      <c r="D6" s="2">
        <v>5.1961940881992434E-3</v>
      </c>
      <c r="E6" s="2">
        <v>2.636988593509363E-2</v>
      </c>
      <c r="F6" s="2">
        <v>4.8019299954072106E-3</v>
      </c>
      <c r="G6" s="2">
        <v>-5.4464246673595531E-3</v>
      </c>
      <c r="H6" s="2">
        <v>-5.2554970141491818E-2</v>
      </c>
      <c r="I6" s="2">
        <v>-2.0202707317519351E-2</v>
      </c>
      <c r="J6" s="2">
        <v>-1.8928009885518911E-2</v>
      </c>
      <c r="K6" s="2">
        <v>7.6787143213770295E-2</v>
      </c>
      <c r="L6" s="2">
        <v>7.4986960911206041E-3</v>
      </c>
      <c r="M6" s="2">
        <v>9.9619927287477351E-3</v>
      </c>
      <c r="N6" s="2">
        <v>2.648817546857949E-2</v>
      </c>
      <c r="O6" s="2">
        <v>1.225934793325264E-2</v>
      </c>
      <c r="P6" s="2">
        <v>-1.0362787035546659E-2</v>
      </c>
      <c r="Q6" s="15">
        <f>AVERAGE(Tableau2[[#This Row],[AWB]:[IAM]])</f>
        <v>5.1728568358782312E-3</v>
      </c>
      <c r="R6" s="15">
        <f>ABS(Tableau2[[#This Row],[Rm ]])</f>
        <v>5.1728568358782312E-3</v>
      </c>
      <c r="S6" s="15">
        <f>(Tableau2[[#This Row],[Rm ]]-Tableau2[[#Totals],[Rm ]])^2</f>
        <v>1.9194928752950143E-5</v>
      </c>
      <c r="T6" s="15">
        <f t="shared" si="0"/>
        <v>0.26366704294280807</v>
      </c>
      <c r="U6" s="15">
        <f t="shared" si="1"/>
        <v>0.30477147921030434</v>
      </c>
    </row>
    <row r="7" spans="1:21" x14ac:dyDescent="0.35">
      <c r="A7" s="10">
        <v>43853</v>
      </c>
      <c r="B7" s="2">
        <v>-3.9525743158233583E-3</v>
      </c>
      <c r="C7" s="2">
        <v>-3.4361187619628341E-3</v>
      </c>
      <c r="D7" s="2">
        <v>0</v>
      </c>
      <c r="E7" s="2">
        <v>3.1496089028962009E-3</v>
      </c>
      <c r="F7" s="2">
        <v>1.721621626113114E-2</v>
      </c>
      <c r="G7" s="2">
        <v>-2.508278036746325E-2</v>
      </c>
      <c r="H7" s="2">
        <v>-8.3836499626089977E-3</v>
      </c>
      <c r="I7" s="2">
        <v>-3.1090587070031119E-2</v>
      </c>
      <c r="J7" s="2">
        <v>1.8302814491600591E-2</v>
      </c>
      <c r="K7" s="2">
        <v>-2.8667894869571799E-2</v>
      </c>
      <c r="L7" s="2">
        <v>0</v>
      </c>
      <c r="M7" s="2">
        <v>4.653876927889356E-3</v>
      </c>
      <c r="N7" s="2">
        <v>-1.6016875601283939E-2</v>
      </c>
      <c r="O7" s="2">
        <v>-2.5563313559615511E-2</v>
      </c>
      <c r="P7" s="2">
        <v>-6.9686693160933158E-3</v>
      </c>
      <c r="Q7" s="15">
        <f>AVERAGE(Tableau2[[#This Row],[AWB]:[IAM]])</f>
        <v>-7.0559964827291233E-3</v>
      </c>
      <c r="R7" s="15">
        <f>ABS(Tableau2[[#This Row],[Rm ]])</f>
        <v>7.0559964827291233E-3</v>
      </c>
      <c r="S7" s="15">
        <f>(Tableau2[[#This Row],[Rm ]]-Tableau2[[#Totals],[Rm ]])^2</f>
        <v>6.1585635180333895E-5</v>
      </c>
      <c r="T7" s="15">
        <f t="shared" si="0"/>
        <v>0.18485673971287298</v>
      </c>
      <c r="U7" s="15">
        <f t="shared" si="1"/>
        <v>0.26366704294280807</v>
      </c>
    </row>
    <row r="8" spans="1:21" x14ac:dyDescent="0.35">
      <c r="A8" s="10">
        <v>43858</v>
      </c>
      <c r="B8" s="2">
        <v>-3.9682591756206222E-3</v>
      </c>
      <c r="C8" s="2">
        <v>-5.449604767564703E-3</v>
      </c>
      <c r="D8" s="2">
        <v>4.0828340684474732E-2</v>
      </c>
      <c r="E8" s="2">
        <v>5.6444176196771313E-3</v>
      </c>
      <c r="F8" s="2">
        <v>-8.8679268696599776E-3</v>
      </c>
      <c r="G8" s="2">
        <v>-3.0046921352296641E-2</v>
      </c>
      <c r="H8" s="2">
        <v>-2.1796399988333059E-2</v>
      </c>
      <c r="I8" s="2">
        <v>-3.7537919319065208E-2</v>
      </c>
      <c r="J8" s="2">
        <v>-1.957751192360099E-2</v>
      </c>
      <c r="K8" s="2">
        <v>-4.4843124473285759E-3</v>
      </c>
      <c r="L8" s="2">
        <v>3.5643186052902703E-2</v>
      </c>
      <c r="M8" s="2">
        <v>-2.527316413062496E-2</v>
      </c>
      <c r="N8" s="2">
        <v>1.499123448573361E-2</v>
      </c>
      <c r="O8" s="2">
        <v>-1.77912585979394E-2</v>
      </c>
      <c r="P8" s="2">
        <v>0</v>
      </c>
      <c r="Q8" s="15">
        <f>AVERAGE(Tableau2[[#This Row],[AWB]:[IAM]])</f>
        <v>-5.1790733152830637E-3</v>
      </c>
      <c r="R8" s="15">
        <f>ABS(Tableau2[[#This Row],[Rm ]])</f>
        <v>5.1790733152830637E-3</v>
      </c>
      <c r="S8" s="15">
        <f>(Tableau2[[#This Row],[Rm ]]-Tableau2[[#Totals],[Rm ]])^2</f>
        <v>3.5649597669397721E-5</v>
      </c>
      <c r="T8" s="15">
        <f t="shared" si="0"/>
        <v>0.24498243909270997</v>
      </c>
      <c r="U8" s="15">
        <f t="shared" si="1"/>
        <v>0.18485673971287298</v>
      </c>
    </row>
    <row r="9" spans="1:21" x14ac:dyDescent="0.35">
      <c r="A9" s="10">
        <v>43861</v>
      </c>
      <c r="B9" s="2">
        <v>1.9860979716293239E-3</v>
      </c>
      <c r="C9" s="2">
        <v>-3.6436509785528151E-4</v>
      </c>
      <c r="D9" s="2">
        <v>-1.00518743138565E-2</v>
      </c>
      <c r="E9" s="2">
        <v>-1.5123161574220889E-2</v>
      </c>
      <c r="F9" s="2">
        <v>1.5321454694433429E-2</v>
      </c>
      <c r="G9" s="2">
        <v>1.025229402411703E-2</v>
      </c>
      <c r="H9" s="2">
        <v>-3.1529190596155309E-3</v>
      </c>
      <c r="I9" s="2">
        <v>1.518467353831709E-2</v>
      </c>
      <c r="J9" s="2">
        <v>7.6239251106593664E-3</v>
      </c>
      <c r="K9" s="2">
        <v>-3.4289073478632068E-2</v>
      </c>
      <c r="L9" s="2">
        <v>-1.0303967938964109E-3</v>
      </c>
      <c r="M9" s="2">
        <v>5.9347355198145274E-3</v>
      </c>
      <c r="N9" s="2">
        <v>-1.2390452785676241E-2</v>
      </c>
      <c r="O9" s="2">
        <v>4.7602946063001186E-3</v>
      </c>
      <c r="P9" s="2">
        <v>-7.0175726586466456E-3</v>
      </c>
      <c r="Q9" s="15">
        <f>AVERAGE(Tableau2[[#This Row],[AWB]:[IAM]])</f>
        <v>-1.4904226864752453E-3</v>
      </c>
      <c r="R9" s="15">
        <f>ABS(Tableau2[[#This Row],[Rm ]])</f>
        <v>1.4904226864752453E-3</v>
      </c>
      <c r="S9" s="15">
        <f>(Tableau2[[#This Row],[Rm ]]-Tableau2[[#Totals],[Rm ]])^2</f>
        <v>5.2078789701400132E-6</v>
      </c>
      <c r="T9" s="15">
        <f t="shared" si="0"/>
        <v>0.14100636219623286</v>
      </c>
      <c r="U9" s="15">
        <f t="shared" si="1"/>
        <v>0.24498243909270997</v>
      </c>
    </row>
    <row r="10" spans="1:21" x14ac:dyDescent="0.35">
      <c r="A10" s="10">
        <v>43864</v>
      </c>
      <c r="B10" s="2">
        <v>-2.0040750883446149E-2</v>
      </c>
      <c r="C10" s="2">
        <v>-1.505444256932807E-2</v>
      </c>
      <c r="D10" s="2">
        <v>0</v>
      </c>
      <c r="E10" s="2">
        <v>0</v>
      </c>
      <c r="F10" s="2">
        <v>5.8309203107931437E-3</v>
      </c>
      <c r="G10" s="2">
        <v>1.6306567005083109E-3</v>
      </c>
      <c r="H10" s="2">
        <v>3.3740135139961443E-2</v>
      </c>
      <c r="I10" s="2">
        <v>2.1505384632287869E-3</v>
      </c>
      <c r="J10" s="2">
        <v>-1.273902577742971E-2</v>
      </c>
      <c r="K10" s="2">
        <v>3.9891329027302018E-2</v>
      </c>
      <c r="L10" s="2">
        <v>-1.7366421997896141E-2</v>
      </c>
      <c r="M10" s="2">
        <v>1.351769040700075E-2</v>
      </c>
      <c r="N10" s="2">
        <v>-5.7306747089849834E-3</v>
      </c>
      <c r="O10" s="2">
        <v>-1.4120025074311539E-2</v>
      </c>
      <c r="P10" s="2">
        <v>-5.0552279162831212E-2</v>
      </c>
      <c r="Q10" s="15">
        <f>AVERAGE(Tableau2[[#This Row],[AWB]:[IAM]])</f>
        <v>-2.5894900083622231E-3</v>
      </c>
      <c r="R10" s="15">
        <f>ABS(Tableau2[[#This Row],[Rm ]])</f>
        <v>2.5894900083622231E-3</v>
      </c>
      <c r="S10" s="15">
        <f>(Tableau2[[#This Row],[Rm ]]-Tableau2[[#Totals],[Rm ]])^2</f>
        <v>1.1432142164708E-5</v>
      </c>
      <c r="T10" s="15">
        <f t="shared" si="0"/>
        <v>0.19018911035388009</v>
      </c>
      <c r="U10" s="15">
        <f t="shared" si="1"/>
        <v>0.14100636219623286</v>
      </c>
    </row>
    <row r="11" spans="1:21" x14ac:dyDescent="0.35">
      <c r="A11" s="10">
        <v>43875</v>
      </c>
      <c r="B11" s="2">
        <v>1.227256123693545E-2</v>
      </c>
      <c r="C11" s="2">
        <v>1.359565310566831E-2</v>
      </c>
      <c r="D11" s="2">
        <v>-5.0383120306092552E-3</v>
      </c>
      <c r="E11" s="2">
        <v>1.261846395921146E-2</v>
      </c>
      <c r="F11" s="2">
        <v>-2.3530497410194161E-2</v>
      </c>
      <c r="G11" s="2">
        <v>-5.7206336397105477E-2</v>
      </c>
      <c r="H11" s="2">
        <v>-1.2906048237119411E-2</v>
      </c>
      <c r="I11" s="2">
        <v>-3.3864513952756421E-2</v>
      </c>
      <c r="J11" s="2">
        <v>6.2131781107006179E-2</v>
      </c>
      <c r="K11" s="2">
        <v>0</v>
      </c>
      <c r="L11" s="2">
        <v>1.116164511101321E-2</v>
      </c>
      <c r="M11" s="2">
        <v>7.5603733192533672E-3</v>
      </c>
      <c r="N11" s="2">
        <v>1.0912033450982499E-2</v>
      </c>
      <c r="O11" s="2">
        <v>9.1324835632724741E-3</v>
      </c>
      <c r="P11" s="2">
        <v>1.1049836186584941E-2</v>
      </c>
      <c r="Q11" s="15">
        <f>AVERAGE(Tableau2[[#This Row],[AWB]:[IAM]])</f>
        <v>1.1926082008095449E-3</v>
      </c>
      <c r="R11" s="15">
        <f>ABS(Tableau2[[#This Row],[Rm ]])</f>
        <v>1.1926082008095449E-3</v>
      </c>
      <c r="S11" s="15">
        <f>(Tableau2[[#This Row],[Rm ]]-Tableau2[[#Totals],[Rm ]])^2</f>
        <v>1.6076339842812649E-7</v>
      </c>
      <c r="T11" s="15">
        <f t="shared" si="0"/>
        <v>0.27020263501189362</v>
      </c>
      <c r="U11" s="15">
        <f t="shared" si="1"/>
        <v>0.19018911035388009</v>
      </c>
    </row>
    <row r="12" spans="1:21" x14ac:dyDescent="0.35">
      <c r="A12" s="10">
        <v>43882</v>
      </c>
      <c r="B12" s="2">
        <v>1.9602647293513419E-2</v>
      </c>
      <c r="C12" s="2">
        <v>3.6429912785010091E-3</v>
      </c>
      <c r="D12" s="2">
        <v>0</v>
      </c>
      <c r="E12" s="2">
        <v>1.709443335930004E-2</v>
      </c>
      <c r="F12" s="2">
        <v>2.3530497410194039E-2</v>
      </c>
      <c r="G12" s="2">
        <v>3.4548312504521499E-2</v>
      </c>
      <c r="H12" s="2">
        <v>-2.7169905351927721E-2</v>
      </c>
      <c r="I12" s="2">
        <v>2.21975673831281E-3</v>
      </c>
      <c r="J12" s="2">
        <v>-6.0423144559625863E-3</v>
      </c>
      <c r="K12" s="2">
        <v>1.7719178985102928E-2</v>
      </c>
      <c r="L12" s="2">
        <v>-4.158010148663677E-3</v>
      </c>
      <c r="M12" s="2">
        <v>-5.7954217791310889E-4</v>
      </c>
      <c r="N12" s="2">
        <v>6.1823999083175599E-3</v>
      </c>
      <c r="O12" s="2">
        <v>2.247285585205858E-2</v>
      </c>
      <c r="P12" s="2">
        <v>1.8149318505677269E-2</v>
      </c>
      <c r="Q12" s="15">
        <f>AVERAGE(Tableau2[[#This Row],[AWB]:[IAM]])</f>
        <v>8.480841313402137E-3</v>
      </c>
      <c r="R12" s="15">
        <f>ABS(Tableau2[[#This Row],[Rm ]])</f>
        <v>8.480841313402137E-3</v>
      </c>
      <c r="S12" s="15">
        <f>(Tableau2[[#This Row],[Rm ]]-Tableau2[[#Totals],[Rm ]])^2</f>
        <v>5.9123584804243581E-5</v>
      </c>
      <c r="T12" s="15">
        <f t="shared" si="0"/>
        <v>0.17847879738698219</v>
      </c>
      <c r="U12" s="15">
        <f t="shared" si="1"/>
        <v>0.27020263501189362</v>
      </c>
    </row>
    <row r="13" spans="1:21" x14ac:dyDescent="0.35">
      <c r="A13" s="10">
        <v>43889</v>
      </c>
      <c r="B13" s="2">
        <v>-2.985296314968116E-2</v>
      </c>
      <c r="C13" s="2">
        <v>-1.465227678687037E-2</v>
      </c>
      <c r="D13" s="2">
        <v>-3.066858182287541E-2</v>
      </c>
      <c r="E13" s="2">
        <v>-4.633212921488143E-3</v>
      </c>
      <c r="F13" s="2">
        <v>-0.1105418743998238</v>
      </c>
      <c r="G13" s="2">
        <v>-0.1476786133504151</v>
      </c>
      <c r="H13" s="2">
        <v>-1.817260057964554E-2</v>
      </c>
      <c r="I13" s="2">
        <v>-7.1212628225264224E-2</v>
      </c>
      <c r="J13" s="2">
        <v>0</v>
      </c>
      <c r="K13" s="2">
        <v>-5.5287626596265189E-2</v>
      </c>
      <c r="L13" s="2">
        <v>-1.6807118316381289E-2</v>
      </c>
      <c r="M13" s="2">
        <v>-1.459879942115264E-2</v>
      </c>
      <c r="N13" s="2">
        <v>-6.1823999083175391E-3</v>
      </c>
      <c r="O13" s="2">
        <v>-2.2472855852058628E-2</v>
      </c>
      <c r="P13" s="2">
        <v>-4.0372455290387632E-2</v>
      </c>
      <c r="Q13" s="15">
        <f>AVERAGE(Tableau2[[#This Row],[AWB]:[IAM]])</f>
        <v>-3.8875600441375099E-2</v>
      </c>
      <c r="R13" s="15">
        <f>ABS(Tableau2[[#This Row],[Rm ]])</f>
        <v>3.8875600441375099E-2</v>
      </c>
      <c r="S13" s="15">
        <f>(Tableau2[[#This Row],[Rm ]]-Tableau2[[#Totals],[Rm ]])^2</f>
        <v>1.5734911612568332E-3</v>
      </c>
      <c r="T13" s="15">
        <f t="shared" si="0"/>
        <v>0.46003332678481568</v>
      </c>
      <c r="U13" s="15">
        <f t="shared" si="1"/>
        <v>0.17847879738698219</v>
      </c>
    </row>
    <row r="14" spans="1:21" x14ac:dyDescent="0.35">
      <c r="A14" s="10">
        <v>43893</v>
      </c>
      <c r="B14" s="2">
        <v>-2.288616439276334E-2</v>
      </c>
      <c r="C14" s="2">
        <v>-1.4870162479451389E-2</v>
      </c>
      <c r="D14" s="2">
        <v>-2.6277626565022E-2</v>
      </c>
      <c r="E14" s="2">
        <v>-4.1080025743464629E-2</v>
      </c>
      <c r="F14" s="2">
        <v>-5.3345980705292742E-2</v>
      </c>
      <c r="G14" s="2">
        <v>-7.1566297548137342E-2</v>
      </c>
      <c r="H14" s="2">
        <v>-8.6717216081492993E-2</v>
      </c>
      <c r="I14" s="2">
        <v>-7.1684894786126279E-3</v>
      </c>
      <c r="J14" s="2">
        <v>-6.8992871486951435E-2</v>
      </c>
      <c r="K14" s="2">
        <v>-1.8578732701180791E-3</v>
      </c>
      <c r="L14" s="2">
        <v>-1.386688886843364E-2</v>
      </c>
      <c r="M14" s="2">
        <v>0</v>
      </c>
      <c r="N14" s="2">
        <v>-6.5676118860957491E-2</v>
      </c>
      <c r="O14" s="2">
        <v>-3.8693579385428847E-2</v>
      </c>
      <c r="P14" s="2">
        <v>3.7383221106071581E-3</v>
      </c>
      <c r="Q14" s="15">
        <f>AVERAGE(Tableau2[[#This Row],[AWB]:[IAM]])</f>
        <v>-3.3950731517034628E-2</v>
      </c>
      <c r="R14" s="15">
        <f>ABS(Tableau2[[#This Row],[Rm ]])</f>
        <v>3.3950731517034628E-2</v>
      </c>
      <c r="S14" s="15">
        <f>(Tableau2[[#This Row],[Rm ]]-Tableau2[[#Totals],[Rm ]])^2</f>
        <v>1.207033427034792E-3</v>
      </c>
      <c r="T14" s="15">
        <f t="shared" si="0"/>
        <v>0.34165748833250059</v>
      </c>
      <c r="U14" s="15">
        <f t="shared" si="1"/>
        <v>0.46003332678481568</v>
      </c>
    </row>
    <row r="15" spans="1:21" x14ac:dyDescent="0.35">
      <c r="A15" s="10">
        <v>43895</v>
      </c>
      <c r="B15" s="2">
        <v>-1.6253743944506949E-2</v>
      </c>
      <c r="C15" s="2">
        <v>1.080286162370927E-2</v>
      </c>
      <c r="D15" s="2">
        <v>-5.9100533193822361E-3</v>
      </c>
      <c r="E15" s="2">
        <v>-1.298719552681119E-2</v>
      </c>
      <c r="F15" s="2">
        <v>-2.7779564107075709E-2</v>
      </c>
      <c r="G15" s="2">
        <v>1.493333621298277E-2</v>
      </c>
      <c r="H15" s="2">
        <v>2.6699206355240101E-2</v>
      </c>
      <c r="I15" s="2">
        <v>-2.1819047394639721E-2</v>
      </c>
      <c r="J15" s="2">
        <v>0</v>
      </c>
      <c r="K15" s="2">
        <v>-4.6500814602158739E-4</v>
      </c>
      <c r="L15" s="2">
        <v>-3.386451395275631E-2</v>
      </c>
      <c r="M15" s="2">
        <v>-2.985296314968116E-2</v>
      </c>
      <c r="N15" s="2">
        <v>-8.8692377407797729E-3</v>
      </c>
      <c r="O15" s="2">
        <v>-2.9487933030643391E-2</v>
      </c>
      <c r="P15" s="2">
        <v>-1.1257154524634451E-2</v>
      </c>
      <c r="Q15" s="15">
        <f>AVERAGE(Tableau2[[#This Row],[AWB]:[IAM]])</f>
        <v>-9.7407340430000228E-3</v>
      </c>
      <c r="R15" s="15">
        <f>ABS(Tableau2[[#This Row],[Rm ]])</f>
        <v>9.7407340430000228E-3</v>
      </c>
      <c r="S15" s="15">
        <f>(Tableau2[[#This Row],[Rm ]]-Tableau2[[#Totals],[Rm ]])^2</f>
        <v>1.1093122081320476E-4</v>
      </c>
      <c r="T15" s="15">
        <f t="shared" si="0"/>
        <v>0.20933716079063863</v>
      </c>
      <c r="U15" s="15">
        <f t="shared" si="1"/>
        <v>0.34165748833250059</v>
      </c>
    </row>
    <row r="16" spans="1:21" x14ac:dyDescent="0.35">
      <c r="A16" s="10">
        <v>43896</v>
      </c>
      <c r="B16" s="2">
        <v>-3.854867011723502E-2</v>
      </c>
      <c r="C16" s="2">
        <v>-2.2102416877642712E-2</v>
      </c>
      <c r="D16" s="2">
        <v>-2.6867038608362821E-2</v>
      </c>
      <c r="E16" s="2">
        <v>-1.9802627296179751E-2</v>
      </c>
      <c r="F16" s="2">
        <v>-1.4184634991956409E-2</v>
      </c>
      <c r="G16" s="2">
        <v>2.1990017891615241E-2</v>
      </c>
      <c r="H16" s="2">
        <v>-1.500316659204873E-2</v>
      </c>
      <c r="I16" s="2">
        <v>-7.3801072976226447E-3</v>
      </c>
      <c r="J16" s="2">
        <v>-0.1024786692829374</v>
      </c>
      <c r="K16" s="2">
        <v>-4.2761859338081701E-2</v>
      </c>
      <c r="L16" s="2">
        <v>0</v>
      </c>
      <c r="M16" s="2">
        <v>-3.1396854060672039E-2</v>
      </c>
      <c r="N16" s="2">
        <v>-4.9068599365439433E-2</v>
      </c>
      <c r="O16" s="2">
        <v>-5.2446475372542538E-2</v>
      </c>
      <c r="P16" s="2">
        <v>-2.290176428668457E-2</v>
      </c>
      <c r="Q16" s="15">
        <f>AVERAGE(Tableau2[[#This Row],[AWB]:[IAM]])</f>
        <v>-2.8196857706386035E-2</v>
      </c>
      <c r="R16" s="15">
        <f>ABS(Tableau2[[#This Row],[Rm ]])</f>
        <v>2.8196857706386035E-2</v>
      </c>
      <c r="S16" s="15">
        <f>(Tableau2[[#This Row],[Rm ]]-Tableau2[[#Totals],[Rm ]])^2</f>
        <v>8.4033387404789024E-4</v>
      </c>
      <c r="T16" s="15">
        <f t="shared" si="0"/>
        <v>0.2900978754054625</v>
      </c>
      <c r="U16" s="15">
        <f t="shared" si="1"/>
        <v>0.20933716079063863</v>
      </c>
    </row>
    <row r="17" spans="1:21" x14ac:dyDescent="0.35">
      <c r="A17" s="10">
        <v>43899</v>
      </c>
      <c r="B17" s="2">
        <v>-6.2618967280555285E-2</v>
      </c>
      <c r="C17" s="2">
        <v>-8.701137698962981E-2</v>
      </c>
      <c r="D17" s="2">
        <v>-7.5509763464317425E-2</v>
      </c>
      <c r="E17" s="2">
        <v>-8.701137698962981E-2</v>
      </c>
      <c r="F17" s="2">
        <v>-0.1037744725021915</v>
      </c>
      <c r="G17" s="2">
        <v>-0.1042500213737991</v>
      </c>
      <c r="H17" s="2">
        <v>-0.1051021511040056</v>
      </c>
      <c r="I17" s="2">
        <v>-7.5628595902349716E-2</v>
      </c>
      <c r="J17" s="2">
        <v>-2.1819047394639721E-2</v>
      </c>
      <c r="K17" s="2">
        <v>-8.0852096629094899E-2</v>
      </c>
      <c r="L17" s="2">
        <v>-3.045920748470857E-2</v>
      </c>
      <c r="M17" s="2">
        <v>-6.3913325743652771E-2</v>
      </c>
      <c r="N17" s="2">
        <v>-6.212428375919294E-2</v>
      </c>
      <c r="O17" s="2">
        <v>-3.6291673647401317E-2</v>
      </c>
      <c r="P17" s="2">
        <v>-1.9493794681001129E-2</v>
      </c>
      <c r="Q17" s="15">
        <f>AVERAGE(Tableau2[[#This Row],[AWB]:[IAM]])</f>
        <v>-6.7724010329744636E-2</v>
      </c>
      <c r="R17" s="15">
        <f>ABS(Tableau2[[#This Row],[Rm ]])</f>
        <v>6.7724010329744636E-2</v>
      </c>
      <c r="S17" s="15">
        <f>(Tableau2[[#This Row],[Rm ]]-Tableau2[[#Totals],[Rm ]])^2</f>
        <v>4.6943964076779443E-3</v>
      </c>
      <c r="T17" s="15">
        <f t="shared" si="0"/>
        <v>0.3096806766952942</v>
      </c>
      <c r="U17" s="15">
        <f t="shared" si="1"/>
        <v>0.2900978754054625</v>
      </c>
    </row>
    <row r="18" spans="1:21" x14ac:dyDescent="0.35">
      <c r="A18" s="10">
        <v>43902</v>
      </c>
      <c r="B18" s="2">
        <v>-2.3995505556215688E-2</v>
      </c>
      <c r="C18" s="2">
        <v>-8.2988028146950658E-3</v>
      </c>
      <c r="D18" s="2">
        <v>-2.424734176185472E-2</v>
      </c>
      <c r="E18" s="2">
        <v>7.2464085207672533E-3</v>
      </c>
      <c r="F18" s="2">
        <v>2.1944454254559369E-2</v>
      </c>
      <c r="G18" s="2">
        <v>2.601817310422554E-2</v>
      </c>
      <c r="H18" s="2">
        <v>1.8936082702326509E-2</v>
      </c>
      <c r="I18" s="2">
        <v>2.498486308359477E-2</v>
      </c>
      <c r="J18" s="2">
        <v>-2.985296314968116E-2</v>
      </c>
      <c r="K18" s="2">
        <v>-1.8592833076615859E-2</v>
      </c>
      <c r="L18" s="2">
        <v>-5.0509855048958649E-2</v>
      </c>
      <c r="M18" s="2">
        <v>-1.342302033214066E-2</v>
      </c>
      <c r="N18" s="2">
        <v>-4.6490383810311148E-2</v>
      </c>
      <c r="O18" s="2">
        <v>-3.270119783955009E-2</v>
      </c>
      <c r="P18" s="2">
        <v>3.929278139889557E-3</v>
      </c>
      <c r="Q18" s="15">
        <f>AVERAGE(Tableau2[[#This Row],[AWB]:[IAM]])</f>
        <v>-9.670176238977337E-3</v>
      </c>
      <c r="R18" s="15">
        <f>ABS(Tableau2[[#This Row],[Rm ]])</f>
        <v>9.670176238977337E-3</v>
      </c>
      <c r="S18" s="15">
        <f>(Tableau2[[#This Row],[Rm ]]-Tableau2[[#Totals],[Rm ]])^2</f>
        <v>1.0944991472047886E-4</v>
      </c>
      <c r="T18" s="15">
        <f t="shared" si="0"/>
        <v>0.31221055724007613</v>
      </c>
      <c r="U18" s="15">
        <f t="shared" si="1"/>
        <v>0.3096806766952942</v>
      </c>
    </row>
    <row r="19" spans="1:21" x14ac:dyDescent="0.35">
      <c r="A19" s="10">
        <v>43903</v>
      </c>
      <c r="B19" s="2">
        <v>1.18344576470028E-2</v>
      </c>
      <c r="C19" s="2">
        <v>0</v>
      </c>
      <c r="D19" s="2">
        <v>-6.1234882670703752E-3</v>
      </c>
      <c r="E19" s="2">
        <v>-1.4362577589175781E-2</v>
      </c>
      <c r="F19" s="2">
        <v>4.6403795565023009E-3</v>
      </c>
      <c r="G19" s="2">
        <v>-5.9594468637829787E-2</v>
      </c>
      <c r="H19" s="2">
        <v>-3.7447887565497537E-2</v>
      </c>
      <c r="I19" s="2">
        <v>1.2903404835907781E-2</v>
      </c>
      <c r="J19" s="2">
        <v>4.4451762570833803E-2</v>
      </c>
      <c r="K19" s="2">
        <v>-7.7744189539857816E-2</v>
      </c>
      <c r="L19" s="2">
        <v>-2.4391453124159121E-2</v>
      </c>
      <c r="M19" s="2">
        <v>6.7340321813441186E-3</v>
      </c>
      <c r="N19" s="2">
        <v>-2.241359483690001E-2</v>
      </c>
      <c r="O19" s="2">
        <v>-1.1049836186584941E-2</v>
      </c>
      <c r="P19" s="2">
        <v>-7.874056430905883E-3</v>
      </c>
      <c r="Q19" s="15">
        <f>AVERAGE(Tableau2[[#This Row],[AWB]:[IAM]])</f>
        <v>-1.2029167692426032E-2</v>
      </c>
      <c r="R19" s="15">
        <f>ABS(Tableau2[[#This Row],[Rm ]])</f>
        <v>1.2029167692426032E-2</v>
      </c>
      <c r="S19" s="15">
        <f>(Tableau2[[#This Row],[Rm ]]-Tableau2[[#Totals],[Rm ]])^2</f>
        <v>1.6437349677487842E-4</v>
      </c>
      <c r="T19" s="15">
        <f t="shared" si="0"/>
        <v>0.3236802264336423</v>
      </c>
      <c r="U19" s="15">
        <f t="shared" si="1"/>
        <v>0.31221055724007613</v>
      </c>
    </row>
    <row r="20" spans="1:21" x14ac:dyDescent="0.35">
      <c r="A20" s="10">
        <v>43906</v>
      </c>
      <c r="B20" s="2">
        <v>-0.1052298052465559</v>
      </c>
      <c r="C20" s="2">
        <v>-0.1051290609640491</v>
      </c>
      <c r="D20" s="2">
        <v>-0.104351240683956</v>
      </c>
      <c r="E20" s="2">
        <v>-0.10493333474021441</v>
      </c>
      <c r="F20" s="2">
        <v>-0.10398971352404759</v>
      </c>
      <c r="G20" s="2">
        <v>-0.1042452442923253</v>
      </c>
      <c r="H20" s="2">
        <v>-0.1050681607368724</v>
      </c>
      <c r="I20" s="2">
        <v>-0.1039370278729725</v>
      </c>
      <c r="J20" s="2">
        <v>-0.10519949802604781</v>
      </c>
      <c r="K20" s="2">
        <v>-0.105328319389371</v>
      </c>
      <c r="L20" s="2">
        <v>-9.0384061468269064E-2</v>
      </c>
      <c r="M20" s="2">
        <v>-0.1046150814078777</v>
      </c>
      <c r="N20" s="2">
        <v>-0.103880130487392</v>
      </c>
      <c r="O20" s="2">
        <v>-0.10505192130265389</v>
      </c>
      <c r="P20" s="2">
        <v>-5.2750565385528969E-2</v>
      </c>
      <c r="Q20" s="15">
        <f>AVERAGE(Tableau2[[#This Row],[AWB]:[IAM]])</f>
        <v>-0.10027287770187558</v>
      </c>
      <c r="R20" s="15">
        <f>ABS(Tableau2[[#This Row],[Rm ]])</f>
        <v>0.10027287770187558</v>
      </c>
      <c r="S20" s="15">
        <f>(Tableau2[[#This Row],[Rm ]]-Tableau2[[#Totals],[Rm ]])^2</f>
        <v>1.0214039788097224E-2</v>
      </c>
      <c r="T20" s="15">
        <f t="shared" si="0"/>
        <v>7.0468098937982671E-2</v>
      </c>
      <c r="U20" s="15">
        <f t="shared" si="1"/>
        <v>0.3236802264336423</v>
      </c>
    </row>
    <row r="21" spans="1:21" x14ac:dyDescent="0.35">
      <c r="A21" s="10">
        <v>43908</v>
      </c>
      <c r="B21" s="2">
        <v>-8.1525093714090946E-2</v>
      </c>
      <c r="C21" s="2">
        <v>-8.1200517227444466E-2</v>
      </c>
      <c r="D21" s="2">
        <v>-4.0897364922334117E-2</v>
      </c>
      <c r="E21" s="2">
        <v>-7.6692620788254451E-2</v>
      </c>
      <c r="F21" s="2">
        <v>-4.7335742900943063E-2</v>
      </c>
      <c r="G21" s="2">
        <v>-8.1237688895203358E-2</v>
      </c>
      <c r="H21" s="2">
        <v>-8.1261417454621038E-2</v>
      </c>
      <c r="I21" s="2">
        <v>-7.9924175106574902E-2</v>
      </c>
      <c r="J21" s="2">
        <v>-8.0257403611240438E-2</v>
      </c>
      <c r="K21" s="2">
        <v>0</v>
      </c>
      <c r="L21" s="2">
        <v>-4.8310549473220547E-2</v>
      </c>
      <c r="M21" s="2">
        <v>-8.0663864287085635E-2</v>
      </c>
      <c r="N21" s="2">
        <v>-8.0844310922872933E-2</v>
      </c>
      <c r="O21" s="2">
        <v>-6.6659456379285165E-2</v>
      </c>
      <c r="P21" s="2">
        <v>-5.129329438755046E-2</v>
      </c>
      <c r="Q21" s="15">
        <f>AVERAGE(Tableau2[[#This Row],[AWB]:[IAM]])</f>
        <v>-6.5206900004714768E-2</v>
      </c>
      <c r="R21" s="15">
        <f>ABS(Tableau2[[#This Row],[Rm ]])</f>
        <v>6.5206900004714768E-2</v>
      </c>
      <c r="S21" s="15">
        <f>(Tableau2[[#This Row],[Rm ]]-Tableau2[[#Totals],[Rm ]])^2</f>
        <v>4.3558092743661942E-3</v>
      </c>
      <c r="T21" s="15">
        <f t="shared" si="0"/>
        <v>0.26340906476969794</v>
      </c>
      <c r="U21" s="15">
        <f t="shared" si="1"/>
        <v>7.0468098937982671E-2</v>
      </c>
    </row>
    <row r="22" spans="1:21" x14ac:dyDescent="0.35">
      <c r="A22" s="10">
        <v>43909</v>
      </c>
      <c r="B22" s="2">
        <v>3.9209805113510451E-2</v>
      </c>
      <c r="C22" s="2">
        <v>3.9133823372913122E-2</v>
      </c>
      <c r="D22" s="2">
        <v>3.9156599242352631E-2</v>
      </c>
      <c r="E22" s="2">
        <v>3.9186929940156698E-2</v>
      </c>
      <c r="F22" s="2">
        <v>3.180480087006636E-2</v>
      </c>
      <c r="G22" s="2">
        <v>3.4626677309567672E-2</v>
      </c>
      <c r="H22" s="2">
        <v>3.9171933855205593E-2</v>
      </c>
      <c r="I22" s="2">
        <v>3.779739420821706E-2</v>
      </c>
      <c r="J22" s="2">
        <v>1.179340758644825E-2</v>
      </c>
      <c r="K22" s="2">
        <v>3.9146412508069869E-2</v>
      </c>
      <c r="L22" s="2">
        <v>3.9215258374758789E-2</v>
      </c>
      <c r="M22" s="2">
        <v>3.8816754351585263E-2</v>
      </c>
      <c r="N22" s="2">
        <v>3.8541931232183538E-2</v>
      </c>
      <c r="O22" s="2">
        <v>3.9131912782798588E-2</v>
      </c>
      <c r="P22" s="2">
        <v>0</v>
      </c>
      <c r="Q22" s="15">
        <f>AVERAGE(Tableau2[[#This Row],[AWB]:[IAM]])</f>
        <v>3.3782242716522262E-2</v>
      </c>
      <c r="R22" s="15">
        <f>ABS(Tableau2[[#This Row],[Rm ]])</f>
        <v>3.3782242716522262E-2</v>
      </c>
      <c r="S22" s="15">
        <f>(Tableau2[[#This Row],[Rm ]]-Tableau2[[#Totals],[Rm ]])^2</f>
        <v>1.0883788720551677E-3</v>
      </c>
      <c r="T22" s="15">
        <f t="shared" si="0"/>
        <v>8.3966946184016858E-2</v>
      </c>
      <c r="U22" s="15">
        <f t="shared" si="1"/>
        <v>0.26340906476969794</v>
      </c>
    </row>
    <row r="23" spans="1:21" x14ac:dyDescent="0.35">
      <c r="A23" s="10">
        <v>43913</v>
      </c>
      <c r="B23" s="2">
        <v>7.8384141008415301E-2</v>
      </c>
      <c r="C23" s="2">
        <v>7.8202883331629044E-2</v>
      </c>
      <c r="D23" s="2">
        <v>7.786919627634431E-2</v>
      </c>
      <c r="E23" s="2">
        <v>3.9131377042347572E-2</v>
      </c>
      <c r="F23" s="2">
        <v>1.553094203087666E-2</v>
      </c>
      <c r="G23" s="2">
        <v>7.7961541469711917E-2</v>
      </c>
      <c r="H23" s="2">
        <v>7.8258753395432534E-2</v>
      </c>
      <c r="I23" s="2">
        <v>7.5696366621212222E-2</v>
      </c>
      <c r="J23" s="2">
        <v>7.8077914008510066E-2</v>
      </c>
      <c r="K23" s="2">
        <v>7.8278828590129829E-2</v>
      </c>
      <c r="L23" s="2">
        <v>7.8394421989520124E-2</v>
      </c>
      <c r="M23" s="2">
        <v>7.7708984327316322E-2</v>
      </c>
      <c r="N23" s="2">
        <v>7.7189638691129894E-2</v>
      </c>
      <c r="O23" s="2">
        <v>7.8357910732501701E-2</v>
      </c>
      <c r="P23" s="2">
        <v>4.2925044717033838E-2</v>
      </c>
      <c r="Q23" s="15">
        <f>AVERAGE(Tableau2[[#This Row],[AWB]:[IAM]])</f>
        <v>6.8797862948807423E-2</v>
      </c>
      <c r="R23" s="15">
        <f>ABS(Tableau2[[#This Row],[Rm ]])</f>
        <v>6.8797862948807423E-2</v>
      </c>
      <c r="S23" s="15">
        <f>(Tableau2[[#This Row],[Rm ]]-Tableau2[[#Totals],[Rm ]])^2</f>
        <v>4.6248443075660381E-3</v>
      </c>
      <c r="T23" s="15">
        <f t="shared" si="0"/>
        <v>0.19346448642933972</v>
      </c>
      <c r="U23" s="15">
        <f t="shared" si="1"/>
        <v>8.3966946184016858E-2</v>
      </c>
    </row>
    <row r="24" spans="1:21" x14ac:dyDescent="0.35">
      <c r="A24" s="10">
        <v>43914</v>
      </c>
      <c r="B24" s="2">
        <v>6.0332008041676924E-3</v>
      </c>
      <c r="C24" s="2">
        <v>8.8889474172459942E-3</v>
      </c>
      <c r="D24" s="2">
        <v>3.8945436355764869E-2</v>
      </c>
      <c r="E24" s="2">
        <v>3.9025457856361197E-2</v>
      </c>
      <c r="F24" s="2">
        <v>-4.0714979698600169E-2</v>
      </c>
      <c r="G24" s="2">
        <v>3.9042634620177742E-2</v>
      </c>
      <c r="H24" s="2">
        <v>3.8982129902862622E-2</v>
      </c>
      <c r="I24" s="2">
        <v>4.1180566089175476E-3</v>
      </c>
      <c r="J24" s="2">
        <v>1.2518981343716601E-2</v>
      </c>
      <c r="K24" s="2">
        <v>1.9561219042775059E-2</v>
      </c>
      <c r="L24" s="2">
        <v>3.700688358779592E-2</v>
      </c>
      <c r="M24" s="2">
        <v>7.1633544135640444E-3</v>
      </c>
      <c r="N24" s="2">
        <v>2.1202207650602909E-2</v>
      </c>
      <c r="O24" s="2">
        <v>3.9107916356590861E-2</v>
      </c>
      <c r="P24" s="2">
        <v>3.306086226088821E-2</v>
      </c>
      <c r="Q24" s="15">
        <f>AVERAGE(Tableau2[[#This Row],[AWB]:[IAM]])</f>
        <v>2.026282056818874E-2</v>
      </c>
      <c r="R24" s="15">
        <f>ABS(Tableau2[[#This Row],[Rm ]])</f>
        <v>2.026282056818874E-2</v>
      </c>
      <c r="S24" s="15">
        <f>(Tableau2[[#This Row],[Rm ]]-Tableau2[[#Totals],[Rm ]])^2</f>
        <v>3.7912628514506693E-4</v>
      </c>
      <c r="T24" s="15">
        <f t="shared" si="0"/>
        <v>0.23659708917788266</v>
      </c>
      <c r="U24" s="15">
        <f t="shared" si="1"/>
        <v>0.19346448642933972</v>
      </c>
    </row>
    <row r="25" spans="1:21" x14ac:dyDescent="0.35">
      <c r="A25" s="10">
        <v>43915</v>
      </c>
      <c r="B25" s="2">
        <v>-2.8084951549905191E-2</v>
      </c>
      <c r="C25" s="2">
        <v>-4.0637645731826273E-2</v>
      </c>
      <c r="D25" s="2">
        <v>-4.0171124345872972E-2</v>
      </c>
      <c r="E25" s="2">
        <v>0</v>
      </c>
      <c r="F25" s="2">
        <v>-4.0212822752128383E-2</v>
      </c>
      <c r="G25" s="2">
        <v>-2.0693495951981191E-2</v>
      </c>
      <c r="H25" s="2">
        <v>-3.7291988655457381E-2</v>
      </c>
      <c r="I25" s="2">
        <v>-4.0536647107846727E-2</v>
      </c>
      <c r="J25" s="2">
        <v>-1.2518981343716481E-2</v>
      </c>
      <c r="K25" s="2">
        <v>-1.8130808271059631E-2</v>
      </c>
      <c r="L25" s="2">
        <v>-4.0290544027543139E-2</v>
      </c>
      <c r="M25" s="2">
        <v>-3.338481302320568E-2</v>
      </c>
      <c r="N25" s="2">
        <v>-3.776722452529812E-2</v>
      </c>
      <c r="O25" s="2">
        <v>-2.3684942231731319E-2</v>
      </c>
      <c r="P25" s="2">
        <v>-8.1633106391610939E-3</v>
      </c>
      <c r="Q25" s="15">
        <f>AVERAGE(Tableau2[[#This Row],[AWB]:[IAM]])</f>
        <v>-2.8104620010448902E-2</v>
      </c>
      <c r="R25" s="15">
        <f>ABS(Tableau2[[#This Row],[Rm ]])</f>
        <v>2.8104620010448902E-2</v>
      </c>
      <c r="S25" s="15">
        <f>(Tableau2[[#This Row],[Rm ]]-Tableau2[[#Totals],[Rm ]])^2</f>
        <v>8.3499471458278957E-4</v>
      </c>
      <c r="T25" s="15">
        <f t="shared" si="0"/>
        <v>0.15229981142463955</v>
      </c>
      <c r="U25" s="15">
        <f t="shared" si="1"/>
        <v>0.23659708917788266</v>
      </c>
    </row>
    <row r="26" spans="1:21" x14ac:dyDescent="0.35">
      <c r="A26" s="10">
        <v>43916</v>
      </c>
      <c r="B26" s="2">
        <v>-2.5982269720370529E-2</v>
      </c>
      <c r="C26" s="2">
        <v>-9.2208397496831385E-4</v>
      </c>
      <c r="D26" s="2">
        <v>1.9496286934454481E-2</v>
      </c>
      <c r="E26" s="2">
        <v>3.8123570873139737E-2</v>
      </c>
      <c r="F26" s="2">
        <v>-1.6096173831331051E-2</v>
      </c>
      <c r="G26" s="2">
        <v>-1.6807118316381171E-2</v>
      </c>
      <c r="H26" s="2">
        <v>-2.941808599562162E-2</v>
      </c>
      <c r="I26" s="2">
        <v>-3.4836614122315118E-2</v>
      </c>
      <c r="J26" s="2">
        <v>-4.0516401501341753E-2</v>
      </c>
      <c r="K26" s="2">
        <v>-1.410704264170644E-2</v>
      </c>
      <c r="L26" s="2">
        <v>5.6764580048051221E-3</v>
      </c>
      <c r="M26" s="2">
        <v>-1.4870162479451389E-2</v>
      </c>
      <c r="N26" s="2">
        <v>-1.453488627983198E-3</v>
      </c>
      <c r="O26" s="2">
        <v>4.8970283660981339E-3</v>
      </c>
      <c r="P26" s="2">
        <v>-1.6529301951210471E-2</v>
      </c>
      <c r="Q26" s="15">
        <f>AVERAGE(Tableau2[[#This Row],[AWB]:[IAM]])</f>
        <v>-9.5563599322789055E-3</v>
      </c>
      <c r="R26" s="15">
        <f>ABS(Tableau2[[#This Row],[Rm ]])</f>
        <v>9.5563599322789055E-3</v>
      </c>
      <c r="S26" s="15">
        <f>(Tableau2[[#This Row],[Rm ]]-Tableau2[[#Totals],[Rm ]])^2</f>
        <v>1.0708141486620319E-4</v>
      </c>
      <c r="T26" s="15">
        <f t="shared" si="0"/>
        <v>0.2398037831207693</v>
      </c>
      <c r="U26" s="15">
        <f t="shared" si="1"/>
        <v>0.15229981142463955</v>
      </c>
    </row>
    <row r="27" spans="1:21" x14ac:dyDescent="0.35">
      <c r="A27" s="10">
        <v>43917</v>
      </c>
      <c r="B27" s="2">
        <v>-1.6269194688563419E-2</v>
      </c>
      <c r="C27" s="2">
        <v>9.2208397496833878E-4</v>
      </c>
      <c r="D27" s="2">
        <v>-4.0038924609051382E-2</v>
      </c>
      <c r="E27" s="2">
        <v>-4.0665365183260138E-2</v>
      </c>
      <c r="F27" s="2">
        <v>-4.0625472951380602E-2</v>
      </c>
      <c r="G27" s="2">
        <v>-4.0565222147551559E-2</v>
      </c>
      <c r="H27" s="2">
        <v>3.6709200740620278E-2</v>
      </c>
      <c r="I27" s="2">
        <v>-1.0393560527263189E-2</v>
      </c>
      <c r="J27" s="2">
        <v>3.7162033688768047E-2</v>
      </c>
      <c r="K27" s="2">
        <v>-3.9626710316877978E-2</v>
      </c>
      <c r="L27" s="2">
        <v>0</v>
      </c>
      <c r="M27" s="2">
        <v>-1.890415463915272E-2</v>
      </c>
      <c r="N27" s="2">
        <v>-1.8349138668196541E-2</v>
      </c>
      <c r="O27" s="2">
        <v>2.2728251077556091E-2</v>
      </c>
      <c r="P27" s="2">
        <v>-2.1053409197832381E-2</v>
      </c>
      <c r="Q27" s="15">
        <f>AVERAGE(Tableau2[[#This Row],[AWB]:[IAM]])</f>
        <v>-1.2597972229814477E-2</v>
      </c>
      <c r="R27" s="15">
        <f>ABS(Tableau2[[#This Row],[Rm ]])</f>
        <v>1.2597972229814477E-2</v>
      </c>
      <c r="S27" s="15">
        <f>(Tableau2[[#This Row],[Rm ]]-Tableau2[[#Totals],[Rm ]])^2</f>
        <v>1.7928211971809653E-4</v>
      </c>
      <c r="T27" s="15">
        <f t="shared" si="0"/>
        <v>0.31753994349692277</v>
      </c>
      <c r="U27" s="15">
        <f t="shared" si="1"/>
        <v>0.2398037831207693</v>
      </c>
    </row>
    <row r="28" spans="1:21" x14ac:dyDescent="0.35">
      <c r="A28" s="10">
        <v>43923</v>
      </c>
      <c r="B28" s="2">
        <v>-2.698078910525328E-2</v>
      </c>
      <c r="C28" s="2">
        <v>-9.2593254127967123E-3</v>
      </c>
      <c r="D28" s="2">
        <v>-2.6979933638437831E-2</v>
      </c>
      <c r="E28" s="2">
        <v>-4.7714001075794432E-2</v>
      </c>
      <c r="F28" s="2">
        <v>-0.161513805592297</v>
      </c>
      <c r="G28" s="2">
        <v>-3.9605896441089188E-2</v>
      </c>
      <c r="H28" s="2">
        <v>-0.15015383479840569</v>
      </c>
      <c r="I28" s="2">
        <v>-3.6478208602409933E-2</v>
      </c>
      <c r="J28" s="2">
        <v>-2.429269256904459E-2</v>
      </c>
      <c r="K28" s="2">
        <v>1.05027221991492E-2</v>
      </c>
      <c r="L28" s="2">
        <v>-1.138532222512535E-2</v>
      </c>
      <c r="M28" s="2">
        <v>-2.3948614616354499E-2</v>
      </c>
      <c r="N28" s="2">
        <v>-3.7740327982847093E-2</v>
      </c>
      <c r="O28" s="2">
        <v>-5.6338177182560191E-3</v>
      </c>
      <c r="P28" s="2">
        <v>-6.5957967791797398E-2</v>
      </c>
      <c r="Q28" s="15">
        <f>AVERAGE(Tableau2[[#This Row],[AWB]:[IAM]])</f>
        <v>-4.3809454358050642E-2</v>
      </c>
      <c r="R28" s="15">
        <f>ABS(Tableau2[[#This Row],[Rm ]])</f>
        <v>4.3809454358050642E-2</v>
      </c>
      <c r="S28" s="15">
        <f>(Tableau2[[#This Row],[Rm ]]-Tableau2[[#Totals],[Rm ]])^2</f>
        <v>1.9892589638456784E-3</v>
      </c>
      <c r="T28" s="15">
        <f t="shared" si="0"/>
        <v>0.47953163778068675</v>
      </c>
      <c r="U28" s="15">
        <f t="shared" si="1"/>
        <v>0.31753994349692277</v>
      </c>
    </row>
    <row r="29" spans="1:21" x14ac:dyDescent="0.35">
      <c r="A29" s="10">
        <v>43924</v>
      </c>
      <c r="B29" s="2">
        <v>-2.2347298691996659E-2</v>
      </c>
      <c r="C29" s="2">
        <v>-2.3530497410194161E-2</v>
      </c>
      <c r="D29" s="2">
        <v>-4.0475138009622512E-2</v>
      </c>
      <c r="E29" s="2">
        <v>-4.0650893484676362E-2</v>
      </c>
      <c r="F29" s="2">
        <v>1.60369989098171E-2</v>
      </c>
      <c r="G29" s="2">
        <v>1.6680571006970129E-3</v>
      </c>
      <c r="H29" s="2">
        <v>-4.0754356115142942E-2</v>
      </c>
      <c r="I29" s="2">
        <v>1.383573185265001E-2</v>
      </c>
      <c r="J29" s="2">
        <v>-4.013916759034427E-2</v>
      </c>
      <c r="K29" s="2">
        <v>0</v>
      </c>
      <c r="L29" s="2">
        <v>1.7654935238720741E-2</v>
      </c>
      <c r="M29" s="2">
        <v>-3.096714297976013E-2</v>
      </c>
      <c r="N29" s="2">
        <v>-3.5228691883743828E-2</v>
      </c>
      <c r="O29" s="2">
        <v>-1.13637586503151E-2</v>
      </c>
      <c r="P29" s="2">
        <v>1.8018505502678209E-2</v>
      </c>
      <c r="Q29" s="15">
        <f>AVERAGE(Tableau2[[#This Row],[AWB]:[IAM]])</f>
        <v>-1.4549514414082195E-2</v>
      </c>
      <c r="R29" s="15">
        <f>ABS(Tableau2[[#This Row],[Rm ]])</f>
        <v>1.4549514414082195E-2</v>
      </c>
      <c r="S29" s="15">
        <f>(Tableau2[[#This Row],[Rm ]]-Tableau2[[#Totals],[Rm ]])^2</f>
        <v>2.3535148170093504E-4</v>
      </c>
      <c r="T29" s="15">
        <f t="shared" si="0"/>
        <v>0.28499732311667025</v>
      </c>
      <c r="U29" s="15">
        <f t="shared" si="1"/>
        <v>0.47953163778068675</v>
      </c>
    </row>
    <row r="30" spans="1:21" x14ac:dyDescent="0.35">
      <c r="A30" s="10">
        <v>43927</v>
      </c>
      <c r="B30" s="2">
        <v>-4.0792569341127217E-2</v>
      </c>
      <c r="C30" s="2">
        <v>-9.5694510161506725E-3</v>
      </c>
      <c r="D30" s="2">
        <v>-3.5249744804353658E-4</v>
      </c>
      <c r="E30" s="2">
        <v>0</v>
      </c>
      <c r="F30" s="2">
        <v>-2.2989518224698718E-2</v>
      </c>
      <c r="G30" s="2">
        <v>-4.0474832565718342E-2</v>
      </c>
      <c r="H30" s="2">
        <v>-4.0723363379506022E-2</v>
      </c>
      <c r="I30" s="2">
        <v>-2.4730781257717108E-2</v>
      </c>
      <c r="J30" s="2">
        <v>-1.707942345156147E-3</v>
      </c>
      <c r="K30" s="2">
        <v>0</v>
      </c>
      <c r="L30" s="2">
        <v>-1.38454068220531E-2</v>
      </c>
      <c r="M30" s="2">
        <v>-3.6128724088505537E-2</v>
      </c>
      <c r="N30" s="2">
        <v>-2.8284713838581992E-2</v>
      </c>
      <c r="O30" s="2">
        <v>2.856734771607867E-4</v>
      </c>
      <c r="P30" s="2">
        <v>-1.801850550267825E-2</v>
      </c>
      <c r="Q30" s="15">
        <f>AVERAGE(Tableau2[[#This Row],[AWB]:[IAM]])</f>
        <v>-1.8488842156851721E-2</v>
      </c>
      <c r="R30" s="15">
        <f>ABS(Tableau2[[#This Row],[Rm ]])</f>
        <v>1.8488842156851721E-2</v>
      </c>
      <c r="S30" s="15">
        <f>(Tableau2[[#This Row],[Rm ]]-Tableau2[[#Totals],[Rm ]])^2</f>
        <v>3.7173757402044562E-4</v>
      </c>
      <c r="T30" s="15">
        <f t="shared" si="0"/>
        <v>0.20896623431855715</v>
      </c>
      <c r="U30" s="15">
        <f t="shared" si="1"/>
        <v>0.28499732311667025</v>
      </c>
    </row>
    <row r="31" spans="1:21" x14ac:dyDescent="0.35">
      <c r="A31" s="10">
        <v>43928</v>
      </c>
      <c r="B31" s="2">
        <v>-4.0687140193372329E-2</v>
      </c>
      <c r="C31" s="2">
        <v>-4.0721839279548533E-2</v>
      </c>
      <c r="D31" s="2">
        <v>-4.0727983050786551E-2</v>
      </c>
      <c r="E31" s="2">
        <v>-2.95160315565654E-2</v>
      </c>
      <c r="F31" s="2">
        <v>-4.0579775795563662E-2</v>
      </c>
      <c r="G31" s="2">
        <v>-2.8518038921233099E-2</v>
      </c>
      <c r="H31" s="2">
        <v>3.7675096836256063E-2</v>
      </c>
      <c r="I31" s="2">
        <v>7.7942717268189229E-3</v>
      </c>
      <c r="J31" s="2">
        <v>8.5106896679086105E-3</v>
      </c>
      <c r="K31" s="2">
        <v>-1.5037877364540561E-2</v>
      </c>
      <c r="L31" s="2">
        <v>1.266624615192983E-3</v>
      </c>
      <c r="M31" s="2">
        <v>3.6128724088505482E-2</v>
      </c>
      <c r="N31" s="2">
        <v>-3.843413733926046E-2</v>
      </c>
      <c r="O31" s="2">
        <v>-1.757717058722175E-2</v>
      </c>
      <c r="P31" s="2">
        <v>0</v>
      </c>
      <c r="Q31" s="15">
        <f>AVERAGE(Tableau2[[#This Row],[AWB]:[IAM]])</f>
        <v>-1.3361639143560684E-2</v>
      </c>
      <c r="R31" s="15">
        <f>ABS(Tableau2[[#This Row],[Rm ]])</f>
        <v>1.3361639143560684E-2</v>
      </c>
      <c r="S31" s="15">
        <f>(Tableau2[[#This Row],[Rm ]]-Tableau2[[#Totals],[Rm ]])^2</f>
        <v>2.0031573761372559E-4</v>
      </c>
      <c r="T31" s="15">
        <f t="shared" si="0"/>
        <v>0.33061962039143572</v>
      </c>
      <c r="U31" s="15">
        <f t="shared" si="1"/>
        <v>0.20896623431855715</v>
      </c>
    </row>
    <row r="32" spans="1:21" x14ac:dyDescent="0.35">
      <c r="A32" s="10">
        <v>43929</v>
      </c>
      <c r="B32" s="2">
        <v>3.8182903781175233E-2</v>
      </c>
      <c r="C32" s="2">
        <v>6.4886676373062686E-3</v>
      </c>
      <c r="D32" s="2">
        <v>1.255307682360054E-2</v>
      </c>
      <c r="E32" s="2">
        <v>0</v>
      </c>
      <c r="F32" s="2">
        <v>-4.0781630436211587E-2</v>
      </c>
      <c r="G32" s="2">
        <v>2.8170876966696439E-2</v>
      </c>
      <c r="H32" s="2">
        <v>1.079632619022286E-2</v>
      </c>
      <c r="I32" s="2">
        <v>1.0810916104215459E-2</v>
      </c>
      <c r="J32" s="2">
        <v>3.3172472402645578E-2</v>
      </c>
      <c r="K32" s="2">
        <v>1.50378773645405E-2</v>
      </c>
      <c r="L32" s="2">
        <v>1.3828001607292121E-2</v>
      </c>
      <c r="M32" s="2">
        <v>-3.9478810973787463E-2</v>
      </c>
      <c r="N32" s="2">
        <v>-1.9785591666159071E-2</v>
      </c>
      <c r="O32" s="2">
        <v>1.671990521110342E-2</v>
      </c>
      <c r="P32" s="2">
        <v>3.5718082602079253E-2</v>
      </c>
      <c r="Q32" s="15">
        <f>AVERAGE(Tableau2[[#This Row],[AWB]:[IAM]])</f>
        <v>8.0955382409813037E-3</v>
      </c>
      <c r="R32" s="15">
        <f>ABS(Tableau2[[#This Row],[Rm ]])</f>
        <v>8.0955382409813037E-3</v>
      </c>
      <c r="S32" s="15">
        <f>(Tableau2[[#This Row],[Rm ]]-Tableau2[[#Totals],[Rm ]])^2</f>
        <v>5.3346709107967759E-5</v>
      </c>
      <c r="T32" s="15">
        <f t="shared" si="0"/>
        <v>0.24228907188382531</v>
      </c>
      <c r="U32" s="15">
        <f t="shared" si="1"/>
        <v>0.33061962039143572</v>
      </c>
    </row>
    <row r="33" spans="1:21" x14ac:dyDescent="0.35">
      <c r="A33" s="10">
        <v>43930</v>
      </c>
      <c r="B33" s="2">
        <v>1.17303397854896E-2</v>
      </c>
      <c r="C33" s="2">
        <v>-1.0000083334583311E-2</v>
      </c>
      <c r="D33" s="2">
        <v>0</v>
      </c>
      <c r="E33" s="2">
        <v>0</v>
      </c>
      <c r="F33" s="2">
        <v>9.0407446521490239E-3</v>
      </c>
      <c r="G33" s="2">
        <v>-2.8170876966696339E-2</v>
      </c>
      <c r="H33" s="2">
        <v>-2.7212563524884811E-2</v>
      </c>
      <c r="I33" s="2">
        <v>1.6755913728439081E-2</v>
      </c>
      <c r="J33" s="2">
        <v>5.0699266338005908E-3</v>
      </c>
      <c r="K33" s="2">
        <v>0</v>
      </c>
      <c r="L33" s="2">
        <v>1.732716617250353E-2</v>
      </c>
      <c r="M33" s="2">
        <v>0</v>
      </c>
      <c r="N33" s="2">
        <v>3.2481487968899103E-2</v>
      </c>
      <c r="O33" s="2">
        <v>-1.0922787526777521E-2</v>
      </c>
      <c r="P33" s="2">
        <v>0</v>
      </c>
      <c r="Q33" s="15">
        <f>AVERAGE(Tableau2[[#This Row],[AWB]:[IAM]])</f>
        <v>1.0732845058892629E-3</v>
      </c>
      <c r="R33" s="15">
        <f>ABS(Tableau2[[#This Row],[Rm ]])</f>
        <v>1.0732845058892629E-3</v>
      </c>
      <c r="S33" s="15">
        <f>(Tableau2[[#This Row],[Rm ]]-Tableau2[[#Totals],[Rm ]])^2</f>
        <v>7.9315128849584561E-8</v>
      </c>
      <c r="T33" s="15">
        <f t="shared" si="0"/>
        <v>0.17093001160639407</v>
      </c>
      <c r="U33" s="15">
        <f t="shared" si="1"/>
        <v>0.24228907188382531</v>
      </c>
    </row>
    <row r="34" spans="1:21" x14ac:dyDescent="0.35">
      <c r="A34" s="10">
        <v>43935</v>
      </c>
      <c r="B34" s="2">
        <v>-5.8479698824230996E-3</v>
      </c>
      <c r="C34" s="2">
        <v>3.9413968540876629E-2</v>
      </c>
      <c r="D34" s="2">
        <v>0</v>
      </c>
      <c r="E34" s="2">
        <v>1.31292914417928E-2</v>
      </c>
      <c r="F34" s="2">
        <v>3.6813973122716399E-2</v>
      </c>
      <c r="G34" s="2">
        <v>0</v>
      </c>
      <c r="H34" s="2">
        <v>-1.0747199993200529E-2</v>
      </c>
      <c r="I34" s="2">
        <v>-1.5117160853218561E-3</v>
      </c>
      <c r="J34" s="2">
        <v>-6.3994895138860947E-2</v>
      </c>
      <c r="K34" s="2">
        <v>0</v>
      </c>
      <c r="L34" s="2">
        <v>1.823758754978079E-2</v>
      </c>
      <c r="M34" s="2">
        <v>6.6889881507967101E-3</v>
      </c>
      <c r="N34" s="2">
        <v>1.3366949233973529E-2</v>
      </c>
      <c r="O34" s="2">
        <v>1.149437942573521E-2</v>
      </c>
      <c r="P34" s="2">
        <v>0</v>
      </c>
      <c r="Q34" s="15">
        <f>AVERAGE(Tableau2[[#This Row],[AWB]:[IAM]])</f>
        <v>3.802890424391042E-3</v>
      </c>
      <c r="R34" s="15">
        <f>ABS(Tableau2[[#This Row],[Rm ]])</f>
        <v>3.802890424391042E-3</v>
      </c>
      <c r="S34" s="15">
        <f>(Tableau2[[#This Row],[Rm ]]-Tableau2[[#Totals],[Rm ]])^2</f>
        <v>9.0675382493010611E-6</v>
      </c>
      <c r="T34" s="15">
        <f t="shared" si="0"/>
        <v>0.22150044459377125</v>
      </c>
      <c r="U34" s="15">
        <f t="shared" si="1"/>
        <v>0.17093001160639407</v>
      </c>
    </row>
    <row r="35" spans="1:21" x14ac:dyDescent="0.35">
      <c r="A35" s="10">
        <v>43938</v>
      </c>
      <c r="B35" s="2">
        <v>-2.9009099983084801E-2</v>
      </c>
      <c r="C35" s="2">
        <v>-3.9665256392431507E-2</v>
      </c>
      <c r="D35" s="2">
        <v>-3.6410623959635853E-2</v>
      </c>
      <c r="E35" s="2">
        <v>-4.3573053689557007E-3</v>
      </c>
      <c r="F35" s="2">
        <v>6.3652409712169952E-3</v>
      </c>
      <c r="G35" s="2">
        <v>-1.0772096981911179E-2</v>
      </c>
      <c r="H35" s="2">
        <v>-1.3686825344081541E-2</v>
      </c>
      <c r="I35" s="2">
        <v>4.5283096247473887E-3</v>
      </c>
      <c r="J35" s="2">
        <v>-2.055769489668215E-2</v>
      </c>
      <c r="K35" s="2">
        <v>1.157454678793924E-2</v>
      </c>
      <c r="L35" s="2">
        <v>1.197619104671562E-2</v>
      </c>
      <c r="M35" s="2">
        <v>0</v>
      </c>
      <c r="N35" s="2">
        <v>-2.947581813295358E-2</v>
      </c>
      <c r="O35" s="2">
        <v>-2.312241742085426E-2</v>
      </c>
      <c r="P35" s="2">
        <v>-8.810629682154807E-3</v>
      </c>
      <c r="Q35" s="15">
        <f>AVERAGE(Tableau2[[#This Row],[AWB]:[IAM]])</f>
        <v>-1.2094898648808411E-2</v>
      </c>
      <c r="R35" s="15">
        <f>ABS(Tableau2[[#This Row],[Rm ]])</f>
        <v>1.2094898648808411E-2</v>
      </c>
      <c r="S35" s="15">
        <f>(Tableau2[[#This Row],[Rm ]]-Tableau2[[#Totals],[Rm ]])^2</f>
        <v>1.6606326721947808E-4</v>
      </c>
      <c r="T35" s="15">
        <f t="shared" si="0"/>
        <v>0.21146157347391964</v>
      </c>
      <c r="U35" s="15">
        <f t="shared" si="1"/>
        <v>0.22150044459377125</v>
      </c>
    </row>
    <row r="36" spans="1:21" x14ac:dyDescent="0.35">
      <c r="A36" s="10">
        <v>43945</v>
      </c>
      <c r="B36" s="2">
        <v>-3.7807228399060438E-3</v>
      </c>
      <c r="C36" s="2">
        <v>-1.4938877642420389E-2</v>
      </c>
      <c r="D36" s="2">
        <v>-4.6179809538341311E-2</v>
      </c>
      <c r="E36" s="2">
        <v>-1.540184461150659E-2</v>
      </c>
      <c r="F36" s="2">
        <v>3.8400772898489713E-2</v>
      </c>
      <c r="G36" s="2">
        <v>-0.10857466065065501</v>
      </c>
      <c r="H36" s="2">
        <v>-7.443420095174344E-2</v>
      </c>
      <c r="I36" s="2">
        <v>-0.13870828080405631</v>
      </c>
      <c r="J36" s="2">
        <v>4.614068510836139E-2</v>
      </c>
      <c r="K36" s="2">
        <v>-1.15745467879392E-2</v>
      </c>
      <c r="L36" s="2">
        <v>2.3781224049674188E-3</v>
      </c>
      <c r="M36" s="2">
        <v>0</v>
      </c>
      <c r="N36" s="2">
        <v>-2.1599111803461819E-2</v>
      </c>
      <c r="O36" s="2">
        <v>0</v>
      </c>
      <c r="P36" s="2">
        <v>5.1735674399188677E-2</v>
      </c>
      <c r="Q36" s="15">
        <f>AVERAGE(Tableau2[[#This Row],[AWB]:[IAM]])</f>
        <v>-1.9769120054601522E-2</v>
      </c>
      <c r="R36" s="15">
        <f>ABS(Tableau2[[#This Row],[Rm ]])</f>
        <v>1.9769120054601522E-2</v>
      </c>
      <c r="S36" s="15">
        <f>(Tableau2[[#This Row],[Rm ]]-Tableau2[[#Totals],[Rm ]])^2</f>
        <v>4.2274547447710911E-4</v>
      </c>
      <c r="T36" s="15">
        <f t="shared" si="0"/>
        <v>0.51456311879362959</v>
      </c>
      <c r="U36" s="15">
        <f t="shared" si="1"/>
        <v>0.21146157347391964</v>
      </c>
    </row>
    <row r="37" spans="1:21" x14ac:dyDescent="0.35">
      <c r="A37" s="10">
        <v>43948</v>
      </c>
      <c r="B37" s="2">
        <v>1.5187119958653879E-2</v>
      </c>
      <c r="C37" s="2">
        <v>1.0152371464017909E-2</v>
      </c>
      <c r="D37" s="2">
        <v>-3.071504349116386E-2</v>
      </c>
      <c r="E37" s="2">
        <v>6.6298585386695827E-3</v>
      </c>
      <c r="F37" s="2">
        <v>1.3730192811902041E-2</v>
      </c>
      <c r="G37" s="2">
        <v>0</v>
      </c>
      <c r="H37" s="2">
        <v>2.7409262306880539E-2</v>
      </c>
      <c r="I37" s="2">
        <v>-1.3937507843781619E-2</v>
      </c>
      <c r="J37" s="2">
        <v>1.9639741626600361E-2</v>
      </c>
      <c r="K37" s="2">
        <v>0</v>
      </c>
      <c r="L37" s="2">
        <v>9.4563352420354435E-3</v>
      </c>
      <c r="M37" s="2">
        <v>8.2988028146950641E-3</v>
      </c>
      <c r="N37" s="2">
        <v>0</v>
      </c>
      <c r="O37" s="2">
        <v>2.9235492095380588E-4</v>
      </c>
      <c r="P37" s="2">
        <v>-1.694955831377332E-2</v>
      </c>
      <c r="Q37" s="15">
        <f>AVERAGE(Tableau2[[#This Row],[AWB]:[IAM]])</f>
        <v>3.2795953357126558E-3</v>
      </c>
      <c r="R37" s="15">
        <f>ABS(Tableau2[[#This Row],[Rm ]])</f>
        <v>3.2795953357126558E-3</v>
      </c>
      <c r="S37" s="15">
        <f>(Tableau2[[#This Row],[Rm ]]-Tableau2[[#Totals],[Rm ]])^2</f>
        <v>6.189846674677347E-6</v>
      </c>
      <c r="T37" s="15">
        <f t="shared" si="0"/>
        <v>0.14965330074932023</v>
      </c>
      <c r="U37" s="15">
        <f t="shared" si="1"/>
        <v>0.51456311879362959</v>
      </c>
    </row>
    <row r="38" spans="1:21" x14ac:dyDescent="0.35">
      <c r="A38" s="10">
        <v>43950</v>
      </c>
      <c r="B38" s="2">
        <v>4.9493436545962582E-2</v>
      </c>
      <c r="C38" s="2">
        <v>1.0800054744047429E-2</v>
      </c>
      <c r="D38" s="2">
        <v>1.1066795770557801E-2</v>
      </c>
      <c r="E38" s="2">
        <v>2.608843608429787E-2</v>
      </c>
      <c r="F38" s="2">
        <v>-1.234865908997752E-2</v>
      </c>
      <c r="G38" s="2">
        <v>3.9065926371763253E-2</v>
      </c>
      <c r="H38" s="2">
        <v>3.8864524369462097E-2</v>
      </c>
      <c r="I38" s="2">
        <v>3.9558038169129527E-2</v>
      </c>
      <c r="J38" s="2">
        <v>-2.6631174194836618E-3</v>
      </c>
      <c r="K38" s="2">
        <v>0</v>
      </c>
      <c r="L38" s="2">
        <v>-1.960264729351344E-2</v>
      </c>
      <c r="M38" s="2">
        <v>5.9359845659119642E-2</v>
      </c>
      <c r="N38" s="2">
        <v>4.5248862687054719E-2</v>
      </c>
      <c r="O38" s="2">
        <v>3.9827638868471363E-2</v>
      </c>
      <c r="P38" s="2">
        <v>1.694955831377342E-2</v>
      </c>
      <c r="Q38" s="15">
        <f>AVERAGE(Tableau2[[#This Row],[AWB]:[IAM]])</f>
        <v>2.2780579585377672E-2</v>
      </c>
      <c r="R38" s="15">
        <f>ABS(Tableau2[[#This Row],[Rm ]])</f>
        <v>2.2780579585377672E-2</v>
      </c>
      <c r="S38" s="15">
        <f>(Tableau2[[#This Row],[Rm ]]-Tableau2[[#Totals],[Rm ]])^2</f>
        <v>4.8351280053802E-4</v>
      </c>
      <c r="T38" s="15">
        <f t="shared" si="0"/>
        <v>0.30508185762431539</v>
      </c>
      <c r="U38" s="15">
        <f t="shared" si="1"/>
        <v>0.14965330074932023</v>
      </c>
    </row>
    <row r="39" spans="1:21" x14ac:dyDescent="0.35">
      <c r="A39" s="10">
        <v>43951</v>
      </c>
      <c r="B39" s="2">
        <v>1.1719159890418921E-2</v>
      </c>
      <c r="C39" s="2">
        <v>1.9052908405633801E-2</v>
      </c>
      <c r="D39" s="2">
        <v>3.9226892687282633E-2</v>
      </c>
      <c r="E39" s="2">
        <v>-8.404316249425111E-3</v>
      </c>
      <c r="F39" s="2">
        <v>1.2348659089977589E-2</v>
      </c>
      <c r="G39" s="2">
        <v>3.9086743712998882E-2</v>
      </c>
      <c r="H39" s="2">
        <v>3.9124794492232218E-2</v>
      </c>
      <c r="I39" s="2">
        <v>-5.0718620979602284E-3</v>
      </c>
      <c r="J39" s="2">
        <v>3.278982282299097E-2</v>
      </c>
      <c r="K39" s="2">
        <v>-2.9855202490752331E-4</v>
      </c>
      <c r="L39" s="2">
        <v>1.9602647293513419E-2</v>
      </c>
      <c r="M39" s="2">
        <v>2.385646036195847E-2</v>
      </c>
      <c r="N39" s="2">
        <v>1.8197359051907509E-2</v>
      </c>
      <c r="O39" s="2">
        <v>1.117330059812525E-2</v>
      </c>
      <c r="P39" s="2">
        <v>-8.4388686458645949E-3</v>
      </c>
      <c r="Q39" s="15">
        <f>AVERAGE(Tableau2[[#This Row],[AWB]:[IAM]])</f>
        <v>1.6264343292592146E-2</v>
      </c>
      <c r="R39" s="15">
        <f>ABS(Tableau2[[#This Row],[Rm ]])</f>
        <v>1.6264343292592146E-2</v>
      </c>
      <c r="S39" s="15">
        <f>(Tableau2[[#This Row],[Rm ]]-Tableau2[[#Totals],[Rm ]])^2</f>
        <v>2.3940408026712685E-4</v>
      </c>
      <c r="T39" s="15">
        <f t="shared" si="0"/>
        <v>0.17858943383300183</v>
      </c>
      <c r="U39" s="15">
        <f t="shared" si="1"/>
        <v>0.30508185762431539</v>
      </c>
    </row>
    <row r="40" spans="1:21" x14ac:dyDescent="0.35">
      <c r="A40" s="10">
        <v>43977</v>
      </c>
      <c r="B40" s="2">
        <v>-2.0420448653134051E-2</v>
      </c>
      <c r="C40" s="2">
        <v>4.8899852941917711E-3</v>
      </c>
      <c r="D40" s="2">
        <v>1.8065402507209539E-2</v>
      </c>
      <c r="E40" s="2">
        <v>3.8004786025715817E-2</v>
      </c>
      <c r="F40" s="2">
        <v>0.32701204537026252</v>
      </c>
      <c r="G40" s="2">
        <v>0.14297678185774629</v>
      </c>
      <c r="H40" s="2">
        <v>0.1999229619942815</v>
      </c>
      <c r="I40" s="2">
        <v>0.1316227927449628</v>
      </c>
      <c r="J40" s="2">
        <v>6.7055512146725255E-2</v>
      </c>
      <c r="K40" s="2">
        <v>5.9701494310589306E-4</v>
      </c>
      <c r="L40" s="2">
        <v>8.2015691134177098E-3</v>
      </c>
      <c r="M40" s="2">
        <v>5.9057749643601151E-2</v>
      </c>
      <c r="N40" s="2">
        <v>0.13045288839743521</v>
      </c>
      <c r="O40" s="2">
        <v>6.6359778308093822E-2</v>
      </c>
      <c r="P40" s="2">
        <v>7.350246199292633E-2</v>
      </c>
      <c r="Q40" s="15">
        <f>AVERAGE(Tableau2[[#This Row],[AWB]:[IAM]])</f>
        <v>8.3153418779102775E-2</v>
      </c>
      <c r="R40" s="15">
        <f>ABS(Tableau2[[#This Row],[Rm ]])</f>
        <v>8.3153418779102775E-2</v>
      </c>
      <c r="S40" s="15">
        <f>(Tableau2[[#This Row],[Rm ]]-Tableau2[[#Totals],[Rm ]])^2</f>
        <v>6.7834601182590291E-3</v>
      </c>
      <c r="T40" s="15">
        <f t="shared" si="0"/>
        <v>1.0234331932712513</v>
      </c>
      <c r="U40" s="15">
        <f t="shared" si="1"/>
        <v>0.17858943383300183</v>
      </c>
    </row>
    <row r="41" spans="1:21" x14ac:dyDescent="0.35">
      <c r="A41" s="10">
        <v>43978</v>
      </c>
      <c r="B41" s="2">
        <v>1.70458672729886E-2</v>
      </c>
      <c r="C41" s="2">
        <v>2.409755157906052E-2</v>
      </c>
      <c r="D41" s="2">
        <v>5.5980174937336246E-3</v>
      </c>
      <c r="E41" s="2">
        <v>2.8344473009142571E-2</v>
      </c>
      <c r="F41" s="2">
        <v>-3.278151152124017E-4</v>
      </c>
      <c r="G41" s="2">
        <v>1.4729693144985571E-2</v>
      </c>
      <c r="H41" s="2">
        <v>-1.840108537089118E-2</v>
      </c>
      <c r="I41" s="2">
        <v>2.349594136893068E-2</v>
      </c>
      <c r="J41" s="2">
        <v>-3.5306813832144963E-2</v>
      </c>
      <c r="K41" s="2">
        <v>-2.9846291819830042E-4</v>
      </c>
      <c r="L41" s="2">
        <v>2.0785967759834659E-2</v>
      </c>
      <c r="M41" s="2">
        <v>3.8669141159154118E-2</v>
      </c>
      <c r="N41" s="2">
        <v>7.168489478612497E-3</v>
      </c>
      <c r="O41" s="2">
        <v>0</v>
      </c>
      <c r="P41" s="2">
        <v>7.843177461026099E-3</v>
      </c>
      <c r="Q41" s="15">
        <f>AVERAGE(Tableau2[[#This Row],[AWB]:[IAM]])</f>
        <v>8.89627616606814E-3</v>
      </c>
      <c r="R41" s="15">
        <f>ABS(Tableau2[[#This Row],[Rm ]])</f>
        <v>8.89627616606814E-3</v>
      </c>
      <c r="S41" s="15">
        <f>(Tableau2[[#This Row],[Rm ]]-Tableau2[[#Totals],[Rm ]])^2</f>
        <v>6.5684882814143664E-5</v>
      </c>
      <c r="T41" s="15">
        <f t="shared" si="0"/>
        <v>0.20880651213853357</v>
      </c>
      <c r="U41" s="15">
        <f t="shared" si="1"/>
        <v>1.0234331932712513</v>
      </c>
    </row>
    <row r="42" spans="1:21" x14ac:dyDescent="0.35">
      <c r="A42" s="10">
        <v>43984</v>
      </c>
      <c r="B42" s="2">
        <v>-1.4184634991956409E-2</v>
      </c>
      <c r="C42" s="2">
        <v>2.3530497410194039E-2</v>
      </c>
      <c r="D42" s="2">
        <v>2.134568693919172E-2</v>
      </c>
      <c r="E42" s="2">
        <v>1.247752151111254E-2</v>
      </c>
      <c r="F42" s="2">
        <v>0.1102501810799158</v>
      </c>
      <c r="G42" s="2">
        <v>7.9993804330983215E-2</v>
      </c>
      <c r="H42" s="2">
        <v>0.1171479133739986</v>
      </c>
      <c r="I42" s="2">
        <v>0.1227697748570897</v>
      </c>
      <c r="J42" s="2">
        <v>6.062462181643484E-2</v>
      </c>
      <c r="K42" s="2">
        <v>1.4914245866701199E-3</v>
      </c>
      <c r="L42" s="2">
        <v>1.699757636857108E-2</v>
      </c>
      <c r="M42" s="2">
        <v>5.2396134311845782E-2</v>
      </c>
      <c r="N42" s="2">
        <v>1.348016155669267E-2</v>
      </c>
      <c r="O42" s="2">
        <v>-2.0218622310238649E-2</v>
      </c>
      <c r="P42" s="2">
        <v>-3.9845908547199667E-2</v>
      </c>
      <c r="Q42" s="15">
        <f>AVERAGE(Tableau2[[#This Row],[AWB]:[IAM]])</f>
        <v>3.7217075486220351E-2</v>
      </c>
      <c r="R42" s="15">
        <f>ABS(Tableau2[[#This Row],[Rm ]])</f>
        <v>3.7217075486220351E-2</v>
      </c>
      <c r="S42" s="15">
        <f>(Tableau2[[#This Row],[Rm ]]-Tableau2[[#Totals],[Rm ]])^2</f>
        <v>1.3268112511649625E-3</v>
      </c>
      <c r="T42" s="15">
        <f t="shared" si="0"/>
        <v>0.56783450194136609</v>
      </c>
      <c r="U42" s="15">
        <f t="shared" si="1"/>
        <v>0.20880651213853357</v>
      </c>
    </row>
    <row r="43" spans="1:21" x14ac:dyDescent="0.35">
      <c r="A43" s="10">
        <v>43993</v>
      </c>
      <c r="B43" s="2">
        <v>-1.438873745209956E-2</v>
      </c>
      <c r="C43" s="2">
        <v>2.2534869433052641E-2</v>
      </c>
      <c r="D43" s="2">
        <v>9.4076836724045852E-3</v>
      </c>
      <c r="E43" s="2">
        <v>4.707440738592885E-2</v>
      </c>
      <c r="F43" s="2">
        <v>-1.1369631520298649E-2</v>
      </c>
      <c r="G43" s="2">
        <v>-6.5164695234424308E-2</v>
      </c>
      <c r="H43" s="2">
        <v>7.1108378939770636E-2</v>
      </c>
      <c r="I43" s="2">
        <v>-2.4692612590371522E-2</v>
      </c>
      <c r="J43" s="2">
        <v>0</v>
      </c>
      <c r="K43" s="2">
        <v>7.0482075038419245E-2</v>
      </c>
      <c r="L43" s="2">
        <v>0</v>
      </c>
      <c r="M43" s="2">
        <v>-9.6816549411634256E-2</v>
      </c>
      <c r="N43" s="2">
        <v>-3.077165866675366E-2</v>
      </c>
      <c r="O43" s="2">
        <v>9.2409898537296545E-3</v>
      </c>
      <c r="P43" s="2">
        <v>0</v>
      </c>
      <c r="Q43" s="15">
        <f>AVERAGE(Tableau2[[#This Row],[AWB]:[IAM]])</f>
        <v>-8.9036537015175642E-4</v>
      </c>
      <c r="R43" s="15">
        <f>ABS(Tableau2[[#This Row],[Rm ]])</f>
        <v>8.9036537015175642E-4</v>
      </c>
      <c r="S43" s="15">
        <f>(Tableau2[[#This Row],[Rm ]]-Tableau2[[#Totals],[Rm ]])^2</f>
        <v>2.8291928226626969E-6</v>
      </c>
      <c r="T43" s="15">
        <f t="shared" si="0"/>
        <v>0.47489237763053455</v>
      </c>
      <c r="U43" s="15">
        <f t="shared" si="1"/>
        <v>0.56783450194136609</v>
      </c>
    </row>
    <row r="44" spans="1:21" x14ac:dyDescent="0.35">
      <c r="A44" s="10">
        <v>43999</v>
      </c>
      <c r="B44" s="2">
        <v>5.3472078532907058E-2</v>
      </c>
      <c r="C44" s="2">
        <v>3.0675191434530399E-2</v>
      </c>
      <c r="D44" s="2">
        <v>5.4659968981111043E-2</v>
      </c>
      <c r="E44" s="2">
        <v>-1.908214870784937E-4</v>
      </c>
      <c r="F44" s="2">
        <v>9.0112691045979534E-2</v>
      </c>
      <c r="G44" s="2">
        <v>9.972036515090885E-3</v>
      </c>
      <c r="H44" s="2">
        <v>5.4353695336990512E-2</v>
      </c>
      <c r="I44" s="2">
        <v>5.5036280666384919E-2</v>
      </c>
      <c r="J44" s="2">
        <v>4.6406372814155827E-2</v>
      </c>
      <c r="K44" s="2">
        <v>2.225060893481972E-2</v>
      </c>
      <c r="L44" s="2">
        <v>3.315220731690055E-2</v>
      </c>
      <c r="M44" s="2">
        <v>4.7862759290761288E-2</v>
      </c>
      <c r="N44" s="2">
        <v>5.23828169213311E-2</v>
      </c>
      <c r="O44" s="2">
        <v>4.8226836767435027E-2</v>
      </c>
      <c r="P44" s="2">
        <v>2.409755157906052E-2</v>
      </c>
      <c r="Q44" s="15">
        <f>AVERAGE(Tableau2[[#This Row],[AWB]:[IAM]])</f>
        <v>4.1498018310025329E-2</v>
      </c>
      <c r="R44" s="15">
        <f>ABS(Tableau2[[#This Row],[Rm ]])</f>
        <v>4.1498018310025329E-2</v>
      </c>
      <c r="S44" s="15">
        <f>(Tableau2[[#This Row],[Rm ]]-Tableau2[[#Totals],[Rm ]])^2</f>
        <v>1.6570080067387313E-3</v>
      </c>
      <c r="T44" s="15">
        <f t="shared" si="0"/>
        <v>0.24182223551808957</v>
      </c>
      <c r="U44" s="15">
        <f t="shared" si="1"/>
        <v>0.47489237763053455</v>
      </c>
    </row>
    <row r="45" spans="1:21" x14ac:dyDescent="0.35">
      <c r="A45" s="10">
        <v>44000</v>
      </c>
      <c r="B45" s="2">
        <v>3.0178349378279269E-3</v>
      </c>
      <c r="C45" s="2">
        <v>-1.8471650153801589E-2</v>
      </c>
      <c r="D45" s="2">
        <v>-2.0714526534920241E-2</v>
      </c>
      <c r="E45" s="2">
        <v>-3.8240964384033938E-3</v>
      </c>
      <c r="F45" s="2">
        <v>-3.6483250235798292E-2</v>
      </c>
      <c r="G45" s="2">
        <v>-1.9728211460455451E-2</v>
      </c>
      <c r="H45" s="2">
        <v>-2.5427022530626349E-2</v>
      </c>
      <c r="I45" s="2">
        <v>-1.253149231191363E-2</v>
      </c>
      <c r="J45" s="2">
        <v>-3.3750559389680462E-3</v>
      </c>
      <c r="K45" s="2">
        <v>5.1483652532945791E-3</v>
      </c>
      <c r="L45" s="2">
        <v>-3.3039854078200162E-2</v>
      </c>
      <c r="M45" s="2">
        <v>2.7788978928829571E-2</v>
      </c>
      <c r="N45" s="2">
        <v>-3.7952552092302361E-2</v>
      </c>
      <c r="O45" s="2">
        <v>-4.2665392867566824E-3</v>
      </c>
      <c r="P45" s="2">
        <v>2.3530497410194251E-2</v>
      </c>
      <c r="Q45" s="15">
        <f>AVERAGE(Tableau2[[#This Row],[AWB]:[IAM]])</f>
        <v>-1.0421904968799994E-2</v>
      </c>
      <c r="R45" s="15">
        <f>ABS(Tableau2[[#This Row],[Rm ]])</f>
        <v>1.0421904968799994E-2</v>
      </c>
      <c r="S45" s="15">
        <f>(Tableau2[[#This Row],[Rm ]]-Tableau2[[#Totals],[Rm ]])^2</f>
        <v>1.2574392915427136E-4</v>
      </c>
      <c r="T45" s="15">
        <f t="shared" si="0"/>
        <v>0.21025773040817497</v>
      </c>
      <c r="U45" s="15">
        <f t="shared" si="1"/>
        <v>0.24182223551808957</v>
      </c>
    </row>
    <row r="46" spans="1:21" x14ac:dyDescent="0.35">
      <c r="A46" s="10">
        <v>44001</v>
      </c>
      <c r="B46" s="2">
        <v>-2.8804628653541419E-3</v>
      </c>
      <c r="C46" s="2">
        <v>1.7953326186743339E-3</v>
      </c>
      <c r="D46" s="2">
        <v>1.6619715663554881E-2</v>
      </c>
      <c r="E46" s="2">
        <v>-2.3256862164267231E-2</v>
      </c>
      <c r="F46" s="2">
        <v>-2.782912376948548E-2</v>
      </c>
      <c r="G46" s="2">
        <v>-2.757468714388276E-2</v>
      </c>
      <c r="H46" s="2">
        <v>8.9276087974824118E-3</v>
      </c>
      <c r="I46" s="2">
        <v>-1.6529301951210579E-2</v>
      </c>
      <c r="J46" s="2">
        <v>1.273724267570665E-2</v>
      </c>
      <c r="K46" s="2">
        <v>0</v>
      </c>
      <c r="L46" s="2">
        <v>0</v>
      </c>
      <c r="M46" s="2">
        <v>-1.0752791776261849E-2</v>
      </c>
      <c r="N46" s="2">
        <v>-4.3072571975803324E-3</v>
      </c>
      <c r="O46" s="2">
        <v>1.596840317873098E-2</v>
      </c>
      <c r="P46" s="2">
        <v>-7.7821404420549628E-3</v>
      </c>
      <c r="Q46" s="15">
        <f>AVERAGE(Tableau2[[#This Row],[AWB]:[IAM]])</f>
        <v>-4.3242882917298711E-3</v>
      </c>
      <c r="R46" s="15">
        <f>ABS(Tableau2[[#This Row],[Rm ]])</f>
        <v>4.3242882917298711E-3</v>
      </c>
      <c r="S46" s="15">
        <f>(Tableau2[[#This Row],[Rm ]]-Tableau2[[#Totals],[Rm ]])^2</f>
        <v>2.6172876667709302E-5</v>
      </c>
      <c r="T46" s="15">
        <f t="shared" si="0"/>
        <v>0.17233102631993052</v>
      </c>
      <c r="U46" s="15">
        <f t="shared" si="1"/>
        <v>0.21025773040817497</v>
      </c>
    </row>
    <row r="47" spans="1:21" x14ac:dyDescent="0.35">
      <c r="A47" s="10">
        <v>44006</v>
      </c>
      <c r="B47" s="2">
        <v>-1.9418085857101631E-2</v>
      </c>
      <c r="C47" s="2">
        <v>-9.009069942365968E-3</v>
      </c>
      <c r="D47" s="2">
        <v>-5.5092715797423206E-3</v>
      </c>
      <c r="E47" s="2">
        <v>1.537144771147422E-2</v>
      </c>
      <c r="F47" s="2">
        <v>3.1341596646626127E-2</v>
      </c>
      <c r="G47" s="2">
        <v>1.299545342085426E-3</v>
      </c>
      <c r="H47" s="2">
        <v>-5.5765208170376938E-2</v>
      </c>
      <c r="I47" s="2">
        <v>-3.9220713153281267E-2</v>
      </c>
      <c r="J47" s="2">
        <v>-1.541726402732705E-2</v>
      </c>
      <c r="K47" s="2">
        <v>1.07527917762617E-2</v>
      </c>
      <c r="L47" s="2">
        <v>-1.12353238700299E-4</v>
      </c>
      <c r="M47" s="2">
        <v>-1.35226525001365E-3</v>
      </c>
      <c r="N47" s="2">
        <v>7.168489478612497E-3</v>
      </c>
      <c r="O47" s="2">
        <v>0</v>
      </c>
      <c r="P47" s="2">
        <v>0</v>
      </c>
      <c r="Q47" s="15">
        <f>AVERAGE(Tableau2[[#This Row],[AWB]:[IAM]])</f>
        <v>-5.3246906842566106E-3</v>
      </c>
      <c r="R47" s="15">
        <f>ABS(Tableau2[[#This Row],[Rm ]])</f>
        <v>5.3246906842566106E-3</v>
      </c>
      <c r="S47" s="15">
        <f>(Tableau2[[#This Row],[Rm ]]-Tableau2[[#Totals],[Rm ]])^2</f>
        <v>3.7409685609516358E-5</v>
      </c>
      <c r="T47" s="15">
        <f t="shared" si="0"/>
        <v>0.21981322594400482</v>
      </c>
      <c r="U47" s="15">
        <f t="shared" si="1"/>
        <v>0.17233102631993052</v>
      </c>
    </row>
    <row r="48" spans="1:21" x14ac:dyDescent="0.35">
      <c r="A48" s="10">
        <v>44070</v>
      </c>
      <c r="B48" s="2">
        <v>8.6459888751904447E-3</v>
      </c>
      <c r="C48" s="2">
        <v>3.5559302036486932E-2</v>
      </c>
      <c r="D48" s="2">
        <v>-0.1182639204937342</v>
      </c>
      <c r="E48" s="2">
        <v>-1.5763681487830639E-2</v>
      </c>
      <c r="F48" s="2">
        <v>0.29630537374533961</v>
      </c>
      <c r="G48" s="2">
        <v>-0.2399231551510945</v>
      </c>
      <c r="H48" s="2">
        <v>-0.37508783169055748</v>
      </c>
      <c r="I48" s="2">
        <v>-0.15548490284039501</v>
      </c>
      <c r="J48" s="2">
        <v>2.2209167605375991E-2</v>
      </c>
      <c r="K48" s="2">
        <v>-8.0131838205259071E-2</v>
      </c>
      <c r="L48" s="2">
        <v>-1.243656504100849E-2</v>
      </c>
      <c r="M48" s="2">
        <v>-5.4274217353651281E-3</v>
      </c>
      <c r="N48" s="2">
        <v>-7.168489478612516E-3</v>
      </c>
      <c r="O48" s="2">
        <v>-3.501176144853916E-2</v>
      </c>
      <c r="P48" s="2">
        <v>-3.1748698314580298E-2</v>
      </c>
      <c r="Q48" s="15">
        <f>AVERAGE(Tableau2[[#This Row],[AWB]:[IAM]])</f>
        <v>-4.7581895574972242E-2</v>
      </c>
      <c r="R48" s="15">
        <f>ABS(Tableau2[[#This Row],[Rm ]])</f>
        <v>4.7581895574972242E-2</v>
      </c>
      <c r="S48" s="15">
        <f>(Tableau2[[#This Row],[Rm ]]-Tableau2[[#Totals],[Rm ]])^2</f>
        <v>2.3400004037725242E-3</v>
      </c>
      <c r="T48" s="15">
        <f t="shared" si="0"/>
        <v>1.4471866902359922</v>
      </c>
      <c r="U48" s="15">
        <f t="shared" si="1"/>
        <v>0.21981322594400482</v>
      </c>
    </row>
    <row r="49" spans="1:21" x14ac:dyDescent="0.35">
      <c r="A49" s="10">
        <v>44085</v>
      </c>
      <c r="B49" s="2">
        <v>2.6986090716730221E-2</v>
      </c>
      <c r="C49" s="2">
        <v>2.6288951991784059E-2</v>
      </c>
      <c r="D49" s="2">
        <v>-8.2194408845712597E-3</v>
      </c>
      <c r="E49" s="2">
        <v>3.8858514604152447E-2</v>
      </c>
      <c r="F49" s="2">
        <v>-3.4696600112983873E-2</v>
      </c>
      <c r="G49" s="2">
        <v>3.1284290039766377E-2</v>
      </c>
      <c r="H49" s="2">
        <v>0.19093327066913221</v>
      </c>
      <c r="I49" s="2">
        <v>-3.4868825650823942E-2</v>
      </c>
      <c r="J49" s="2">
        <v>2.1996924899119679E-2</v>
      </c>
      <c r="K49" s="2">
        <v>5.5773394373218627E-2</v>
      </c>
      <c r="L49" s="2">
        <v>6.8027473227526203E-3</v>
      </c>
      <c r="M49" s="2">
        <v>6.7796869853787691E-3</v>
      </c>
      <c r="N49" s="2">
        <v>-3.6036075032985439E-3</v>
      </c>
      <c r="O49" s="2">
        <v>2.0486562862982731E-3</v>
      </c>
      <c r="P49" s="2">
        <v>2.390552085355439E-2</v>
      </c>
      <c r="Q49" s="15">
        <f>AVERAGE(Tableau2[[#This Row],[AWB]:[IAM]])</f>
        <v>2.3351304972680675E-2</v>
      </c>
      <c r="R49" s="15">
        <f>ABS(Tableau2[[#This Row],[Rm ]])</f>
        <v>2.3351304972680675E-2</v>
      </c>
      <c r="S49" s="15">
        <f>(Tableau2[[#This Row],[Rm ]]-Tableau2[[#Totals],[Rm ]])^2</f>
        <v>5.0893780290567022E-4</v>
      </c>
      <c r="T49" s="15">
        <f t="shared" si="0"/>
        <v>0.46062452872366516</v>
      </c>
      <c r="U49" s="15">
        <f t="shared" si="1"/>
        <v>1.4471866902359922</v>
      </c>
    </row>
    <row r="50" spans="1:21" x14ac:dyDescent="0.35">
      <c r="A50" s="10">
        <v>44091</v>
      </c>
      <c r="B50" s="2">
        <v>-4.0968421422517658E-2</v>
      </c>
      <c r="C50" s="2">
        <v>-1.7593245024230271E-2</v>
      </c>
      <c r="D50" s="2">
        <v>-7.0080720046382531E-3</v>
      </c>
      <c r="E50" s="2">
        <v>0</v>
      </c>
      <c r="F50" s="2">
        <v>4.094392100649988E-3</v>
      </c>
      <c r="G50" s="2">
        <v>3.6910354020097152E-2</v>
      </c>
      <c r="H50" s="2">
        <v>-7.2059977136666425E-2</v>
      </c>
      <c r="I50" s="2">
        <v>-1.1354542102925899E-2</v>
      </c>
      <c r="J50" s="2">
        <v>4.0129863160704757E-2</v>
      </c>
      <c r="K50" s="2">
        <v>-3.9396070993322048E-2</v>
      </c>
      <c r="L50" s="2">
        <v>-1.13637586503151E-2</v>
      </c>
      <c r="M50" s="2">
        <v>6.7340321813441186E-3</v>
      </c>
      <c r="N50" s="2">
        <v>-1.4545711002378749E-2</v>
      </c>
      <c r="O50" s="2">
        <v>-2.303116419233393E-2</v>
      </c>
      <c r="P50" s="2">
        <v>0</v>
      </c>
      <c r="Q50" s="15">
        <f>AVERAGE(Tableau2[[#This Row],[AWB]:[IAM]])</f>
        <v>-9.9634880711021532E-3</v>
      </c>
      <c r="R50" s="15">
        <f>ABS(Tableau2[[#This Row],[Rm ]])</f>
        <v>9.9634880711021532E-3</v>
      </c>
      <c r="S50" s="15">
        <f>(Tableau2[[#This Row],[Rm ]]-Tableau2[[#Totals],[Rm ]])^2</f>
        <v>1.1567310437931448E-4</v>
      </c>
      <c r="T50" s="15">
        <f t="shared" si="0"/>
        <v>0.29191071637871696</v>
      </c>
      <c r="U50" s="15">
        <f t="shared" si="1"/>
        <v>0.46062452872366516</v>
      </c>
    </row>
    <row r="51" spans="1:21" x14ac:dyDescent="0.35">
      <c r="A51" s="10">
        <v>44092</v>
      </c>
      <c r="B51" s="2">
        <v>8.4128370553447074E-3</v>
      </c>
      <c r="C51" s="2">
        <v>-2.166848085090314E-3</v>
      </c>
      <c r="D51" s="2">
        <v>3.1961646296855628E-4</v>
      </c>
      <c r="E51" s="2">
        <v>-3.8466280827796052E-2</v>
      </c>
      <c r="F51" s="2">
        <v>1.3881696486155819E-2</v>
      </c>
      <c r="G51" s="2">
        <v>-3.0928282342549771E-2</v>
      </c>
      <c r="H51" s="2">
        <v>2.2168395505666641E-2</v>
      </c>
      <c r="I51" s="2">
        <v>9.7403367483848043E-3</v>
      </c>
      <c r="J51" s="2">
        <v>-1.3461616078543339E-2</v>
      </c>
      <c r="K51" s="2">
        <v>2.560274886098636E-2</v>
      </c>
      <c r="L51" s="2">
        <v>5.6980211146377959E-3</v>
      </c>
      <c r="M51" s="2">
        <v>-2.72125635248847E-2</v>
      </c>
      <c r="N51" s="2">
        <v>3.6563112031104792E-3</v>
      </c>
      <c r="O51" s="2">
        <v>5.234231995974092E-4</v>
      </c>
      <c r="P51" s="2">
        <v>0</v>
      </c>
      <c r="Q51" s="15">
        <f>AVERAGE(Tableau2[[#This Row],[AWB]:[IAM]])</f>
        <v>-1.4821469481341065E-3</v>
      </c>
      <c r="R51" s="15">
        <f>ABS(Tableau2[[#This Row],[Rm ]])</f>
        <v>1.4821469481341065E-3</v>
      </c>
      <c r="S51" s="15">
        <f>(Tableau2[[#This Row],[Rm ]]-Tableau2[[#Totals],[Rm ]])^2</f>
        <v>5.1701757009087058E-6</v>
      </c>
      <c r="T51" s="15">
        <f t="shared" si="0"/>
        <v>0.20826637508479545</v>
      </c>
      <c r="U51" s="15">
        <f t="shared" si="1"/>
        <v>0.29191071637871696</v>
      </c>
    </row>
    <row r="52" spans="1:21" x14ac:dyDescent="0.35">
      <c r="A52" s="10">
        <v>44098</v>
      </c>
      <c r="B52" s="2">
        <v>-2.2879122520927681E-2</v>
      </c>
      <c r="C52" s="2">
        <v>6.7020032504815797E-3</v>
      </c>
      <c r="D52" s="2">
        <v>-2.466864547325506E-2</v>
      </c>
      <c r="E52" s="2">
        <v>-1.9802627296179751E-2</v>
      </c>
      <c r="F52" s="2">
        <v>-7.4042716105278669E-2</v>
      </c>
      <c r="G52" s="2">
        <v>-5.982071677547429E-3</v>
      </c>
      <c r="H52" s="2">
        <v>-1.1946841434128431E-2</v>
      </c>
      <c r="I52" s="2">
        <v>-3.1175617468449841E-2</v>
      </c>
      <c r="J52" s="2">
        <v>1.3072081567352701E-2</v>
      </c>
      <c r="K52" s="2">
        <v>-2.6172874304023309E-2</v>
      </c>
      <c r="L52" s="2">
        <v>0</v>
      </c>
      <c r="M52" s="2">
        <v>0</v>
      </c>
      <c r="N52" s="2">
        <v>-1.100928550836937E-2</v>
      </c>
      <c r="O52" s="2">
        <v>9.8933376586582255E-3</v>
      </c>
      <c r="P52" s="2">
        <v>1.562531790308103E-2</v>
      </c>
      <c r="Q52" s="15">
        <f>AVERAGE(Tableau2[[#This Row],[AWB]:[IAM]])</f>
        <v>-1.2159137427239071E-2</v>
      </c>
      <c r="R52" s="15">
        <f>ABS(Tableau2[[#This Row],[Rm ]])</f>
        <v>1.2159137427239071E-2</v>
      </c>
      <c r="S52" s="15">
        <f>(Tableau2[[#This Row],[Rm ]]-Tableau2[[#Totals],[Rm ]])^2</f>
        <v>1.677230267806386E-4</v>
      </c>
      <c r="T52" s="15">
        <f t="shared" si="0"/>
        <v>0.22564139890106102</v>
      </c>
      <c r="U52" s="15">
        <f t="shared" si="1"/>
        <v>0.20826637508479545</v>
      </c>
    </row>
    <row r="53" spans="1:21" x14ac:dyDescent="0.35">
      <c r="A53" s="10">
        <v>44116</v>
      </c>
      <c r="B53" s="2">
        <v>4.8790164169432042E-2</v>
      </c>
      <c r="C53" s="2">
        <v>1.2632648456974101E-2</v>
      </c>
      <c r="D53" s="2">
        <v>4.72604435914106E-2</v>
      </c>
      <c r="E53" s="2">
        <v>-6.0180723255630212E-3</v>
      </c>
      <c r="F53" s="2">
        <v>0.1347297151166312</v>
      </c>
      <c r="G53" s="2">
        <v>-6.4431860159388774E-2</v>
      </c>
      <c r="H53" s="2">
        <v>-3.9282348334662473E-2</v>
      </c>
      <c r="I53" s="2">
        <v>-3.0459207484708459E-2</v>
      </c>
      <c r="J53" s="2">
        <v>2.056627758147702E-2</v>
      </c>
      <c r="K53" s="2">
        <v>-4.5800625321066012E-2</v>
      </c>
      <c r="L53" s="2">
        <v>1.1299555253933471E-2</v>
      </c>
      <c r="M53" s="2">
        <v>1.0291686036547509E-2</v>
      </c>
      <c r="N53" s="2">
        <v>1.1738946248513181E-2</v>
      </c>
      <c r="O53" s="2">
        <v>3.4126051516883929E-2</v>
      </c>
      <c r="P53" s="2">
        <v>-2.3530497410194161E-2</v>
      </c>
      <c r="Q53" s="15">
        <f>AVERAGE(Tableau2[[#This Row],[AWB]:[IAM]])</f>
        <v>8.1275251290813429E-3</v>
      </c>
      <c r="R53" s="15">
        <f>ABS(Tableau2[[#This Row],[Rm ]])</f>
        <v>8.1275251290813429E-3</v>
      </c>
      <c r="S53" s="15">
        <f>(Tableau2[[#This Row],[Rm ]]-Tableau2[[#Totals],[Rm ]])^2</f>
        <v>5.3814989255179005E-5</v>
      </c>
      <c r="T53" s="15">
        <f t="shared" si="0"/>
        <v>0.48702803591681815</v>
      </c>
      <c r="U53" s="15">
        <f t="shared" si="1"/>
        <v>0.22564139890106102</v>
      </c>
    </row>
    <row r="54" spans="1:21" x14ac:dyDescent="0.35">
      <c r="A54" s="10">
        <v>44117</v>
      </c>
      <c r="B54" s="2">
        <v>1.243931669968552E-2</v>
      </c>
      <c r="C54" s="2">
        <v>4.4581328481367779E-3</v>
      </c>
      <c r="D54" s="2">
        <v>0</v>
      </c>
      <c r="E54" s="2">
        <v>0</v>
      </c>
      <c r="F54" s="2">
        <v>-9.0226175996375307E-3</v>
      </c>
      <c r="G54" s="2">
        <v>-4.2753378504019482E-3</v>
      </c>
      <c r="H54" s="2">
        <v>3.0927046748800591E-2</v>
      </c>
      <c r="I54" s="2">
        <v>3.0459207484708439E-2</v>
      </c>
      <c r="J54" s="2">
        <v>1.138532222512543E-2</v>
      </c>
      <c r="K54" s="2">
        <v>1.4914245866701199E-3</v>
      </c>
      <c r="L54" s="2">
        <v>1.117330059812525E-2</v>
      </c>
      <c r="M54" s="2">
        <v>-1.0291686036547639E-2</v>
      </c>
      <c r="N54" s="2">
        <v>7.267473846977692E-3</v>
      </c>
      <c r="O54" s="2">
        <v>-4.5169461992957856E-3</v>
      </c>
      <c r="P54" s="2">
        <v>7.9051795071132473E-3</v>
      </c>
      <c r="Q54" s="15">
        <f>AVERAGE(Tableau2[[#This Row],[AWB]:[IAM]])</f>
        <v>5.9599877906306798E-3</v>
      </c>
      <c r="R54" s="15">
        <f>ABS(Tableau2[[#This Row],[Rm ]])</f>
        <v>5.9599877906306798E-3</v>
      </c>
      <c r="S54" s="15">
        <f>(Tableau2[[#This Row],[Rm ]]-Tableau2[[#Totals],[Rm ]])^2</f>
        <v>2.6711662921942522E-5</v>
      </c>
      <c r="T54" s="15">
        <f t="shared" si="0"/>
        <v>0.1378583528835258</v>
      </c>
      <c r="U54" s="15">
        <f t="shared" si="1"/>
        <v>0.48702803591681815</v>
      </c>
    </row>
    <row r="55" spans="1:21" x14ac:dyDescent="0.35">
      <c r="A55" s="10">
        <v>44118</v>
      </c>
      <c r="B55" s="2">
        <v>3.304119780210258E-2</v>
      </c>
      <c r="C55" s="2">
        <v>2.881201385961614E-2</v>
      </c>
      <c r="D55" s="2">
        <v>2.879336709907326E-2</v>
      </c>
      <c r="E55" s="2">
        <v>-4.0249547735965322E-4</v>
      </c>
      <c r="F55" s="2">
        <v>2.6827242233144279E-2</v>
      </c>
      <c r="G55" s="2">
        <v>-1.467441092926023E-2</v>
      </c>
      <c r="H55" s="2">
        <v>-4.0479581975582154E-3</v>
      </c>
      <c r="I55" s="2">
        <v>6.6445427186685108E-3</v>
      </c>
      <c r="J55" s="2">
        <v>1.250016276423147E-2</v>
      </c>
      <c r="K55" s="2">
        <v>-1.4914245866700199E-3</v>
      </c>
      <c r="L55" s="2">
        <v>0</v>
      </c>
      <c r="M55" s="2">
        <v>2.0478531343540701E-2</v>
      </c>
      <c r="N55" s="2">
        <v>3.4866569844660807E-2</v>
      </c>
      <c r="O55" s="2">
        <v>2.5119329962754182E-3</v>
      </c>
      <c r="P55" s="2">
        <v>7.843177461026099E-3</v>
      </c>
      <c r="Q55" s="15">
        <f>AVERAGE(Tableau2[[#This Row],[AWB]:[IAM]])</f>
        <v>1.2113496595432741E-2</v>
      </c>
      <c r="R55" s="15">
        <f>ABS(Tableau2[[#This Row],[Rm ]])</f>
        <v>1.2113496595432741E-2</v>
      </c>
      <c r="S55" s="15">
        <f>(Tableau2[[#This Row],[Rm ]]-Tableau2[[#Totals],[Rm ]])^2</f>
        <v>1.2818409511255004E-4</v>
      </c>
      <c r="T55" s="15">
        <f t="shared" si="0"/>
        <v>0.19706358636456719</v>
      </c>
      <c r="U55" s="15">
        <f t="shared" si="1"/>
        <v>0.1378583528835258</v>
      </c>
    </row>
    <row r="56" spans="1:21" x14ac:dyDescent="0.35">
      <c r="A56" s="10">
        <v>44120</v>
      </c>
      <c r="B56" s="2">
        <v>-2.7948035740147481E-2</v>
      </c>
      <c r="C56" s="2">
        <v>-2.4795519716780769E-2</v>
      </c>
      <c r="D56" s="2">
        <v>-1.27545930387014E-2</v>
      </c>
      <c r="E56" s="2">
        <v>-8.0547728881697974E-4</v>
      </c>
      <c r="F56" s="2">
        <v>1.556451654111155E-2</v>
      </c>
      <c r="G56" s="2">
        <v>0</v>
      </c>
      <c r="H56" s="2">
        <v>1.558846769291321E-3</v>
      </c>
      <c r="I56" s="2">
        <v>-6.6445427186686131E-3</v>
      </c>
      <c r="J56" s="2">
        <v>0</v>
      </c>
      <c r="K56" s="2">
        <v>7.4349784875179913E-3</v>
      </c>
      <c r="L56" s="2">
        <v>0</v>
      </c>
      <c r="M56" s="2">
        <v>1.0084119066626009E-2</v>
      </c>
      <c r="N56" s="2">
        <v>-3.5026305512021118E-3</v>
      </c>
      <c r="O56" s="2">
        <v>-4.0221270915040356E-3</v>
      </c>
      <c r="P56" s="2">
        <v>-7.8431774610260054E-3</v>
      </c>
      <c r="Q56" s="15">
        <f>AVERAGE(Tableau2[[#This Row],[AWB]:[IAM]])</f>
        <v>-3.5782428494867012E-3</v>
      </c>
      <c r="R56" s="15">
        <f>ABS(Tableau2[[#This Row],[Rm ]])</f>
        <v>3.5782428494867012E-3</v>
      </c>
      <c r="S56" s="15">
        <f>(Tableau2[[#This Row],[Rm ]]-Tableau2[[#Totals],[Rm ]])^2</f>
        <v>1.9096007986704785E-5</v>
      </c>
      <c r="T56" s="15">
        <f t="shared" si="0"/>
        <v>0.1210964717023795</v>
      </c>
      <c r="U56" s="15">
        <f t="shared" si="1"/>
        <v>0.19706358636456719</v>
      </c>
    </row>
    <row r="57" spans="1:21" x14ac:dyDescent="0.35">
      <c r="A57" s="10">
        <v>44123</v>
      </c>
      <c r="B57" s="2">
        <v>-8.9975763118032327E-3</v>
      </c>
      <c r="C57" s="2">
        <v>4.2105325363434578E-3</v>
      </c>
      <c r="D57" s="2">
        <v>-1.0663882834331759E-2</v>
      </c>
      <c r="E57" s="2">
        <v>-4.8465361425295466E-3</v>
      </c>
      <c r="F57" s="2">
        <v>2.666824708216127E-2</v>
      </c>
      <c r="G57" s="2">
        <v>0</v>
      </c>
      <c r="H57" s="2">
        <v>-3.1157501420464519E-4</v>
      </c>
      <c r="I57" s="2">
        <v>-2.360986563913374E-2</v>
      </c>
      <c r="J57" s="2">
        <v>-6.2305497506360864E-3</v>
      </c>
      <c r="K57" s="2">
        <v>-4.7520136943374237E-3</v>
      </c>
      <c r="L57" s="2">
        <v>2.21975673831281E-3</v>
      </c>
      <c r="M57" s="2">
        <v>-1.076002311398702E-2</v>
      </c>
      <c r="N57" s="2">
        <v>-3.5149421074444969E-3</v>
      </c>
      <c r="O57" s="2">
        <v>-1.012666881792916E-2</v>
      </c>
      <c r="P57" s="2">
        <v>7.843177461026099E-3</v>
      </c>
      <c r="Q57" s="15">
        <f>AVERAGE(Tableau2[[#This Row],[AWB]:[IAM]])</f>
        <v>-2.858127973899565E-3</v>
      </c>
      <c r="R57" s="15">
        <f>ABS(Tableau2[[#This Row],[Rm ]])</f>
        <v>2.858127973899565E-3</v>
      </c>
      <c r="S57" s="15">
        <f>(Tableau2[[#This Row],[Rm ]]-Tableau2[[#Totals],[Rm ]])^2</f>
        <v>1.3320916401145826E-5</v>
      </c>
      <c r="T57" s="15">
        <f t="shared" si="0"/>
        <v>0.1055699282214755</v>
      </c>
      <c r="U57" s="15">
        <f t="shared" si="1"/>
        <v>0.1210964717023795</v>
      </c>
    </row>
    <row r="58" spans="1:21" x14ac:dyDescent="0.35">
      <c r="A58" s="10">
        <v>44131</v>
      </c>
      <c r="B58" s="2">
        <v>2.029713156573662E-2</v>
      </c>
      <c r="C58" s="2">
        <v>8.3682496705165792E-3</v>
      </c>
      <c r="D58" s="2">
        <v>6.1538180923293093E-2</v>
      </c>
      <c r="E58" s="2">
        <v>-3.8535693159899658E-3</v>
      </c>
      <c r="F58" s="2">
        <v>8.6384614198820639E-2</v>
      </c>
      <c r="G58" s="2">
        <v>0</v>
      </c>
      <c r="H58" s="2">
        <v>6.8323247146412922E-3</v>
      </c>
      <c r="I58" s="2">
        <v>3.407158321614135E-3</v>
      </c>
      <c r="J58" s="2">
        <v>-2.5003125520928248E-4</v>
      </c>
      <c r="K58" s="2">
        <v>-1.1915402065105949E-3</v>
      </c>
      <c r="L58" s="2">
        <v>3.0570066084677931E-2</v>
      </c>
      <c r="M58" s="2">
        <v>-1.1560822401075969E-2</v>
      </c>
      <c r="N58" s="2">
        <v>2.7779564107075671E-2</v>
      </c>
      <c r="O58" s="2">
        <v>2.3885484989356741E-2</v>
      </c>
      <c r="P58" s="2">
        <v>7.782140442054949E-3</v>
      </c>
      <c r="Q58" s="15">
        <f>AVERAGE(Tableau2[[#This Row],[AWB]:[IAM]])</f>
        <v>1.733259678926679E-2</v>
      </c>
      <c r="R58" s="15">
        <f>ABS(Tableau2[[#This Row],[Rm ]])</f>
        <v>1.733259678926679E-2</v>
      </c>
      <c r="S58" s="15">
        <f>(Tableau2[[#This Row],[Rm ]]-Tableau2[[#Totals],[Rm ]])^2</f>
        <v>2.7360275235465981E-4</v>
      </c>
      <c r="T58" s="15">
        <f t="shared" si="0"/>
        <v>0.28400516300932216</v>
      </c>
      <c r="U58" s="15">
        <f t="shared" si="1"/>
        <v>0.1055699282214755</v>
      </c>
    </row>
    <row r="59" spans="1:21" x14ac:dyDescent="0.35">
      <c r="A59" s="10">
        <v>44137</v>
      </c>
      <c r="B59" s="2">
        <v>-6.4982656891003432E-3</v>
      </c>
      <c r="C59" s="2">
        <v>-1.38454068220531E-2</v>
      </c>
      <c r="D59" s="2">
        <v>-2.178574512551669E-2</v>
      </c>
      <c r="E59" s="2">
        <v>-4.2765567672603047E-3</v>
      </c>
      <c r="F59" s="2">
        <v>-2.0906684819313709E-2</v>
      </c>
      <c r="G59" s="2">
        <v>-2.6433257068155601E-2</v>
      </c>
      <c r="H59" s="2">
        <v>-2.5389234004819579E-2</v>
      </c>
      <c r="I59" s="2">
        <v>-2.584123118388721E-2</v>
      </c>
      <c r="J59" s="2">
        <v>1.254908684222608E-2</v>
      </c>
      <c r="K59" s="2">
        <v>0</v>
      </c>
      <c r="L59" s="2">
        <v>-1.0810916104215621E-2</v>
      </c>
      <c r="M59" s="2">
        <v>1.2236726448436871E-2</v>
      </c>
      <c r="N59" s="2">
        <v>-2.3563113728140839E-2</v>
      </c>
      <c r="O59" s="2">
        <v>-3.7336695520488379E-3</v>
      </c>
      <c r="P59" s="2">
        <v>0</v>
      </c>
      <c r="Q59" s="15">
        <f>AVERAGE(Tableau2[[#This Row],[AWB]:[IAM]])</f>
        <v>-1.0553217838256591E-2</v>
      </c>
      <c r="R59" s="15">
        <f>ABS(Tableau2[[#This Row],[Rm ]])</f>
        <v>1.0553217838256591E-2</v>
      </c>
      <c r="S59" s="15">
        <f>(Tableau2[[#This Row],[Rm ]]-Tableau2[[#Totals],[Rm ]])^2</f>
        <v>1.2870614171980063E-4</v>
      </c>
      <c r="T59" s="15">
        <f t="shared" si="0"/>
        <v>0.15845002231772642</v>
      </c>
      <c r="U59" s="15">
        <f t="shared" si="1"/>
        <v>0.28400516300932216</v>
      </c>
    </row>
    <row r="60" spans="1:21" x14ac:dyDescent="0.35">
      <c r="A60" s="10">
        <v>44144</v>
      </c>
      <c r="B60" s="2">
        <v>2.418624730841918E-2</v>
      </c>
      <c r="C60" s="2">
        <v>2.173090109604341E-2</v>
      </c>
      <c r="D60" s="2">
        <v>3.2539318199388823E-2</v>
      </c>
      <c r="E60" s="2">
        <v>2.0202707317519469E-2</v>
      </c>
      <c r="F60" s="2">
        <v>-4.4111231649762274E-3</v>
      </c>
      <c r="G60" s="2">
        <v>3.8533664002242993E-2</v>
      </c>
      <c r="H60" s="2">
        <v>4.6216939408902771E-2</v>
      </c>
      <c r="I60" s="2">
        <v>2.7540466936847099E-2</v>
      </c>
      <c r="J60" s="2">
        <v>1.117330059812525E-2</v>
      </c>
      <c r="K60" s="2">
        <v>2.1233472468826741E-2</v>
      </c>
      <c r="L60" s="2">
        <v>1.937627896313868E-2</v>
      </c>
      <c r="M60" s="2">
        <v>-3.3840979842405679E-3</v>
      </c>
      <c r="N60" s="2">
        <v>2.6981920476926421E-2</v>
      </c>
      <c r="O60" s="2">
        <v>1.485175813602576E-2</v>
      </c>
      <c r="P60" s="2">
        <v>0</v>
      </c>
      <c r="Q60" s="15">
        <f>AVERAGE(Tableau2[[#This Row],[AWB]:[IAM]])</f>
        <v>1.9784783584212651E-2</v>
      </c>
      <c r="R60" s="15">
        <f>ABS(Tableau2[[#This Row],[Rm ]])</f>
        <v>1.9784783584212651E-2</v>
      </c>
      <c r="S60" s="15">
        <f>(Tableau2[[#This Row],[Rm ]]-Tableau2[[#Totals],[Rm ]])^2</f>
        <v>3.6073893006210875E-4</v>
      </c>
      <c r="T60" s="15">
        <f t="shared" si="0"/>
        <v>0.14373937190247427</v>
      </c>
      <c r="U60" s="15">
        <f t="shared" si="1"/>
        <v>0.15845002231772642</v>
      </c>
    </row>
    <row r="61" spans="1:21" x14ac:dyDescent="0.35">
      <c r="A61" s="10">
        <v>44145</v>
      </c>
      <c r="B61" s="2">
        <v>5.1813587419975854E-3</v>
      </c>
      <c r="C61" s="2">
        <v>8.6438076772203006E-3</v>
      </c>
      <c r="D61" s="2">
        <v>1.7622232528665929E-2</v>
      </c>
      <c r="E61" s="2">
        <v>0</v>
      </c>
      <c r="F61" s="2">
        <v>-4.0600975622239757E-2</v>
      </c>
      <c r="G61" s="2">
        <v>3.9171148086730133E-2</v>
      </c>
      <c r="H61" s="2">
        <v>-4.8617537269888484E-3</v>
      </c>
      <c r="I61" s="2">
        <v>1.1814483413763059E-2</v>
      </c>
      <c r="J61" s="2">
        <v>-2.3472356185142158E-2</v>
      </c>
      <c r="K61" s="2">
        <v>6.6889881507967101E-3</v>
      </c>
      <c r="L61" s="2">
        <v>8.5251497064375132E-4</v>
      </c>
      <c r="M61" s="2">
        <v>1.011813016558469E-2</v>
      </c>
      <c r="N61" s="2">
        <v>1.3559529785632291E-2</v>
      </c>
      <c r="O61" s="2">
        <v>2.453988961566787E-3</v>
      </c>
      <c r="P61" s="2">
        <v>0</v>
      </c>
      <c r="Q61" s="15">
        <f>AVERAGE(Tableau2[[#This Row],[AWB]:[IAM]])</f>
        <v>3.1447397965486978E-3</v>
      </c>
      <c r="R61" s="15">
        <f>ABS(Tableau2[[#This Row],[Rm ]])</f>
        <v>3.1447397965486978E-3</v>
      </c>
      <c r="S61" s="15">
        <f>(Tableau2[[#This Row],[Rm ]]-Tableau2[[#Totals],[Rm ]])^2</f>
        <v>5.5370076441764572E-6</v>
      </c>
      <c r="T61" s="15">
        <f t="shared" si="0"/>
        <v>0.17234842987922344</v>
      </c>
      <c r="U61" s="15">
        <f t="shared" si="1"/>
        <v>0.14373937190247427</v>
      </c>
    </row>
    <row r="62" spans="1:21" x14ac:dyDescent="0.35">
      <c r="A62" s="10">
        <v>44159</v>
      </c>
      <c r="B62" s="2">
        <v>5.9925182859582128E-2</v>
      </c>
      <c r="C62" s="2">
        <v>4.0899852515250664E-3</v>
      </c>
      <c r="D62" s="2">
        <v>7.7379109587121089E-2</v>
      </c>
      <c r="E62" s="2">
        <v>0</v>
      </c>
      <c r="F62" s="2">
        <v>-7.3541480140271773E-2</v>
      </c>
      <c r="G62" s="2">
        <v>0.10647513587354029</v>
      </c>
      <c r="H62" s="2">
        <v>0.1249660297655996</v>
      </c>
      <c r="I62" s="2">
        <v>0.1065343231205127</v>
      </c>
      <c r="J62" s="2">
        <v>2.6763637269214931E-2</v>
      </c>
      <c r="K62" s="2">
        <v>7.8034002612455827E-2</v>
      </c>
      <c r="L62" s="2">
        <v>3.2693607520560088E-2</v>
      </c>
      <c r="M62" s="2">
        <v>5.8015615316137192E-2</v>
      </c>
      <c r="N62" s="2">
        <v>4.6060773376534532E-2</v>
      </c>
      <c r="O62" s="2">
        <v>3.705018429660295E-2</v>
      </c>
      <c r="P62" s="2">
        <v>3.8027395589239323E-2</v>
      </c>
      <c r="Q62" s="15">
        <f>AVERAGE(Tableau2[[#This Row],[AWB]:[IAM]])</f>
        <v>4.816490015322359E-2</v>
      </c>
      <c r="R62" s="15">
        <f>ABS(Tableau2[[#This Row],[Rm ]])</f>
        <v>4.816490015322359E-2</v>
      </c>
      <c r="S62" s="15">
        <f>(Tableau2[[#This Row],[Rm ]]-Tableau2[[#Totals],[Rm ]])^2</f>
        <v>2.2442243479809569E-3</v>
      </c>
      <c r="T62" s="15">
        <f t="shared" si="0"/>
        <v>0.53888852519838193</v>
      </c>
      <c r="U62" s="15">
        <f t="shared" si="1"/>
        <v>0.17234842987922344</v>
      </c>
    </row>
    <row r="63" spans="1:21" x14ac:dyDescent="0.35">
      <c r="A63" s="10">
        <v>44161</v>
      </c>
      <c r="B63" s="2">
        <v>-2.1927161910104882E-3</v>
      </c>
      <c r="C63" s="2">
        <v>4.0733253876358688E-3</v>
      </c>
      <c r="D63" s="2">
        <v>-3.225490733774651E-3</v>
      </c>
      <c r="E63" s="2">
        <v>2.3971245997214509E-3</v>
      </c>
      <c r="F63" s="2">
        <v>2.5441685345860589E-2</v>
      </c>
      <c r="G63" s="2">
        <v>2.0945097849018039E-2</v>
      </c>
      <c r="H63" s="2">
        <v>1.3351333174864199E-2</v>
      </c>
      <c r="I63" s="2">
        <v>-1.980262729617964E-2</v>
      </c>
      <c r="J63" s="2">
        <v>-2.436945278157254E-3</v>
      </c>
      <c r="K63" s="2">
        <v>-3.2700461310934653E-2</v>
      </c>
      <c r="L63" s="2">
        <v>-2.5370677475962E-2</v>
      </c>
      <c r="M63" s="2">
        <v>-2.5364629959086309E-3</v>
      </c>
      <c r="N63" s="2">
        <v>6.4102783609190188E-3</v>
      </c>
      <c r="O63" s="2">
        <v>1.416096531193017E-3</v>
      </c>
      <c r="P63" s="2">
        <v>-7.4906717291576257E-3</v>
      </c>
      <c r="Q63" s="15">
        <f>AVERAGE(Tableau2[[#This Row],[AWB]:[IAM]])</f>
        <v>-1.4480741174581842E-3</v>
      </c>
      <c r="R63" s="15">
        <f>ABS(Tableau2[[#This Row],[Rm ]])</f>
        <v>1.4480741174581842E-3</v>
      </c>
      <c r="S63" s="15">
        <f>(Tableau2[[#This Row],[Rm ]]-Tableau2[[#Totals],[Rm ]])^2</f>
        <v>5.0163869151427513E-6</v>
      </c>
      <c r="T63" s="15">
        <f t="shared" si="0"/>
        <v>0.16270316237191948</v>
      </c>
      <c r="U63" s="15">
        <f t="shared" si="1"/>
        <v>0.53888852519838193</v>
      </c>
    </row>
    <row r="64" spans="1:21" x14ac:dyDescent="0.35">
      <c r="A64" s="10">
        <v>44162</v>
      </c>
      <c r="B64" s="2">
        <v>-1.7220597751670522E-2</v>
      </c>
      <c r="C64" s="2">
        <v>-1.185865461028518E-2</v>
      </c>
      <c r="D64" s="2">
        <v>-6.5487252394651318E-3</v>
      </c>
      <c r="E64" s="2">
        <v>-1.8526506529605059E-2</v>
      </c>
      <c r="F64" s="2">
        <v>-2.3461486678998049E-2</v>
      </c>
      <c r="G64" s="2">
        <v>-2.5784117155714551E-2</v>
      </c>
      <c r="H64" s="2">
        <v>-5.3191614776000448E-3</v>
      </c>
      <c r="I64" s="2">
        <v>7.6628727455690972E-3</v>
      </c>
      <c r="J64" s="2">
        <v>-8.5433580591542035E-4</v>
      </c>
      <c r="K64" s="2">
        <v>-3.8113293328034072E-2</v>
      </c>
      <c r="L64" s="2">
        <v>-5.9391414369612721E-3</v>
      </c>
      <c r="M64" s="2">
        <v>-3.5544937419411352E-2</v>
      </c>
      <c r="N64" s="2">
        <v>-6.4102783609190543E-3</v>
      </c>
      <c r="O64" s="2">
        <v>-9.47874395454377E-3</v>
      </c>
      <c r="P64" s="2">
        <v>0</v>
      </c>
      <c r="Q64" s="15">
        <f>AVERAGE(Tableau2[[#This Row],[AWB]:[IAM]])</f>
        <v>-1.3159807133570291E-2</v>
      </c>
      <c r="R64" s="15">
        <f>ABS(Tableau2[[#This Row],[Rm ]])</f>
        <v>1.3159807133570291E-2</v>
      </c>
      <c r="S64" s="15">
        <f>(Tableau2[[#This Row],[Rm ]]-Tableau2[[#Totals],[Rm ]])^2</f>
        <v>1.9464329812837711E-4</v>
      </c>
      <c r="T64" s="15">
        <f t="shared" si="0"/>
        <v>0.14710170546602477</v>
      </c>
      <c r="U64" s="15">
        <f t="shared" si="1"/>
        <v>0.16270316237191948</v>
      </c>
    </row>
    <row r="65" spans="1:21" x14ac:dyDescent="0.35">
      <c r="A65" s="10">
        <v>44168</v>
      </c>
      <c r="B65" s="2">
        <v>9.8766234959120989E-3</v>
      </c>
      <c r="C65" s="2">
        <v>5.7424275928490793E-3</v>
      </c>
      <c r="D65" s="2">
        <v>-2.5916218778374469E-3</v>
      </c>
      <c r="E65" s="2">
        <v>3.593200922606337E-2</v>
      </c>
      <c r="F65" s="2">
        <v>8.0727248487489411E-2</v>
      </c>
      <c r="G65" s="2">
        <v>-5.7597491783336438E-2</v>
      </c>
      <c r="H65" s="2">
        <v>-6.9574805674987123E-3</v>
      </c>
      <c r="I65" s="2">
        <v>-6.3012967828733918E-2</v>
      </c>
      <c r="J65" s="2">
        <v>-1.104983618658505E-2</v>
      </c>
      <c r="K65" s="2">
        <v>3.5339366445308863E-2</v>
      </c>
      <c r="L65" s="2">
        <v>1.2578782206860191E-2</v>
      </c>
      <c r="M65" s="2">
        <v>9.820046180975513E-3</v>
      </c>
      <c r="N65" s="2">
        <v>0</v>
      </c>
      <c r="O65" s="2">
        <v>4.7506027585977988E-3</v>
      </c>
      <c r="P65" s="2">
        <v>0</v>
      </c>
      <c r="Q65" s="15">
        <f>AVERAGE(Tableau2[[#This Row],[AWB]:[IAM]])</f>
        <v>3.5705138766709841E-3</v>
      </c>
      <c r="R65" s="15">
        <f>ABS(Tableau2[[#This Row],[Rm ]])</f>
        <v>3.5705138766709841E-3</v>
      </c>
      <c r="S65" s="15">
        <f>(Tableau2[[#This Row],[Rm ]]-Tableau2[[#Totals],[Rm ]])^2</f>
        <v>7.722056165686102E-6</v>
      </c>
      <c r="T65" s="15">
        <f t="shared" si="0"/>
        <v>0.32907351114315064</v>
      </c>
      <c r="U65" s="15">
        <f t="shared" si="1"/>
        <v>0.14710170546602477</v>
      </c>
    </row>
    <row r="66" spans="1:21" x14ac:dyDescent="0.35">
      <c r="A66" s="10">
        <v>44169</v>
      </c>
      <c r="B66" s="2">
        <v>7.222015599591779E-3</v>
      </c>
      <c r="C66" s="2">
        <v>2.042901629800331E-3</v>
      </c>
      <c r="D66" s="2">
        <v>-7.6142499852454052E-3</v>
      </c>
      <c r="E66" s="2">
        <v>-1.18344576470028E-2</v>
      </c>
      <c r="F66" s="2">
        <v>1.8231545615151779E-3</v>
      </c>
      <c r="G66" s="2">
        <v>-7.9365495957363034E-3</v>
      </c>
      <c r="H66" s="2">
        <v>6.4240049613548808E-3</v>
      </c>
      <c r="I66" s="2">
        <v>-2.302733327131035E-2</v>
      </c>
      <c r="J66" s="2">
        <v>1.166015051739993E-2</v>
      </c>
      <c r="K66" s="2">
        <v>-1.370459150111349E-2</v>
      </c>
      <c r="L66" s="2">
        <v>-1.694955831377332E-2</v>
      </c>
      <c r="M66" s="2">
        <v>5.84607056342391E-3</v>
      </c>
      <c r="N66" s="2">
        <v>-3.2206147000421719E-3</v>
      </c>
      <c r="O66" s="2">
        <v>-4.7506027585978647E-3</v>
      </c>
      <c r="P66" s="2">
        <v>-7.5472056353829663E-3</v>
      </c>
      <c r="Q66" s="15">
        <f>AVERAGE(Tableau2[[#This Row],[AWB]:[IAM]])</f>
        <v>-4.1044577050079103E-3</v>
      </c>
      <c r="R66" s="15">
        <f>ABS(Tableau2[[#This Row],[Rm ]])</f>
        <v>4.1044577050079103E-3</v>
      </c>
      <c r="S66" s="15">
        <f>(Tableau2[[#This Row],[Rm ]]-Tableau2[[#Totals],[Rm ]])^2</f>
        <v>2.3971920484829602E-5</v>
      </c>
      <c r="T66" s="15">
        <f t="shared" si="0"/>
        <v>0.11784454273451504</v>
      </c>
      <c r="U66" s="15">
        <f t="shared" si="1"/>
        <v>0.32907351114315064</v>
      </c>
    </row>
    <row r="67" spans="1:21" x14ac:dyDescent="0.35">
      <c r="A67" s="10">
        <v>44174</v>
      </c>
      <c r="B67" s="2">
        <v>1.920696841168288E-2</v>
      </c>
      <c r="C67" s="2">
        <v>2.0406081082963449E-4</v>
      </c>
      <c r="D67" s="2">
        <v>-2.9544102601652619E-3</v>
      </c>
      <c r="E67" s="2">
        <v>3.9674668245083267E-4</v>
      </c>
      <c r="F67" s="2">
        <v>-3.9002157803269197E-2</v>
      </c>
      <c r="G67" s="2">
        <v>6.10463749096848E-2</v>
      </c>
      <c r="H67" s="2">
        <v>4.7162576200146973E-2</v>
      </c>
      <c r="I67" s="2">
        <v>7.8377428354475143E-2</v>
      </c>
      <c r="J67" s="2">
        <v>-2.40826705159571E-2</v>
      </c>
      <c r="K67" s="2">
        <v>5.7189703440852273E-2</v>
      </c>
      <c r="L67" s="2">
        <v>3.2000027306708502E-3</v>
      </c>
      <c r="M67" s="2">
        <v>2.3048395436291089E-2</v>
      </c>
      <c r="N67" s="2">
        <v>1.916991610772012E-2</v>
      </c>
      <c r="O67" s="2">
        <v>3.0904577075568048E-3</v>
      </c>
      <c r="P67" s="2">
        <v>7.547205635383125E-3</v>
      </c>
      <c r="Q67" s="15">
        <f>AVERAGE(Tableau2[[#This Row],[AWB]:[IAM]])</f>
        <v>1.6906706523223528E-2</v>
      </c>
      <c r="R67" s="15">
        <f>ABS(Tableau2[[#This Row],[Rm ]])</f>
        <v>1.6906706523223528E-2</v>
      </c>
      <c r="S67" s="15">
        <f>(Tableau2[[#This Row],[Rm ]]-Tableau2[[#Totals],[Rm ]])^2</f>
        <v>2.5969488275011171E-4</v>
      </c>
      <c r="T67" s="15">
        <f t="shared" ref="T67:T130" si="2">(ABS(B67-$Q67)+ABS(C67-$Q67)+ABS(D67-$Q67)+ABS(E67-$Q67)+ABS(F67-$Q67)+ABS(G67-$Q67)+ABS(H67-$Q67)+ABS(I67-$Q67)+ABS(J67-$Q67)+ABS(K67-$Q67)+ABS(L67-$Q67)+ABS(M67-$Q67)+ABS(N67-$Q67)+ABS(O67-$Q67)+ABS(P67-$Q67)/15)</f>
        <v>0.36497330023459273</v>
      </c>
      <c r="U67" s="15">
        <f t="shared" si="1"/>
        <v>0.11784454273451504</v>
      </c>
    </row>
    <row r="68" spans="1:21" x14ac:dyDescent="0.35">
      <c r="A68" s="10">
        <v>44175</v>
      </c>
      <c r="B68" s="2">
        <v>-6.9636492231713388E-3</v>
      </c>
      <c r="C68" s="2">
        <v>7.9260652724207226E-3</v>
      </c>
      <c r="D68" s="2">
        <v>6.6351907249903152E-3</v>
      </c>
      <c r="E68" s="2">
        <v>1.535161028568845E-2</v>
      </c>
      <c r="F68" s="2">
        <v>3.9002157803269183E-2</v>
      </c>
      <c r="G68" s="2">
        <v>-9.7929219532436017E-3</v>
      </c>
      <c r="H68" s="2">
        <v>5.0890586340066805E-4</v>
      </c>
      <c r="I68" s="2">
        <v>2.731581064696292E-2</v>
      </c>
      <c r="J68" s="2">
        <v>0</v>
      </c>
      <c r="K68" s="2">
        <v>0</v>
      </c>
      <c r="L68" s="2">
        <v>-2.132196969840711E-3</v>
      </c>
      <c r="M68" s="2">
        <v>-6.34922767865878E-3</v>
      </c>
      <c r="N68" s="2">
        <v>-6.34922767865878E-3</v>
      </c>
      <c r="O68" s="2">
        <v>2.1339664292493051E-3</v>
      </c>
      <c r="P68" s="2">
        <v>-7.5472056353829663E-3</v>
      </c>
      <c r="Q68" s="15">
        <f>AVERAGE(Tableau2[[#This Row],[AWB]:[IAM]])</f>
        <v>3.9826185258016915E-3</v>
      </c>
      <c r="R68" s="15">
        <f>ABS(Tableau2[[#This Row],[Rm ]])</f>
        <v>3.9826185258016915E-3</v>
      </c>
      <c r="S68" s="15">
        <f>(Tableau2[[#This Row],[Rm ]]-Tableau2[[#Totals],[Rm ]])^2</f>
        <v>1.0182247659449013E-5</v>
      </c>
      <c r="T68" s="15">
        <f t="shared" si="2"/>
        <v>0.14187431499154057</v>
      </c>
      <c r="U68" s="15">
        <f t="shared" ref="U68:U131" si="3">T67</f>
        <v>0.36497330023459273</v>
      </c>
    </row>
    <row r="69" spans="1:21" x14ac:dyDescent="0.35">
      <c r="A69" s="10">
        <v>44176</v>
      </c>
      <c r="B69" s="2">
        <v>2.873965761672255E-2</v>
      </c>
      <c r="C69" s="2">
        <v>1.207258123426924E-2</v>
      </c>
      <c r="D69" s="2">
        <v>3.2337202466746102E-2</v>
      </c>
      <c r="E69" s="2">
        <v>1.5504186535965249E-2</v>
      </c>
      <c r="F69" s="2">
        <v>-7.3126468462866023E-3</v>
      </c>
      <c r="G69" s="2">
        <v>3.8973201013003153E-2</v>
      </c>
      <c r="H69" s="2">
        <v>1.7400514680167359E-2</v>
      </c>
      <c r="I69" s="2">
        <v>3.8183786970158798E-2</v>
      </c>
      <c r="J69" s="2">
        <v>0</v>
      </c>
      <c r="K69" s="2">
        <v>3.9118416595471349E-2</v>
      </c>
      <c r="L69" s="2">
        <v>3.1965930256274938E-3</v>
      </c>
      <c r="M69" s="2">
        <v>3.8730637181698571E-2</v>
      </c>
      <c r="N69" s="2">
        <v>3.8730637181698571E-2</v>
      </c>
      <c r="O69" s="2">
        <v>2.756539868618459E-2</v>
      </c>
      <c r="P69" s="2">
        <v>2.247285585205858E-2</v>
      </c>
      <c r="Q69" s="15">
        <f>AVERAGE(Tableau2[[#This Row],[AWB]:[IAM]])</f>
        <v>2.3047534812899E-2</v>
      </c>
      <c r="R69" s="15">
        <f>ABS(Tableau2[[#This Row],[Rm ]])</f>
        <v>2.3047534812899E-2</v>
      </c>
      <c r="S69" s="15">
        <f>(Tableau2[[#This Row],[Rm ]]-Tableau2[[#Totals],[Rm ]])^2</f>
        <v>4.9532418231565227E-4</v>
      </c>
      <c r="T69" s="15">
        <f t="shared" si="2"/>
        <v>0.19546095138686567</v>
      </c>
      <c r="U69" s="15">
        <f t="shared" si="3"/>
        <v>0.14187431499154057</v>
      </c>
    </row>
    <row r="70" spans="1:21" x14ac:dyDescent="0.35">
      <c r="A70" s="10">
        <v>44180</v>
      </c>
      <c r="B70" s="2">
        <v>-2.3441173415544108E-3</v>
      </c>
      <c r="C70" s="2">
        <v>3.9920212695374567E-3</v>
      </c>
      <c r="D70" s="2">
        <v>-7.0093744925763882E-3</v>
      </c>
      <c r="E70" s="2">
        <v>0</v>
      </c>
      <c r="F70" s="2">
        <v>-9.1785229022888577E-4</v>
      </c>
      <c r="G70" s="2">
        <v>-1.7257634102853359E-2</v>
      </c>
      <c r="H70" s="2">
        <v>-1.587534915829019E-2</v>
      </c>
      <c r="I70" s="2">
        <v>-2.037916233665225E-2</v>
      </c>
      <c r="J70" s="2">
        <v>6.2305497506361628E-3</v>
      </c>
      <c r="K70" s="2">
        <v>-2.5608208616737039E-3</v>
      </c>
      <c r="L70" s="2">
        <v>-5.3333459753626168E-3</v>
      </c>
      <c r="M70" s="2">
        <v>-1.6682499959936131E-2</v>
      </c>
      <c r="N70" s="2">
        <v>-7.3801072976225337E-3</v>
      </c>
      <c r="O70" s="2">
        <v>3.1302170064249672E-2</v>
      </c>
      <c r="P70" s="2">
        <v>0</v>
      </c>
      <c r="Q70" s="15">
        <f>AVERAGE(Tableau2[[#This Row],[AWB]:[IAM]])</f>
        <v>-3.6143681821551453E-3</v>
      </c>
      <c r="R70" s="15">
        <f>ABS(Tableau2[[#This Row],[Rm ]])</f>
        <v>3.6143681821551453E-3</v>
      </c>
      <c r="S70" s="15">
        <f>(Tableau2[[#This Row],[Rm ]]-Tableau2[[#Totals],[Rm ]])^2</f>
        <v>1.941304105982484E-5</v>
      </c>
      <c r="T70" s="15">
        <f t="shared" si="2"/>
        <v>0.1258603817930701</v>
      </c>
      <c r="U70" s="15">
        <f t="shared" si="3"/>
        <v>0.19546095138686567</v>
      </c>
    </row>
    <row r="71" spans="1:21" x14ac:dyDescent="0.35">
      <c r="A71" s="10">
        <v>44182</v>
      </c>
      <c r="B71" s="2">
        <v>3.1987023585703392E-2</v>
      </c>
      <c r="C71" s="2">
        <v>3.1375122567753842E-2</v>
      </c>
      <c r="D71" s="2">
        <v>-2.2821383751476429E-3</v>
      </c>
      <c r="E71" s="2">
        <v>1.9048194970694411E-2</v>
      </c>
      <c r="F71" s="2">
        <v>7.7708984327316322E-2</v>
      </c>
      <c r="G71" s="2">
        <v>8.4824406813392289E-3</v>
      </c>
      <c r="H71" s="2">
        <v>-3.5417945229260367E-2</v>
      </c>
      <c r="I71" s="2">
        <v>-1.3323661198470539E-2</v>
      </c>
      <c r="J71" s="2">
        <v>3.0583423372080181E-2</v>
      </c>
      <c r="K71" s="2">
        <v>2.531780798428979E-2</v>
      </c>
      <c r="L71" s="2">
        <v>-5.3619431413853991E-3</v>
      </c>
      <c r="M71" s="2">
        <v>1.6682499959936061E-2</v>
      </c>
      <c r="N71" s="2">
        <v>1.2270092591814399E-2</v>
      </c>
      <c r="O71" s="2">
        <v>1.814610534973158E-2</v>
      </c>
      <c r="P71" s="2">
        <v>0</v>
      </c>
      <c r="Q71" s="15">
        <f>AVERAGE(Tableau2[[#This Row],[AWB]:[IAM]])</f>
        <v>1.4347733829759684E-2</v>
      </c>
      <c r="R71" s="15">
        <f>ABS(Tableau2[[#This Row],[Rm ]])</f>
        <v>1.4347733829759684E-2</v>
      </c>
      <c r="S71" s="15">
        <f>(Tableau2[[#This Row],[Rm ]]-Tableau2[[#Totals],[Rm ]])^2</f>
        <v>1.8376727084455492E-4</v>
      </c>
      <c r="T71" s="15">
        <f t="shared" si="2"/>
        <v>0.25874336471774717</v>
      </c>
      <c r="U71" s="15">
        <f t="shared" si="3"/>
        <v>0.1258603817930701</v>
      </c>
    </row>
    <row r="72" spans="1:21" x14ac:dyDescent="0.35">
      <c r="A72" s="10">
        <v>44183</v>
      </c>
      <c r="B72" s="2">
        <v>-6.7278889959795319E-3</v>
      </c>
      <c r="C72" s="2">
        <v>-1.7134375576231639E-2</v>
      </c>
      <c r="D72" s="2">
        <v>2.131312915047592E-2</v>
      </c>
      <c r="E72" s="2">
        <v>1.8692133012152549E-2</v>
      </c>
      <c r="F72" s="2">
        <v>-3.1940565871735577E-2</v>
      </c>
      <c r="G72" s="2">
        <v>-1.9281279563798728E-2</v>
      </c>
      <c r="H72" s="2">
        <v>-1.8324772493319229E-2</v>
      </c>
      <c r="I72" s="2">
        <v>-1.4914245866700199E-3</v>
      </c>
      <c r="J72" s="2">
        <v>-1.205545655348559E-3</v>
      </c>
      <c r="K72" s="2">
        <v>-2.275698712261618E-2</v>
      </c>
      <c r="L72" s="2">
        <v>0</v>
      </c>
      <c r="M72" s="2">
        <v>1.399475228711102E-2</v>
      </c>
      <c r="N72" s="2">
        <v>6.0790460763821934E-3</v>
      </c>
      <c r="O72" s="2">
        <v>-3.1182927436687938E-2</v>
      </c>
      <c r="P72" s="2">
        <v>-7.4349784875180902E-3</v>
      </c>
      <c r="Q72" s="15">
        <f>AVERAGE(Tableau2[[#This Row],[AWB]:[IAM]])</f>
        <v>-6.4934456842522543E-3</v>
      </c>
      <c r="R72" s="15">
        <f>ABS(Tableau2[[#This Row],[Rm ]])</f>
        <v>6.4934456842522543E-3</v>
      </c>
      <c r="S72" s="15">
        <f>(Tableau2[[#This Row],[Rm ]]-Tableau2[[#Totals],[Rm ]])^2</f>
        <v>5.3072693266295332E-5</v>
      </c>
      <c r="T72" s="15">
        <f t="shared" si="2"/>
        <v>0.20479365619802298</v>
      </c>
      <c r="U72" s="15">
        <f t="shared" si="3"/>
        <v>0.25874336471774717</v>
      </c>
    </row>
    <row r="73" spans="1:21" x14ac:dyDescent="0.35">
      <c r="A73" s="10">
        <v>44186</v>
      </c>
      <c r="B73" s="2">
        <v>-4.0750486779511652E-2</v>
      </c>
      <c r="C73" s="2">
        <v>-3.8435475578579167E-2</v>
      </c>
      <c r="D73" s="2">
        <v>-4.0758094715127813E-2</v>
      </c>
      <c r="E73" s="2">
        <v>-3.7740327982847093E-2</v>
      </c>
      <c r="F73" s="2">
        <v>2.597548640326074E-2</v>
      </c>
      <c r="G73" s="2">
        <v>-4.0494455505091002E-2</v>
      </c>
      <c r="H73" s="2">
        <v>-4.0754990600500807E-2</v>
      </c>
      <c r="I73" s="2">
        <v>-3.9578986280658077E-2</v>
      </c>
      <c r="J73" s="2">
        <v>-3.0620885956328569E-2</v>
      </c>
      <c r="K73" s="2">
        <v>-2.5608208616737039E-3</v>
      </c>
      <c r="L73" s="2">
        <v>-2.064168888734326E-2</v>
      </c>
      <c r="M73" s="2">
        <v>-4.0696121274447251E-2</v>
      </c>
      <c r="N73" s="2">
        <v>-4.0190880583245339E-2</v>
      </c>
      <c r="O73" s="2">
        <v>-4.0633475337870137E-2</v>
      </c>
      <c r="P73" s="2">
        <v>-1.5037877364540561E-2</v>
      </c>
      <c r="Q73" s="15">
        <f>AVERAGE(Tableau2[[#This Row],[AWB]:[IAM]])</f>
        <v>-2.9527938753633576E-2</v>
      </c>
      <c r="R73" s="15">
        <f>ABS(Tableau2[[#This Row],[Rm ]])</f>
        <v>2.9527938753633576E-2</v>
      </c>
      <c r="S73" s="15">
        <f>(Tableau2[[#This Row],[Rm ]]-Tableau2[[#Totals],[Rm ]])^2</f>
        <v>9.1927777074004061E-4</v>
      </c>
      <c r="T73" s="15">
        <f t="shared" si="2"/>
        <v>0.1981696513119883</v>
      </c>
      <c r="U73" s="15">
        <f t="shared" si="3"/>
        <v>0.20479365619802298</v>
      </c>
    </row>
    <row r="74" spans="1:21" x14ac:dyDescent="0.35">
      <c r="A74" s="10">
        <v>44187</v>
      </c>
      <c r="B74" s="2">
        <v>2.2157653702895821E-2</v>
      </c>
      <c r="C74" s="2">
        <v>2.0202707317519469E-2</v>
      </c>
      <c r="D74" s="2">
        <v>1.5586103390403771E-2</v>
      </c>
      <c r="E74" s="2">
        <v>3.7740327982847113E-2</v>
      </c>
      <c r="F74" s="2">
        <v>-1.203797855947898E-2</v>
      </c>
      <c r="G74" s="2">
        <v>3.8995766577144549E-2</v>
      </c>
      <c r="H74" s="2">
        <v>2.6447822543609351E-2</v>
      </c>
      <c r="I74" s="2">
        <v>3.808533402387488E-2</v>
      </c>
      <c r="J74" s="2">
        <v>-2.4906613124519189E-3</v>
      </c>
      <c r="K74" s="2">
        <v>2.5637738891866947E-4</v>
      </c>
      <c r="L74" s="2">
        <v>1.978110363629576E-2</v>
      </c>
      <c r="M74" s="2">
        <v>6.8987416911565217E-3</v>
      </c>
      <c r="N74" s="2">
        <v>1.253934925273517E-2</v>
      </c>
      <c r="O74" s="2">
        <v>3.4961310385403753E-2</v>
      </c>
      <c r="P74" s="2">
        <v>7.547205635383125E-3</v>
      </c>
      <c r="Q74" s="15">
        <f>AVERAGE(Tableau2[[#This Row],[AWB]:[IAM]])</f>
        <v>1.7778077577083808E-2</v>
      </c>
      <c r="R74" s="15">
        <f>ABS(Tableau2[[#This Row],[Rm ]])</f>
        <v>1.7778077577083808E-2</v>
      </c>
      <c r="S74" s="15">
        <f>(Tableau2[[#This Row],[Rm ]]-Tableau2[[#Totals],[Rm ]])^2</f>
        <v>2.8853854896733472E-4</v>
      </c>
      <c r="T74" s="15">
        <f t="shared" si="2"/>
        <v>0.18274599729358659</v>
      </c>
      <c r="U74" s="15">
        <f t="shared" si="3"/>
        <v>0.1981696513119883</v>
      </c>
    </row>
    <row r="75" spans="1:21" x14ac:dyDescent="0.35">
      <c r="A75" s="10">
        <v>44189</v>
      </c>
      <c r="B75" s="2">
        <v>-2.2171664371774722E-3</v>
      </c>
      <c r="C75" s="2">
        <v>0</v>
      </c>
      <c r="D75" s="2">
        <v>-1.4588198906834989E-2</v>
      </c>
      <c r="E75" s="2">
        <v>-7.4349784875180902E-3</v>
      </c>
      <c r="F75" s="2">
        <v>-5.2038278750269982E-3</v>
      </c>
      <c r="G75" s="2">
        <v>1.3408022094433369E-2</v>
      </c>
      <c r="H75" s="2">
        <v>5.9636934680492911E-3</v>
      </c>
      <c r="I75" s="2">
        <v>2.363477813399676E-2</v>
      </c>
      <c r="J75" s="2">
        <v>2.2195732391784351E-2</v>
      </c>
      <c r="K75" s="2">
        <v>2.5061430595371251E-2</v>
      </c>
      <c r="L75" s="2">
        <v>-1.430763622212387E-2</v>
      </c>
      <c r="M75" s="2">
        <v>6.2305497506361628E-3</v>
      </c>
      <c r="N75" s="2">
        <v>-3.1201273362436339E-3</v>
      </c>
      <c r="O75" s="2">
        <v>-3.418806748785609E-3</v>
      </c>
      <c r="P75" s="2">
        <v>7.4906717291576587E-3</v>
      </c>
      <c r="Q75" s="15">
        <f>AVERAGE(Tableau2[[#This Row],[AWB]:[IAM]])</f>
        <v>3.57960907664788E-3</v>
      </c>
      <c r="R75" s="15">
        <f>ABS(Tableau2[[#This Row],[Rm ]])</f>
        <v>3.57960907664788E-3</v>
      </c>
      <c r="S75" s="15">
        <f>(Tableau2[[#This Row],[Rm ]]-Tableau2[[#Totals],[Rm ]])^2</f>
        <v>7.7726874411242324E-6</v>
      </c>
      <c r="T75" s="15">
        <f t="shared" si="2"/>
        <v>0.15420490411144488</v>
      </c>
      <c r="U75" s="15">
        <f t="shared" si="3"/>
        <v>0.18274599729358659</v>
      </c>
    </row>
    <row r="76" spans="1:21" x14ac:dyDescent="0.35">
      <c r="A76" s="10">
        <v>44193</v>
      </c>
      <c r="B76" s="2">
        <v>2.3337233462200971E-3</v>
      </c>
      <c r="C76" s="2">
        <v>-1.6129381929883641E-2</v>
      </c>
      <c r="D76" s="2">
        <v>1.926462880318788E-3</v>
      </c>
      <c r="E76" s="2">
        <v>-4.4833450058238737E-2</v>
      </c>
      <c r="F76" s="2">
        <v>0</v>
      </c>
      <c r="G76" s="2">
        <v>-1.9802627296179751E-2</v>
      </c>
      <c r="H76" s="2">
        <v>-5.4200674693392556E-3</v>
      </c>
      <c r="I76" s="2">
        <v>-2.513066472557951E-2</v>
      </c>
      <c r="J76" s="2">
        <v>-1.2270092591814359E-2</v>
      </c>
      <c r="K76" s="2">
        <v>-3.7961506287118793E-2</v>
      </c>
      <c r="L76" s="2">
        <v>1.516822147317144E-2</v>
      </c>
      <c r="M76" s="2">
        <v>-1.2500162764231489E-2</v>
      </c>
      <c r="N76" s="2">
        <v>-3.129893008927704E-3</v>
      </c>
      <c r="O76" s="2">
        <v>-1.379332213233587E-2</v>
      </c>
      <c r="P76" s="2">
        <v>-1.5037877364540561E-2</v>
      </c>
      <c r="Q76" s="15">
        <f>AVERAGE(Tableau2[[#This Row],[AWB]:[IAM]])</f>
        <v>-1.243870919523196E-2</v>
      </c>
      <c r="R76" s="15">
        <f>ABS(Tableau2[[#This Row],[Rm ]])</f>
        <v>1.243870919523196E-2</v>
      </c>
      <c r="S76" s="15">
        <f>(Tableau2[[#This Row],[Rm ]]-Tableau2[[#Totals],[Rm ]])^2</f>
        <v>1.7504253907505601E-4</v>
      </c>
      <c r="T76" s="15">
        <f t="shared" si="2"/>
        <v>0.16893274770115066</v>
      </c>
      <c r="U76" s="15">
        <f t="shared" si="3"/>
        <v>0.15420490411144488</v>
      </c>
    </row>
    <row r="77" spans="1:21" x14ac:dyDescent="0.35">
      <c r="A77" s="10">
        <v>44194</v>
      </c>
      <c r="B77" s="2">
        <v>2.3282897595911681E-3</v>
      </c>
      <c r="C77" s="2">
        <v>-4.0733253876357864E-3</v>
      </c>
      <c r="D77" s="2">
        <v>-6.5250913982578141E-3</v>
      </c>
      <c r="E77" s="2">
        <v>4.8661896511729063E-3</v>
      </c>
      <c r="F77" s="2">
        <v>-7.8568714952201319E-3</v>
      </c>
      <c r="G77" s="2">
        <v>1.460973728859684E-2</v>
      </c>
      <c r="H77" s="2">
        <v>-2.1978906718775119E-2</v>
      </c>
      <c r="I77" s="2">
        <v>-4.5011328807915384E-3</v>
      </c>
      <c r="J77" s="2">
        <v>-6.191970247921107E-3</v>
      </c>
      <c r="K77" s="2">
        <v>0</v>
      </c>
      <c r="L77" s="2">
        <v>-1.954459607297028E-2</v>
      </c>
      <c r="M77" s="2">
        <v>5.6444176196771313E-3</v>
      </c>
      <c r="N77" s="2">
        <v>-2.15470947035129E-2</v>
      </c>
      <c r="O77" s="2">
        <v>-9.3023926623135612E-3</v>
      </c>
      <c r="P77" s="2">
        <v>0</v>
      </c>
      <c r="Q77" s="15">
        <f>AVERAGE(Tableau2[[#This Row],[AWB]:[IAM]])</f>
        <v>-4.9381831498906794E-3</v>
      </c>
      <c r="R77" s="15">
        <f>ABS(Tableau2[[#This Row],[Rm ]])</f>
        <v>4.9381831498906794E-3</v>
      </c>
      <c r="S77" s="15">
        <f>(Tableau2[[#This Row],[Rm ]]-Tableau2[[#Totals],[Rm ]])^2</f>
        <v>3.2831046235874448E-5</v>
      </c>
      <c r="T77" s="15">
        <f t="shared" si="2"/>
        <v>0.11215031155957435</v>
      </c>
      <c r="U77" s="15">
        <f t="shared" si="3"/>
        <v>0.16893274770115066</v>
      </c>
    </row>
    <row r="78" spans="1:21" x14ac:dyDescent="0.35">
      <c r="A78" s="10">
        <v>44209</v>
      </c>
      <c r="B78" s="2">
        <v>-1.4051753455650301E-2</v>
      </c>
      <c r="C78" s="2">
        <v>-3.885088211570424E-3</v>
      </c>
      <c r="D78" s="2">
        <v>-3.9490028227663924E-3</v>
      </c>
      <c r="E78" s="2">
        <v>9.6619109117368901E-3</v>
      </c>
      <c r="F78" s="2">
        <v>5.0416485914015999E-2</v>
      </c>
      <c r="G78" s="2">
        <v>3.9378036933094919E-2</v>
      </c>
      <c r="H78" s="2">
        <v>2.1978906718775171E-2</v>
      </c>
      <c r="I78" s="2">
        <v>-7.5472056353829663E-3</v>
      </c>
      <c r="J78" s="2">
        <v>6.1919702479209804E-3</v>
      </c>
      <c r="K78" s="2">
        <v>4.9216522089186709E-3</v>
      </c>
      <c r="L78" s="2">
        <v>-2.1953905634356152E-3</v>
      </c>
      <c r="M78" s="2">
        <v>1.612938192988372E-2</v>
      </c>
      <c r="N78" s="2">
        <v>5.7489778269217574E-3</v>
      </c>
      <c r="O78" s="2">
        <v>1.115253195047511E-2</v>
      </c>
      <c r="P78" s="2">
        <v>1.50378773645405E-2</v>
      </c>
      <c r="Q78" s="15">
        <f>AVERAGE(Tableau2[[#This Row],[AWB]:[IAM]])</f>
        <v>9.9326194211652001E-3</v>
      </c>
      <c r="R78" s="15">
        <f>ABS(Tableau2[[#This Row],[Rm ]])</f>
        <v>9.9326194211652001E-3</v>
      </c>
      <c r="S78" s="15">
        <f>(Tableau2[[#This Row],[Rm ]]-Tableau2[[#Totals],[Rm ]])^2</f>
        <v>8.3557228934646129E-5</v>
      </c>
      <c r="T78" s="15">
        <f t="shared" si="2"/>
        <v>0.1842301011537715</v>
      </c>
      <c r="U78" s="15">
        <f t="shared" si="3"/>
        <v>0.11215031155957435</v>
      </c>
    </row>
    <row r="79" spans="1:21" x14ac:dyDescent="0.35">
      <c r="A79" s="10">
        <v>44211</v>
      </c>
      <c r="B79" s="2">
        <v>1.880786705545048E-2</v>
      </c>
      <c r="C79" s="2">
        <v>3.7990700698081373E-2</v>
      </c>
      <c r="D79" s="2">
        <v>1.7022819460489239E-2</v>
      </c>
      <c r="E79" s="2">
        <v>1.9048194970694411E-2</v>
      </c>
      <c r="F79" s="2">
        <v>0</v>
      </c>
      <c r="G79" s="2">
        <v>1.0720029613356791E-3</v>
      </c>
      <c r="H79" s="2">
        <v>5.4200674693393354E-3</v>
      </c>
      <c r="I79" s="2">
        <v>1.3544225107757249E-2</v>
      </c>
      <c r="J79" s="2">
        <v>1.1049836186584941E-2</v>
      </c>
      <c r="K79" s="2">
        <v>0</v>
      </c>
      <c r="L79" s="2">
        <v>2.6994972186374339E-2</v>
      </c>
      <c r="M79" s="2">
        <v>9.1884260544061701E-3</v>
      </c>
      <c r="N79" s="2">
        <v>2.887834073868694E-2</v>
      </c>
      <c r="O79" s="2">
        <v>1.649899938003507E-2</v>
      </c>
      <c r="P79" s="2">
        <v>-1.5037877364540561E-2</v>
      </c>
      <c r="Q79" s="15">
        <f>AVERAGE(Tableau2[[#This Row],[AWB]:[IAM]])</f>
        <v>1.2698571660312978E-2</v>
      </c>
      <c r="R79" s="15">
        <f>ABS(Tableau2[[#This Row],[Rm ]])</f>
        <v>1.2698571660312978E-2</v>
      </c>
      <c r="S79" s="15">
        <f>(Tableau2[[#This Row],[Rm ]]-Tableau2[[#Totals],[Rm ]])^2</f>
        <v>1.4177466225278923E-4</v>
      </c>
      <c r="T79" s="15">
        <f t="shared" si="2"/>
        <v>0.12850774020693392</v>
      </c>
      <c r="U79" s="15">
        <f t="shared" si="3"/>
        <v>0.1842301011537715</v>
      </c>
    </row>
    <row r="80" spans="1:21" x14ac:dyDescent="0.35">
      <c r="A80" s="10">
        <v>44217</v>
      </c>
      <c r="B80" s="2">
        <v>7.3792563608901501E-3</v>
      </c>
      <c r="C80" s="2">
        <v>-3.1608086370893962E-3</v>
      </c>
      <c r="D80" s="2">
        <v>1.2905095414398561E-2</v>
      </c>
      <c r="E80" s="2">
        <v>3.7664827954768652E-3</v>
      </c>
      <c r="F80" s="2">
        <v>7.9273180894507869E-2</v>
      </c>
      <c r="G80" s="2">
        <v>-1.983834221966433E-2</v>
      </c>
      <c r="H80" s="2">
        <v>-8.1411575836997738E-3</v>
      </c>
      <c r="I80" s="2">
        <v>-1.051850419122023E-2</v>
      </c>
      <c r="J80" s="2">
        <v>-1.1173300598125409E-2</v>
      </c>
      <c r="K80" s="2">
        <v>0</v>
      </c>
      <c r="L80" s="2">
        <v>1.0695759141710091E-4</v>
      </c>
      <c r="M80" s="2">
        <v>6.0790460763821934E-3</v>
      </c>
      <c r="N80" s="2">
        <v>2.0821327813585519E-2</v>
      </c>
      <c r="O80" s="2">
        <v>2.247285585205858E-2</v>
      </c>
      <c r="P80" s="2">
        <v>7.547205635383125E-3</v>
      </c>
      <c r="Q80" s="15">
        <f>AVERAGE(Tableau2[[#This Row],[AWB]:[IAM]])</f>
        <v>7.1679530136200551E-3</v>
      </c>
      <c r="R80" s="15">
        <f>ABS(Tableau2[[#This Row],[Rm ]])</f>
        <v>7.1679530136200551E-3</v>
      </c>
      <c r="S80" s="15">
        <f>(Tableau2[[#This Row],[Rm ]]-Tableau2[[#Totals],[Rm ]])^2</f>
        <v>4.065717523239368E-5</v>
      </c>
      <c r="T80" s="15">
        <f t="shared" si="2"/>
        <v>0.21442843866456143</v>
      </c>
      <c r="U80" s="15">
        <f t="shared" si="3"/>
        <v>0.12850774020693392</v>
      </c>
    </row>
    <row r="81" spans="1:21" x14ac:dyDescent="0.35">
      <c r="A81" s="10">
        <v>44218</v>
      </c>
      <c r="B81" s="2">
        <v>4.0126164472917862E-3</v>
      </c>
      <c r="C81" s="2">
        <v>1.6678499044089981E-2</v>
      </c>
      <c r="D81" s="2">
        <v>1.9018721079647551E-2</v>
      </c>
      <c r="E81" s="2">
        <v>-3.7664827954768929E-3</v>
      </c>
      <c r="F81" s="2">
        <v>-2.2577837217962641E-2</v>
      </c>
      <c r="G81" s="2">
        <v>0</v>
      </c>
      <c r="H81" s="2">
        <v>0</v>
      </c>
      <c r="I81" s="2">
        <v>-3.025720916537068E-3</v>
      </c>
      <c r="J81" s="2">
        <v>-4.056993755404651E-2</v>
      </c>
      <c r="K81" s="2">
        <v>2.580646593491713E-3</v>
      </c>
      <c r="L81" s="2">
        <v>-5.3619431413853991E-3</v>
      </c>
      <c r="M81" s="2">
        <v>0</v>
      </c>
      <c r="N81" s="2">
        <v>-6.0624433502739561E-4</v>
      </c>
      <c r="O81" s="2">
        <v>0</v>
      </c>
      <c r="P81" s="2">
        <v>0</v>
      </c>
      <c r="Q81" s="15">
        <f>AVERAGE(Tableau2[[#This Row],[AWB]:[IAM]])</f>
        <v>-2.2411788530609916E-3</v>
      </c>
      <c r="R81" s="15">
        <f>ABS(Tableau2[[#This Row],[Rm ]])</f>
        <v>2.2411788530609916E-3</v>
      </c>
      <c r="S81" s="15">
        <f>(Tableau2[[#This Row],[Rm ]]-Tableau2[[#Totals],[Rm ]])^2</f>
        <v>9.1980817158936756E-6</v>
      </c>
      <c r="T81" s="15">
        <f t="shared" si="2"/>
        <v>0.1261002877906835</v>
      </c>
      <c r="U81" s="15">
        <f t="shared" si="3"/>
        <v>0.21442843866456143</v>
      </c>
    </row>
    <row r="82" spans="1:21" x14ac:dyDescent="0.35">
      <c r="A82" s="10">
        <v>44225</v>
      </c>
      <c r="B82" s="2">
        <v>-2.0616202468693679E-3</v>
      </c>
      <c r="C82" s="2">
        <v>7.7534794316619178E-3</v>
      </c>
      <c r="D82" s="2">
        <v>1.1871270979744251E-2</v>
      </c>
      <c r="E82" s="2">
        <v>-1.138532222512535E-2</v>
      </c>
      <c r="F82" s="2">
        <v>2.3347363996991111E-2</v>
      </c>
      <c r="G82" s="2">
        <v>7.3717575896567647E-2</v>
      </c>
      <c r="H82" s="2">
        <v>1.361470598320949E-3</v>
      </c>
      <c r="I82" s="2">
        <v>7.020425867324856E-2</v>
      </c>
      <c r="J82" s="2">
        <v>1.695712206675629E-2</v>
      </c>
      <c r="K82" s="2">
        <v>-1.244829352656792E-2</v>
      </c>
      <c r="L82" s="2">
        <v>5.4688892940995904E-3</v>
      </c>
      <c r="M82" s="2">
        <v>-5.4694758045354319E-3</v>
      </c>
      <c r="N82" s="2">
        <v>-5.4728017413547764E-3</v>
      </c>
      <c r="O82" s="2">
        <v>2.675011507591489E-2</v>
      </c>
      <c r="P82" s="2">
        <v>2.230575751429819E-2</v>
      </c>
      <c r="Q82" s="15">
        <f>AVERAGE(Tableau2[[#This Row],[AWB]:[IAM]])</f>
        <v>1.4859985998876701E-2</v>
      </c>
      <c r="R82" s="15">
        <f>ABS(Tableau2[[#This Row],[Rm ]])</f>
        <v>1.4859985998876701E-2</v>
      </c>
      <c r="S82" s="15">
        <f>(Tableau2[[#This Row],[Rm ]]-Tableau2[[#Totals],[Rm ]])^2</f>
        <v>1.9791793460938382E-4</v>
      </c>
      <c r="T82" s="15">
        <f t="shared" si="2"/>
        <v>0.2812951677133062</v>
      </c>
      <c r="U82" s="15">
        <f t="shared" si="3"/>
        <v>0.1261002877906835</v>
      </c>
    </row>
    <row r="83" spans="1:21" x14ac:dyDescent="0.35">
      <c r="A83" s="10">
        <v>44230</v>
      </c>
      <c r="B83" s="2">
        <v>6.6278382264506148E-3</v>
      </c>
      <c r="C83" s="2">
        <v>-1.0676603407266611E-2</v>
      </c>
      <c r="D83" s="2">
        <v>3.716422658057196E-3</v>
      </c>
      <c r="E83" s="2">
        <v>2.8965726384587429E-2</v>
      </c>
      <c r="F83" s="2">
        <v>5.8994334343673627E-2</v>
      </c>
      <c r="G83" s="2">
        <v>-2.2242148733720761E-2</v>
      </c>
      <c r="H83" s="2">
        <v>1.913547135709685E-2</v>
      </c>
      <c r="I83" s="2">
        <v>-3.3025255431494538E-2</v>
      </c>
      <c r="J83" s="2">
        <v>-1.208281790612243E-2</v>
      </c>
      <c r="K83" s="2">
        <v>3.7894959187732141E-2</v>
      </c>
      <c r="L83" s="2">
        <v>5.2263998226484819E-3</v>
      </c>
      <c r="M83" s="2">
        <v>3.4734030581841033E-2</v>
      </c>
      <c r="N83" s="2">
        <v>1.031249660831871E-2</v>
      </c>
      <c r="O83" s="2">
        <v>3.7580051023919543E-2</v>
      </c>
      <c r="P83" s="2">
        <v>7.3260400920728812E-3</v>
      </c>
      <c r="Q83" s="15">
        <f>AVERAGE(Tableau2[[#This Row],[AWB]:[IAM]])</f>
        <v>1.1499129653852943E-2</v>
      </c>
      <c r="R83" s="15">
        <f>ABS(Tableau2[[#This Row],[Rm ]])</f>
        <v>1.1499129653852943E-2</v>
      </c>
      <c r="S83" s="15">
        <f>(Tableau2[[#This Row],[Rm ]]-Tableau2[[#Totals],[Rm ]])^2</f>
        <v>1.1465001157188398E-4</v>
      </c>
      <c r="T83" s="15">
        <f t="shared" si="2"/>
        <v>0.29272470632047121</v>
      </c>
      <c r="U83" s="15">
        <f t="shared" si="3"/>
        <v>0.2812951677133062</v>
      </c>
    </row>
    <row r="84" spans="1:21" x14ac:dyDescent="0.35">
      <c r="A84" s="10">
        <v>44232</v>
      </c>
      <c r="B84" s="2">
        <v>-1.0303468369724671E-2</v>
      </c>
      <c r="C84" s="2">
        <v>1.951409899840083E-4</v>
      </c>
      <c r="D84" s="2">
        <v>-8.7143769457629309E-3</v>
      </c>
      <c r="E84" s="2">
        <v>-6.3232496348275078E-3</v>
      </c>
      <c r="F84" s="2">
        <v>-2.05135398331029E-2</v>
      </c>
      <c r="G84" s="2">
        <v>1.715307922624949E-2</v>
      </c>
      <c r="H84" s="2">
        <v>1.431246271044332E-2</v>
      </c>
      <c r="I84" s="2">
        <v>3.4436688269902337E-2</v>
      </c>
      <c r="J84" s="2">
        <v>2.339657780639599E-2</v>
      </c>
      <c r="K84" s="2">
        <v>3.4328596157597438E-2</v>
      </c>
      <c r="L84" s="2">
        <v>0</v>
      </c>
      <c r="M84" s="2">
        <v>0</v>
      </c>
      <c r="N84" s="2">
        <v>-8.48489938929484E-3</v>
      </c>
      <c r="O84" s="2">
        <v>-1.02629448295586E-2</v>
      </c>
      <c r="P84" s="2">
        <v>-7.3260400920728977E-3</v>
      </c>
      <c r="Q84" s="15">
        <f>AVERAGE(Tableau2[[#This Row],[AWB]:[IAM]])</f>
        <v>3.4596017377485503E-3</v>
      </c>
      <c r="R84" s="15">
        <f>ABS(Tableau2[[#This Row],[Rm ]])</f>
        <v>3.4596017377485503E-3</v>
      </c>
      <c r="S84" s="15">
        <f>(Tableau2[[#This Row],[Rm ]]-Tableau2[[#Totals],[Rm ]])^2</f>
        <v>7.1179393242840152E-6</v>
      </c>
      <c r="T84" s="15">
        <f t="shared" si="2"/>
        <v>0.20259219192252501</v>
      </c>
      <c r="U84" s="15">
        <f t="shared" si="3"/>
        <v>0.29272470632047121</v>
      </c>
    </row>
    <row r="85" spans="1:21" x14ac:dyDescent="0.35">
      <c r="A85" s="10">
        <v>44235</v>
      </c>
      <c r="B85" s="2">
        <v>-2.0734945800102659E-3</v>
      </c>
      <c r="C85" s="2">
        <v>6.8060544689994961E-3</v>
      </c>
      <c r="D85" s="2">
        <v>6.259306624466594E-3</v>
      </c>
      <c r="E85" s="2">
        <v>-3.7383221106071039E-3</v>
      </c>
      <c r="F85" s="2">
        <v>2.413279821741595E-2</v>
      </c>
      <c r="G85" s="2">
        <v>-3.3549748681727422E-2</v>
      </c>
      <c r="H85" s="2">
        <v>-2.100861736785458E-2</v>
      </c>
      <c r="I85" s="2">
        <v>-5.6577237198588374E-3</v>
      </c>
      <c r="J85" s="2">
        <v>1.106357235597968E-2</v>
      </c>
      <c r="K85" s="2">
        <v>-2.1873869458004002E-3</v>
      </c>
      <c r="L85" s="2">
        <v>-5.3333459753626168E-3</v>
      </c>
      <c r="M85" s="2">
        <v>0</v>
      </c>
      <c r="N85" s="2">
        <v>9.0882176579722383E-3</v>
      </c>
      <c r="O85" s="2">
        <v>-2.1074823395646979E-3</v>
      </c>
      <c r="P85" s="2">
        <v>0</v>
      </c>
      <c r="Q85" s="15">
        <f>AVERAGE(Tableau2[[#This Row],[AWB]:[IAM]])</f>
        <v>-1.220411493063464E-3</v>
      </c>
      <c r="R85" s="15">
        <f>ABS(Tableau2[[#This Row],[Rm ]])</f>
        <v>1.220411493063464E-3</v>
      </c>
      <c r="S85" s="15">
        <f>(Tableau2[[#This Row],[Rm ]]-Tableau2[[#Totals],[Rm ]])^2</f>
        <v>4.0484119278545375E-6</v>
      </c>
      <c r="T85" s="15">
        <f t="shared" si="2"/>
        <v>0.13064660882569723</v>
      </c>
      <c r="U85" s="15">
        <f t="shared" si="3"/>
        <v>0.20259219192252501</v>
      </c>
    </row>
    <row r="86" spans="1:21" x14ac:dyDescent="0.35">
      <c r="A86" s="10">
        <v>44238</v>
      </c>
      <c r="B86" s="2">
        <v>-1.6510083193702719E-2</v>
      </c>
      <c r="C86" s="2">
        <v>-1.957009619409722E-2</v>
      </c>
      <c r="D86" s="2">
        <v>-7.7826328473192341E-3</v>
      </c>
      <c r="E86" s="2">
        <v>-7.5188324140273389E-3</v>
      </c>
      <c r="F86" s="2">
        <v>-1.749315744751723E-2</v>
      </c>
      <c r="G86" s="2">
        <v>-1.5954956425573319E-2</v>
      </c>
      <c r="H86" s="2">
        <v>-8.3659913120497122E-3</v>
      </c>
      <c r="I86" s="2">
        <v>-3.1702943241478522E-2</v>
      </c>
      <c r="J86" s="2">
        <v>-1.0938580167828581E-2</v>
      </c>
      <c r="K86" s="2">
        <v>2.1873869458004578E-3</v>
      </c>
      <c r="L86" s="2">
        <v>2.1388086917168521E-4</v>
      </c>
      <c r="M86" s="2">
        <v>-1.184146459439115E-2</v>
      </c>
      <c r="N86" s="2">
        <v>1.2055456553486891E-3</v>
      </c>
      <c r="O86" s="2">
        <v>-8.4746269909722321E-3</v>
      </c>
      <c r="P86" s="2">
        <v>2.1819047394639891E-2</v>
      </c>
      <c r="Q86" s="15">
        <f>AVERAGE(Tableau2[[#This Row],[AWB]:[IAM]])</f>
        <v>-8.7151669309331031E-3</v>
      </c>
      <c r="R86" s="15">
        <f>ABS(Tableau2[[#This Row],[Rm ]])</f>
        <v>8.7151669309331031E-3</v>
      </c>
      <c r="S86" s="15">
        <f>(Tableau2[[#This Row],[Rm ]]-Tableau2[[#Totals],[Rm ]])^2</f>
        <v>9.0379664905445694E-5</v>
      </c>
      <c r="T86" s="15">
        <f t="shared" si="2"/>
        <v>9.7511625458912593E-2</v>
      </c>
      <c r="U86" s="15">
        <f t="shared" si="3"/>
        <v>0.13064660882569723</v>
      </c>
    </row>
    <row r="87" spans="1:21" x14ac:dyDescent="0.35">
      <c r="A87" s="10">
        <v>44249</v>
      </c>
      <c r="B87" s="2">
        <v>-4.4648176625780456E-3</v>
      </c>
      <c r="C87" s="2">
        <v>7.4818226545494814E-3</v>
      </c>
      <c r="D87" s="2">
        <v>-1.4846372389878159E-2</v>
      </c>
      <c r="E87" s="2">
        <v>0</v>
      </c>
      <c r="F87" s="2">
        <v>-4.5120435280469537E-2</v>
      </c>
      <c r="G87" s="2">
        <v>1.1371835411856849E-2</v>
      </c>
      <c r="H87" s="2">
        <v>-5.4215235808833813E-4</v>
      </c>
      <c r="I87" s="2">
        <v>-1.326474865848306E-2</v>
      </c>
      <c r="J87" s="2">
        <v>-3.8346205008348851E-2</v>
      </c>
      <c r="K87" s="2">
        <v>-4.0629814234326468E-2</v>
      </c>
      <c r="L87" s="2">
        <v>5.1194651061907742E-3</v>
      </c>
      <c r="M87" s="2">
        <v>-1.439736926637749E-2</v>
      </c>
      <c r="N87" s="2">
        <v>-2.13097865867511E-2</v>
      </c>
      <c r="O87" s="2">
        <v>-1.0695289116747921E-2</v>
      </c>
      <c r="P87" s="2">
        <v>-6.693948267510938E-2</v>
      </c>
      <c r="Q87" s="15">
        <f>AVERAGE(Tableau2[[#This Row],[AWB]:[IAM]])</f>
        <v>-1.6438890004304083E-2</v>
      </c>
      <c r="R87" s="15">
        <f>ABS(Tableau2[[#This Row],[Rm ]])</f>
        <v>1.6438890004304083E-2</v>
      </c>
      <c r="S87" s="15">
        <f>(Tableau2[[#This Row],[Rm ]]-Tableau2[[#Totals],[Rm ]])^2</f>
        <v>2.9689168418839E-4</v>
      </c>
      <c r="T87" s="15">
        <f t="shared" si="2"/>
        <v>0.21316866103421828</v>
      </c>
      <c r="U87" s="15">
        <f t="shared" si="3"/>
        <v>9.7511625458912593E-2</v>
      </c>
    </row>
    <row r="88" spans="1:21" x14ac:dyDescent="0.35">
      <c r="A88" s="10">
        <v>44253</v>
      </c>
      <c r="B88" s="2">
        <v>-9.7030698561530009E-3</v>
      </c>
      <c r="C88" s="2">
        <v>-1.941039351982338E-2</v>
      </c>
      <c r="D88" s="2">
        <v>-1.5986823455772629E-2</v>
      </c>
      <c r="E88" s="2">
        <v>-4.2395558967685619E-2</v>
      </c>
      <c r="F88" s="2">
        <v>-8.4975405104406633E-3</v>
      </c>
      <c r="G88" s="2">
        <v>2.4434025337282041E-2</v>
      </c>
      <c r="H88" s="2">
        <v>-7.8372014398921969E-2</v>
      </c>
      <c r="I88" s="2">
        <v>-5.1761934558589448E-2</v>
      </c>
      <c r="J88" s="2">
        <v>3.3208670996653387E-2</v>
      </c>
      <c r="K88" s="2">
        <v>8.8106296821549059E-3</v>
      </c>
      <c r="L88" s="2">
        <v>-1.1708979995478891E-3</v>
      </c>
      <c r="M88" s="2">
        <v>3.0165935394257269E-3</v>
      </c>
      <c r="N88" s="2">
        <v>-1.5504186535965201E-2</v>
      </c>
      <c r="O88" s="2">
        <v>6.0034485627224136E-3</v>
      </c>
      <c r="P88" s="2">
        <v>-2.334736399699118E-2</v>
      </c>
      <c r="Q88" s="15">
        <f>AVERAGE(Tableau2[[#This Row],[AWB]:[IAM]])</f>
        <v>-1.2711761045443496E-2</v>
      </c>
      <c r="R88" s="15">
        <f>ABS(Tableau2[[#This Row],[Rm ]])</f>
        <v>1.2711761045443496E-2</v>
      </c>
      <c r="S88" s="15">
        <f>(Tableau2[[#This Row],[Rm ]]-Tableau2[[#Totals],[Rm ]])^2</f>
        <v>1.8234224728114404E-4</v>
      </c>
      <c r="T88" s="15">
        <f t="shared" si="2"/>
        <v>0.30566533347651209</v>
      </c>
      <c r="U88" s="15">
        <f t="shared" si="3"/>
        <v>0.21316866103421828</v>
      </c>
    </row>
    <row r="89" spans="1:21" x14ac:dyDescent="0.35">
      <c r="A89" s="10">
        <v>44267</v>
      </c>
      <c r="B89" s="2">
        <v>1.1883542693787131E-3</v>
      </c>
      <c r="C89" s="2">
        <v>-4.0080213975388218E-3</v>
      </c>
      <c r="D89" s="2">
        <v>-1.4915799237365289E-2</v>
      </c>
      <c r="E89" s="2">
        <v>3.4629633016816458E-2</v>
      </c>
      <c r="F89" s="2">
        <v>-1.4849823486550401E-2</v>
      </c>
      <c r="G89" s="2">
        <v>-8.3006866570041207E-2</v>
      </c>
      <c r="H89" s="2">
        <v>-2.936859673309714E-3</v>
      </c>
      <c r="I89" s="2">
        <v>-1.8928009885518911E-2</v>
      </c>
      <c r="J89" s="2">
        <v>-2.5157245972471359E-3</v>
      </c>
      <c r="K89" s="2">
        <v>-5.0137880218022472E-4</v>
      </c>
      <c r="L89" s="2">
        <v>1.0645093617539681E-3</v>
      </c>
      <c r="M89" s="2">
        <v>6.6046472448048343E-3</v>
      </c>
      <c r="N89" s="2">
        <v>-6.2696130135953734E-3</v>
      </c>
      <c r="O89" s="2">
        <v>3.4044052566553053E-2</v>
      </c>
      <c r="P89" s="2">
        <v>1.562531790308103E-2</v>
      </c>
      <c r="Q89" s="15">
        <f>AVERAGE(Tableau2[[#This Row],[AWB]:[IAM]])</f>
        <v>-3.6517054867306015E-3</v>
      </c>
      <c r="R89" s="15">
        <f>ABS(Tableau2[[#This Row],[Rm ]])</f>
        <v>3.6517054867306015E-3</v>
      </c>
      <c r="S89" s="15">
        <f>(Tableau2[[#This Row],[Rm ]]-Tableau2[[#Totals],[Rm ]])^2</f>
        <v>1.9743453199769139E-5</v>
      </c>
      <c r="T89" s="15">
        <f t="shared" si="2"/>
        <v>0.22214391284329521</v>
      </c>
      <c r="U89" s="15">
        <f t="shared" si="3"/>
        <v>0.30566533347651209</v>
      </c>
    </row>
    <row r="90" spans="1:21" x14ac:dyDescent="0.35">
      <c r="A90" s="10">
        <v>44273</v>
      </c>
      <c r="B90" s="2">
        <v>-1.423383878133676E-2</v>
      </c>
      <c r="C90" s="2">
        <v>1.395835225070685E-2</v>
      </c>
      <c r="D90" s="2">
        <v>2.6444242937147991E-2</v>
      </c>
      <c r="E90" s="2">
        <v>7.7659259508690353E-3</v>
      </c>
      <c r="F90" s="2">
        <v>9.0286846672100532E-2</v>
      </c>
      <c r="G90" s="2">
        <v>-3.7797971515258738E-2</v>
      </c>
      <c r="H90" s="2">
        <v>-2.0803127629763281E-2</v>
      </c>
      <c r="I90" s="2">
        <v>-9.6000737290193421E-3</v>
      </c>
      <c r="J90" s="2">
        <v>1.375881617142753E-2</v>
      </c>
      <c r="K90" s="2">
        <v>-2.4880694469236939E-2</v>
      </c>
      <c r="L90" s="2">
        <v>2.1263959077322502E-2</v>
      </c>
      <c r="M90" s="2">
        <v>3.4699158896430979E-2</v>
      </c>
      <c r="N90" s="2">
        <v>3.7647148705850897E-2</v>
      </c>
      <c r="O90" s="2">
        <v>1.4452361346985541E-3</v>
      </c>
      <c r="P90" s="2">
        <v>7.7220460939103194E-3</v>
      </c>
      <c r="Q90" s="15">
        <f>AVERAGE(Tableau2[[#This Row],[AWB]:[IAM]])</f>
        <v>9.8450684510566749E-3</v>
      </c>
      <c r="R90" s="15">
        <f>ABS(Tableau2[[#This Row],[Rm ]])</f>
        <v>9.8450684510566749E-3</v>
      </c>
      <c r="S90" s="15">
        <f>(Tableau2[[#This Row],[Rm ]]-Tableau2[[#Totals],[Rm ]])^2</f>
        <v>8.1964293516874166E-5</v>
      </c>
      <c r="T90" s="15">
        <f t="shared" si="2"/>
        <v>0.3363046035738444</v>
      </c>
      <c r="U90" s="15">
        <f t="shared" si="3"/>
        <v>0.22214391284329521</v>
      </c>
    </row>
    <row r="91" spans="1:21" x14ac:dyDescent="0.35">
      <c r="A91" s="10">
        <v>44277</v>
      </c>
      <c r="B91" s="2">
        <v>7.0824376237115872E-3</v>
      </c>
      <c r="C91" s="2">
        <v>-1.5767216174732809E-2</v>
      </c>
      <c r="D91" s="2">
        <v>9.7090528355743468E-4</v>
      </c>
      <c r="E91" s="2">
        <v>0</v>
      </c>
      <c r="F91" s="2">
        <v>-1.741698599400212E-2</v>
      </c>
      <c r="G91" s="2">
        <v>3.4958279920792828E-3</v>
      </c>
      <c r="H91" s="2">
        <v>-2.4625047305389069E-2</v>
      </c>
      <c r="I91" s="2">
        <v>-2.2765210773012429E-2</v>
      </c>
      <c r="J91" s="2">
        <v>7.8225481789680307E-2</v>
      </c>
      <c r="K91" s="2">
        <v>0</v>
      </c>
      <c r="L91" s="2">
        <v>-5.3261052228478862E-3</v>
      </c>
      <c r="M91" s="2">
        <v>-1.749315744751723E-2</v>
      </c>
      <c r="N91" s="2">
        <v>-1.8337922184451912E-2</v>
      </c>
      <c r="O91" s="2">
        <v>-1.4452361346985821E-3</v>
      </c>
      <c r="P91" s="2">
        <v>0</v>
      </c>
      <c r="Q91" s="15">
        <f>AVERAGE(Tableau2[[#This Row],[AWB]:[IAM]])</f>
        <v>-2.2268152365082284E-3</v>
      </c>
      <c r="R91" s="15">
        <f>ABS(Tableau2[[#This Row],[Rm ]])</f>
        <v>2.2268152365082284E-3</v>
      </c>
      <c r="S91" s="15">
        <f>(Tableau2[[#This Row],[Rm ]]-Tableau2[[#Totals],[Rm ]])^2</f>
        <v>9.1111631017702147E-6</v>
      </c>
      <c r="T91" s="15">
        <f t="shared" si="2"/>
        <v>0.21020951600538401</v>
      </c>
      <c r="U91" s="15">
        <f t="shared" si="3"/>
        <v>0.3363046035738444</v>
      </c>
    </row>
    <row r="92" spans="1:21" x14ac:dyDescent="0.35">
      <c r="A92" s="10">
        <v>44281</v>
      </c>
      <c r="B92" s="2">
        <v>4.7732787526575896E-3</v>
      </c>
      <c r="C92" s="2">
        <v>5.816885321564832E-3</v>
      </c>
      <c r="D92" s="2">
        <v>1.9286197653314921E-2</v>
      </c>
      <c r="E92" s="2">
        <v>-3.7807228399060438E-3</v>
      </c>
      <c r="F92" s="2">
        <v>-2.8212710094356181E-2</v>
      </c>
      <c r="G92" s="2">
        <v>1.162565525242996E-3</v>
      </c>
      <c r="H92" s="2">
        <v>-1.7386342954318349E-2</v>
      </c>
      <c r="I92" s="2">
        <v>1.144738584035097E-2</v>
      </c>
      <c r="J92" s="2">
        <v>4.4266944154401258E-2</v>
      </c>
      <c r="K92" s="2">
        <v>-2.3408090898014849E-2</v>
      </c>
      <c r="L92" s="2">
        <v>7.8227256812090779E-3</v>
      </c>
      <c r="M92" s="2">
        <v>2.3256862164267179E-2</v>
      </c>
      <c r="N92" s="2">
        <v>1.4089053880449041E-2</v>
      </c>
      <c r="O92" s="2">
        <v>3.7121098514405252E-3</v>
      </c>
      <c r="P92" s="2">
        <v>-7.7220460939102778E-3</v>
      </c>
      <c r="Q92" s="15">
        <f>AVERAGE(Tableau2[[#This Row],[AWB]:[IAM]])</f>
        <v>3.6749397296261792E-3</v>
      </c>
      <c r="R92" s="15">
        <f>ABS(Tableau2[[#This Row],[Rm ]])</f>
        <v>3.6749397296261792E-3</v>
      </c>
      <c r="S92" s="15">
        <f>(Tableau2[[#This Row],[Rm ]]-Tableau2[[#Totals],[Rm ]])^2</f>
        <v>8.313330322886111E-6</v>
      </c>
      <c r="T92" s="15">
        <f t="shared" si="2"/>
        <v>0.19215678469740552</v>
      </c>
      <c r="U92" s="15">
        <f t="shared" si="3"/>
        <v>0.21020951600538401</v>
      </c>
    </row>
    <row r="93" spans="1:21" x14ac:dyDescent="0.35">
      <c r="A93" s="10">
        <v>44308</v>
      </c>
      <c r="B93" s="2">
        <v>1.418463499195638E-2</v>
      </c>
      <c r="C93" s="2">
        <v>2.5082780367463239E-2</v>
      </c>
      <c r="D93" s="2">
        <v>0</v>
      </c>
      <c r="E93" s="2">
        <v>-7.6045993852193036E-3</v>
      </c>
      <c r="F93" s="2">
        <v>8.9267865348362285E-2</v>
      </c>
      <c r="G93" s="2">
        <v>-7.7489349092468764E-4</v>
      </c>
      <c r="H93" s="2">
        <v>-4.9432399797988878E-2</v>
      </c>
      <c r="I93" s="2">
        <v>7.8164772849336261E-2</v>
      </c>
      <c r="J93" s="2">
        <v>2.1849882784656591E-2</v>
      </c>
      <c r="K93" s="2">
        <v>2.3408090898014801E-2</v>
      </c>
      <c r="L93" s="2">
        <v>3.6297680505787311E-3</v>
      </c>
      <c r="M93" s="2">
        <v>2.5533302005164848E-2</v>
      </c>
      <c r="N93" s="2">
        <v>5.675281659244942E-2</v>
      </c>
      <c r="O93" s="2">
        <v>2.4803060456580862E-2</v>
      </c>
      <c r="P93" s="2">
        <v>7.7220460939103194E-3</v>
      </c>
      <c r="Q93" s="15">
        <f>AVERAGE(Tableau2[[#This Row],[AWB]:[IAM]])</f>
        <v>2.0839141850956058E-2</v>
      </c>
      <c r="R93" s="15">
        <f>ABS(Tableau2[[#This Row],[Rm ]])</f>
        <v>2.0839141850956058E-2</v>
      </c>
      <c r="S93" s="15">
        <f>(Tableau2[[#This Row],[Rm ]]-Tableau2[[#Totals],[Rm ]])^2</f>
        <v>4.0190172549872167E-4</v>
      </c>
      <c r="T93" s="15">
        <f t="shared" si="2"/>
        <v>0.34405625028218367</v>
      </c>
      <c r="U93" s="15">
        <f t="shared" si="3"/>
        <v>0.19215678469740552</v>
      </c>
    </row>
    <row r="94" spans="1:21" x14ac:dyDescent="0.35">
      <c r="A94" s="10">
        <v>44309</v>
      </c>
      <c r="B94" s="2">
        <v>9.1132772328653133E-3</v>
      </c>
      <c r="C94" s="2">
        <v>6.41588669190784E-3</v>
      </c>
      <c r="D94" s="2">
        <v>0</v>
      </c>
      <c r="E94" s="2">
        <v>0</v>
      </c>
      <c r="F94" s="2">
        <v>2.751033371889798E-3</v>
      </c>
      <c r="G94" s="2">
        <v>-3.883500026397633E-3</v>
      </c>
      <c r="H94" s="2">
        <v>-9.5884351738716473E-3</v>
      </c>
      <c r="I94" s="2">
        <v>-1.2103022171243649E-2</v>
      </c>
      <c r="J94" s="2">
        <v>-1.0810916104215621E-2</v>
      </c>
      <c r="K94" s="2">
        <v>1.023026825081504E-2</v>
      </c>
      <c r="L94" s="2">
        <v>9.273636785329253E-3</v>
      </c>
      <c r="M94" s="2">
        <v>-2.8050509276086101E-3</v>
      </c>
      <c r="N94" s="2">
        <v>0</v>
      </c>
      <c r="O94" s="2">
        <v>2.3810648693718611E-2</v>
      </c>
      <c r="P94" s="2">
        <v>0</v>
      </c>
      <c r="Q94" s="15">
        <f>AVERAGE(Tableau2[[#This Row],[AWB]:[IAM]])</f>
        <v>1.4935884415459128E-3</v>
      </c>
      <c r="R94" s="15">
        <f>ABS(Tableau2[[#This Row],[Rm ]])</f>
        <v>1.4935884415459128E-3</v>
      </c>
      <c r="S94" s="15">
        <f>(Tableau2[[#This Row],[Rm ]]-Tableau2[[#Totals],[Rm ]])^2</f>
        <v>4.9271043239386016E-7</v>
      </c>
      <c r="T94" s="15">
        <f t="shared" si="2"/>
        <v>0.10387242487572458</v>
      </c>
      <c r="U94" s="15">
        <f t="shared" si="3"/>
        <v>0.34405625028218367</v>
      </c>
    </row>
    <row r="95" spans="1:21" x14ac:dyDescent="0.35">
      <c r="A95" s="10">
        <v>44316</v>
      </c>
      <c r="B95" s="2">
        <v>2.3258518537238519E-4</v>
      </c>
      <c r="C95" s="2">
        <v>0</v>
      </c>
      <c r="D95" s="2">
        <v>-6.3023412601905153E-3</v>
      </c>
      <c r="E95" s="2">
        <v>9.4967475372572073E-3</v>
      </c>
      <c r="F95" s="2">
        <v>-1.8018505502678361E-2</v>
      </c>
      <c r="G95" s="2">
        <v>-7.8125397367936247E-3</v>
      </c>
      <c r="H95" s="2">
        <v>2.9462032730316071E-2</v>
      </c>
      <c r="I95" s="2">
        <v>1.660415505203516E-2</v>
      </c>
      <c r="J95" s="2">
        <v>1.6172859245600971E-2</v>
      </c>
      <c r="K95" s="2">
        <v>5.0761530318605679E-3</v>
      </c>
      <c r="L95" s="2">
        <v>7.1538373566187741E-3</v>
      </c>
      <c r="M95" s="2">
        <v>5.6022555486697524E-3</v>
      </c>
      <c r="N95" s="2">
        <v>2.869442427952739E-3</v>
      </c>
      <c r="O95" s="2">
        <v>-7.874056430905883E-3</v>
      </c>
      <c r="P95" s="2">
        <v>-3.8535693159900781E-3</v>
      </c>
      <c r="Q95" s="15">
        <f>AVERAGE(Tableau2[[#This Row],[AWB]:[IAM]])</f>
        <v>3.2539370579416781E-3</v>
      </c>
      <c r="R95" s="15">
        <f>ABS(Tableau2[[#This Row],[Rm ]])</f>
        <v>3.2539370579416781E-3</v>
      </c>
      <c r="S95" s="15">
        <f>(Tableau2[[#This Row],[Rm ]]-Tableau2[[#Totals],[Rm ]])^2</f>
        <v>6.0628324980042916E-6</v>
      </c>
      <c r="T95" s="15">
        <f t="shared" si="2"/>
        <v>0.12694728957786389</v>
      </c>
      <c r="U95" s="15">
        <f t="shared" si="3"/>
        <v>0.10387242487572458</v>
      </c>
    </row>
    <row r="96" spans="1:21" x14ac:dyDescent="0.35">
      <c r="A96" s="10">
        <v>44319</v>
      </c>
      <c r="B96" s="2">
        <v>9.374526150208928E-3</v>
      </c>
      <c r="C96" s="2">
        <v>5.7971176843259146E-3</v>
      </c>
      <c r="D96" s="2">
        <v>5.3499904691861541E-3</v>
      </c>
      <c r="E96" s="2">
        <v>-8.9243922798123224E-3</v>
      </c>
      <c r="F96" s="2">
        <v>2.2130917055770891E-2</v>
      </c>
      <c r="G96" s="2">
        <v>0</v>
      </c>
      <c r="H96" s="2">
        <v>8.9917111919640864E-3</v>
      </c>
      <c r="I96" s="2">
        <v>4.4809634350360186E-3</v>
      </c>
      <c r="J96" s="2">
        <v>0</v>
      </c>
      <c r="K96" s="2">
        <v>1.265022306586702E-3</v>
      </c>
      <c r="L96" s="2">
        <v>1.7163470294087629E-2</v>
      </c>
      <c r="M96" s="2">
        <v>0</v>
      </c>
      <c r="N96" s="2">
        <v>-1.7341475036487211E-2</v>
      </c>
      <c r="O96" s="2">
        <v>1.1787955752042171E-2</v>
      </c>
      <c r="P96" s="2">
        <v>0</v>
      </c>
      <c r="Q96" s="15">
        <f>AVERAGE(Tableau2[[#This Row],[AWB]:[IAM]])</f>
        <v>4.0050538015272636E-3</v>
      </c>
      <c r="R96" s="15">
        <f>ABS(Tableau2[[#This Row],[Rm ]])</f>
        <v>4.0050538015272636E-3</v>
      </c>
      <c r="S96" s="15">
        <f>(Tableau2[[#This Row],[Rm ]]-Tableau2[[#Totals],[Rm ]])^2</f>
        <v>1.0325931290146869E-5</v>
      </c>
      <c r="T96" s="15">
        <f t="shared" si="2"/>
        <v>0.10233439302604859</v>
      </c>
      <c r="U96" s="15">
        <f t="shared" si="3"/>
        <v>0.12694728957786389</v>
      </c>
    </row>
    <row r="97" spans="1:21" x14ac:dyDescent="0.35">
      <c r="A97" s="10">
        <v>44320</v>
      </c>
      <c r="B97" s="2">
        <v>4.4825085112173597E-3</v>
      </c>
      <c r="C97" s="2">
        <v>9.5878011551536121E-3</v>
      </c>
      <c r="D97" s="2">
        <v>9.5235079100443223E-4</v>
      </c>
      <c r="E97" s="2">
        <v>1.0812966967680551E-2</v>
      </c>
      <c r="F97" s="2">
        <v>-9.6220673640620962E-3</v>
      </c>
      <c r="G97" s="2">
        <v>1.1696039763191239E-2</v>
      </c>
      <c r="H97" s="2">
        <v>2.1819047394639669E-2</v>
      </c>
      <c r="I97" s="2">
        <v>3.8016273788842023E-2</v>
      </c>
      <c r="J97" s="2">
        <v>0</v>
      </c>
      <c r="K97" s="2">
        <v>0</v>
      </c>
      <c r="L97" s="2">
        <v>0</v>
      </c>
      <c r="M97" s="2">
        <v>1.6620881236040282E-2</v>
      </c>
      <c r="N97" s="2">
        <v>0</v>
      </c>
      <c r="O97" s="2">
        <v>0</v>
      </c>
      <c r="P97" s="2">
        <v>1.1516442061559081E-2</v>
      </c>
      <c r="Q97" s="15">
        <f>AVERAGE(Tableau2[[#This Row],[AWB]:[IAM]])</f>
        <v>7.7254829536844098E-3</v>
      </c>
      <c r="R97" s="15">
        <f>ABS(Tableau2[[#This Row],[Rm ]])</f>
        <v>7.7254829536844098E-3</v>
      </c>
      <c r="S97" s="15">
        <f>(Tableau2[[#This Row],[Rm ]]-Tableau2[[#Totals],[Rm ]])^2</f>
        <v>4.8077968866730036E-5</v>
      </c>
      <c r="T97" s="15">
        <f t="shared" si="2"/>
        <v>0.12844391488194815</v>
      </c>
      <c r="U97" s="15">
        <f t="shared" si="3"/>
        <v>0.10233439302604859</v>
      </c>
    </row>
    <row r="98" spans="1:21" x14ac:dyDescent="0.35">
      <c r="A98" s="10">
        <v>44322</v>
      </c>
      <c r="B98" s="2">
        <v>2.0544392055906111E-2</v>
      </c>
      <c r="C98" s="2">
        <v>3.8095284166676491E-3</v>
      </c>
      <c r="D98" s="2">
        <v>0</v>
      </c>
      <c r="E98" s="2">
        <v>1.4981553615616891E-2</v>
      </c>
      <c r="F98" s="2">
        <v>8.2531417567204817E-3</v>
      </c>
      <c r="G98" s="2">
        <v>-3.1498667059371051E-2</v>
      </c>
      <c r="H98" s="2">
        <v>-3.4041779168050269E-2</v>
      </c>
      <c r="I98" s="2">
        <v>-2.4692612590371522E-2</v>
      </c>
      <c r="J98" s="2">
        <v>1.5915455305899578E-2</v>
      </c>
      <c r="K98" s="2">
        <v>1.2634240467719201E-3</v>
      </c>
      <c r="L98" s="2">
        <v>0</v>
      </c>
      <c r="M98" s="2">
        <v>5.4794657646255714E-3</v>
      </c>
      <c r="N98" s="2">
        <v>1.7341475036487169E-2</v>
      </c>
      <c r="O98" s="2">
        <v>1.1650617219975269E-2</v>
      </c>
      <c r="P98" s="2">
        <v>0</v>
      </c>
      <c r="Q98" s="15">
        <f>AVERAGE(Tableau2[[#This Row],[AWB]:[IAM]])</f>
        <v>6.0039962672518645E-4</v>
      </c>
      <c r="R98" s="15">
        <f>ABS(Tableau2[[#This Row],[Rm ]])</f>
        <v>6.0039962672518645E-4</v>
      </c>
      <c r="S98" s="15">
        <f>(Tableau2[[#This Row],[Rm ]]-Tableau2[[#Totals],[Rm ]])^2</f>
        <v>3.657865158360945E-8</v>
      </c>
      <c r="T98" s="15">
        <f t="shared" si="2"/>
        <v>0.1871105401713444</v>
      </c>
      <c r="U98" s="15">
        <f t="shared" si="3"/>
        <v>0.12844391488194815</v>
      </c>
    </row>
    <row r="99" spans="1:21" x14ac:dyDescent="0.35">
      <c r="A99" s="10">
        <v>44323</v>
      </c>
      <c r="B99" s="2">
        <v>4.0363324224605528E-3</v>
      </c>
      <c r="C99" s="2">
        <v>5.6872191205895144E-3</v>
      </c>
      <c r="D99" s="2">
        <v>-1.2580388786123499E-2</v>
      </c>
      <c r="E99" s="2">
        <v>3.710579396535553E-3</v>
      </c>
      <c r="F99" s="2">
        <v>3.3673215106587807E-2</v>
      </c>
      <c r="G99" s="2">
        <v>0</v>
      </c>
      <c r="H99" s="2">
        <v>-5.8422756242284034E-3</v>
      </c>
      <c r="I99" s="2">
        <v>8.7848295557328114E-3</v>
      </c>
      <c r="J99" s="2">
        <v>-3.1628914085081949E-3</v>
      </c>
      <c r="K99" s="2">
        <v>-1.5267472130788421E-2</v>
      </c>
      <c r="L99" s="2">
        <v>9.9602417050554341E-3</v>
      </c>
      <c r="M99" s="2">
        <v>-5.4794657646255957E-3</v>
      </c>
      <c r="N99" s="2">
        <v>-8.0552794603182907E-3</v>
      </c>
      <c r="O99" s="2">
        <v>-4.6439711944507049E-3</v>
      </c>
      <c r="P99" s="2">
        <v>-1.151644206155918E-2</v>
      </c>
      <c r="Q99" s="15">
        <f>AVERAGE(Tableau2[[#This Row],[AWB]:[IAM]])</f>
        <v>-4.6384608242707369E-5</v>
      </c>
      <c r="R99" s="15">
        <f>ABS(Tableau2[[#This Row],[Rm ]])</f>
        <v>4.6384608242707369E-5</v>
      </c>
      <c r="S99" s="15">
        <f>(Tableau2[[#This Row],[Rm ]]-Tableau2[[#Totals],[Rm ]])^2</f>
        <v>7.0231053298759099E-7</v>
      </c>
      <c r="T99" s="15">
        <f t="shared" si="2"/>
        <v>0.12164883217289255</v>
      </c>
      <c r="U99" s="15">
        <f t="shared" si="3"/>
        <v>0.1871105401713444</v>
      </c>
    </row>
    <row r="100" spans="1:21" x14ac:dyDescent="0.35">
      <c r="A100" s="10">
        <v>44326</v>
      </c>
      <c r="B100" s="2">
        <v>5.593154125339817E-4</v>
      </c>
      <c r="C100" s="2">
        <v>1.8885746878681551E-3</v>
      </c>
      <c r="D100" s="2">
        <v>6.2780475259328677E-3</v>
      </c>
      <c r="E100" s="2">
        <v>0</v>
      </c>
      <c r="F100" s="2">
        <v>2.2914259522875829E-2</v>
      </c>
      <c r="G100" s="2">
        <v>3.9920212695374567E-3</v>
      </c>
      <c r="H100" s="2">
        <v>2.6007817000574399E-3</v>
      </c>
      <c r="I100" s="2">
        <v>1.303421783890691E-2</v>
      </c>
      <c r="J100" s="2">
        <v>-7.5256065598226429E-3</v>
      </c>
      <c r="K100" s="2">
        <v>1.273902577742971E-2</v>
      </c>
      <c r="L100" s="2">
        <v>9.9058948169608823E-4</v>
      </c>
      <c r="M100" s="2">
        <v>2.7434859457508339E-3</v>
      </c>
      <c r="N100" s="2">
        <v>2.308137204750369E-3</v>
      </c>
      <c r="O100" s="2">
        <v>6.5726121008562481E-3</v>
      </c>
      <c r="P100" s="2">
        <v>3.8535693159899719E-3</v>
      </c>
      <c r="Q100" s="15">
        <f>AVERAGE(Tableau2[[#This Row],[AWB]:[IAM]])</f>
        <v>4.8632687482908811E-3</v>
      </c>
      <c r="R100" s="15">
        <f>ABS(Tableau2[[#This Row],[Rm ]])</f>
        <v>4.8632687482908811E-3</v>
      </c>
      <c r="S100" s="15">
        <f>(Tableau2[[#This Row],[Rm ]]-Tableau2[[#Totals],[Rm ]])^2</f>
        <v>1.6578037796194224E-5</v>
      </c>
      <c r="T100" s="15">
        <f t="shared" si="2"/>
        <v>7.350125191228013E-2</v>
      </c>
      <c r="U100" s="15">
        <f t="shared" si="3"/>
        <v>0.12164883217289255</v>
      </c>
    </row>
    <row r="101" spans="1:21" x14ac:dyDescent="0.35">
      <c r="A101" s="10">
        <v>44328</v>
      </c>
      <c r="B101" s="2">
        <v>-2.3512298801425121E-3</v>
      </c>
      <c r="C101" s="2">
        <v>1.131435157471782E-3</v>
      </c>
      <c r="D101" s="2">
        <v>-5.6998457173990449E-3</v>
      </c>
      <c r="E101" s="2">
        <v>3.6968618813262031E-3</v>
      </c>
      <c r="F101" s="2">
        <v>-3.8910554929665652E-3</v>
      </c>
      <c r="G101" s="2">
        <v>0</v>
      </c>
      <c r="H101" s="2">
        <v>-1.307208156735289E-2</v>
      </c>
      <c r="I101" s="2">
        <v>-7.2202479734870201E-3</v>
      </c>
      <c r="J101" s="2">
        <v>-5.2269573375687212E-3</v>
      </c>
      <c r="K101" s="2">
        <v>-1.273902577742971E-2</v>
      </c>
      <c r="L101" s="2">
        <v>1.0832208329360431E-2</v>
      </c>
      <c r="M101" s="2">
        <v>5.4644944720787453E-3</v>
      </c>
      <c r="N101" s="2">
        <v>-2.8860048891349872E-3</v>
      </c>
      <c r="O101" s="2">
        <v>-1.928640906405597E-3</v>
      </c>
      <c r="P101" s="2">
        <v>-1.1605546120307999E-2</v>
      </c>
      <c r="Q101" s="15">
        <f>AVERAGE(Tableau2[[#This Row],[AWB]:[IAM]])</f>
        <v>-3.0330423881305261E-3</v>
      </c>
      <c r="R101" s="15">
        <f>ABS(Tableau2[[#This Row],[Rm ]])</f>
        <v>3.0330423881305261E-3</v>
      </c>
      <c r="S101" s="15">
        <f>(Tableau2[[#This Row],[Rm ]]-Tableau2[[#Totals],[Rm ]])^2</f>
        <v>1.462831078624232E-5</v>
      </c>
      <c r="T101" s="15">
        <f t="shared" si="2"/>
        <v>6.8445923055830901E-2</v>
      </c>
      <c r="U101" s="15">
        <f t="shared" si="3"/>
        <v>7.350125191228013E-2</v>
      </c>
    </row>
    <row r="102" spans="1:21" x14ac:dyDescent="0.35">
      <c r="A102" s="10">
        <v>44333</v>
      </c>
      <c r="B102" s="2">
        <v>1.7886384744113051E-2</v>
      </c>
      <c r="C102" s="2">
        <v>9.7525154068689394E-3</v>
      </c>
      <c r="D102" s="2">
        <v>2.4363595643030721E-2</v>
      </c>
      <c r="E102" s="2">
        <v>2.9092960941664772E-2</v>
      </c>
      <c r="F102" s="2">
        <v>1.2270092591814399E-2</v>
      </c>
      <c r="G102" s="2">
        <v>-3.9920212695375608E-3</v>
      </c>
      <c r="H102" s="2">
        <v>-1.3245226750020571E-2</v>
      </c>
      <c r="I102" s="2">
        <v>0</v>
      </c>
      <c r="J102" s="2">
        <v>1.5704906826334498E-2</v>
      </c>
      <c r="K102" s="2">
        <v>-1.0050335853501451E-2</v>
      </c>
      <c r="L102" s="2">
        <v>-1.0832208329360431E-2</v>
      </c>
      <c r="M102" s="2">
        <v>5.4347959859569949E-3</v>
      </c>
      <c r="N102" s="2">
        <v>1.434744840814157E-2</v>
      </c>
      <c r="O102" s="2">
        <v>2.252433457848629E-2</v>
      </c>
      <c r="P102" s="2">
        <v>1.160554612030789E-2</v>
      </c>
      <c r="Q102" s="15">
        <f>AVERAGE(Tableau2[[#This Row],[AWB]:[IAM]])</f>
        <v>8.3241859362866086E-3</v>
      </c>
      <c r="R102" s="15">
        <f>ABS(Tableau2[[#This Row],[Rm ]])</f>
        <v>8.3241859362866086E-3</v>
      </c>
      <c r="S102" s="15">
        <f>(Tableau2[[#This Row],[Rm ]]-Tableau2[[#Totals],[Rm ]])^2</f>
        <v>5.6739020975814144E-5</v>
      </c>
      <c r="T102" s="15">
        <f t="shared" si="2"/>
        <v>0.16219762082994549</v>
      </c>
      <c r="U102" s="15">
        <f t="shared" si="3"/>
        <v>6.8445923055830901E-2</v>
      </c>
    </row>
    <row r="103" spans="1:21" x14ac:dyDescent="0.35">
      <c r="A103" s="10">
        <v>44335</v>
      </c>
      <c r="B103" s="2">
        <v>1.5622757250831379E-2</v>
      </c>
      <c r="C103" s="2">
        <v>-7.1174677688638777E-3</v>
      </c>
      <c r="D103" s="2">
        <v>-6.1616039013054954E-3</v>
      </c>
      <c r="E103" s="2">
        <v>-1.0448662885256791E-2</v>
      </c>
      <c r="F103" s="2">
        <v>2.409755157906052E-2</v>
      </c>
      <c r="G103" s="2">
        <v>0</v>
      </c>
      <c r="H103" s="2">
        <v>-1.0005003335835339E-3</v>
      </c>
      <c r="I103" s="2">
        <v>-2.792246061962338E-2</v>
      </c>
      <c r="J103" s="2">
        <v>-2.6356032335326952E-3</v>
      </c>
      <c r="K103" s="2">
        <v>2.2789361630931169E-2</v>
      </c>
      <c r="L103" s="2">
        <v>1.278915611632136E-2</v>
      </c>
      <c r="M103" s="2">
        <v>7.0213628991563698E-3</v>
      </c>
      <c r="N103" s="2">
        <v>-2.8530689824063991E-3</v>
      </c>
      <c r="O103" s="2">
        <v>-1.8670765262496249E-2</v>
      </c>
      <c r="P103" s="2">
        <v>0</v>
      </c>
      <c r="Q103" s="15">
        <f>AVERAGE(Tableau2[[#This Row],[AWB]:[IAM]])</f>
        <v>3.6733709928215864E-4</v>
      </c>
      <c r="R103" s="15">
        <f>ABS(Tableau2[[#This Row],[Rm ]])</f>
        <v>3.6733709928215864E-4</v>
      </c>
      <c r="S103" s="15">
        <f>(Tableau2[[#This Row],[Rm ]]-Tableau2[[#Totals],[Rm ]])^2</f>
        <v>1.8004575580728308E-7</v>
      </c>
      <c r="T103" s="15">
        <f t="shared" si="2"/>
        <v>0.16062416000045002</v>
      </c>
      <c r="U103" s="15">
        <f t="shared" si="3"/>
        <v>0.16219762082994549</v>
      </c>
    </row>
    <row r="104" spans="1:21" x14ac:dyDescent="0.35">
      <c r="A104" s="10">
        <v>44336</v>
      </c>
      <c r="B104" s="2">
        <v>-2.2472855852058628E-2</v>
      </c>
      <c r="C104" s="2">
        <v>-7.5472056353829663E-3</v>
      </c>
      <c r="D104" s="2">
        <v>-9.3778408718688793E-3</v>
      </c>
      <c r="E104" s="2">
        <v>-3.6225321895885603E-4</v>
      </c>
      <c r="F104" s="2">
        <v>-3.053672386008165E-2</v>
      </c>
      <c r="G104" s="2">
        <v>-2.0020026706730788E-3</v>
      </c>
      <c r="H104" s="2">
        <v>1.000500333583622E-3</v>
      </c>
      <c r="I104" s="2">
        <v>1.1851990587014329E-2</v>
      </c>
      <c r="J104" s="2">
        <v>-4.5495502480313726E-3</v>
      </c>
      <c r="K104" s="2">
        <v>0</v>
      </c>
      <c r="L104" s="2">
        <v>-6.866137813199274E-3</v>
      </c>
      <c r="M104" s="2">
        <v>-9.7350687707525776E-3</v>
      </c>
      <c r="N104" s="2">
        <v>-1.7291497110060991E-2</v>
      </c>
      <c r="O104" s="2">
        <v>-3.5228691883743828E-2</v>
      </c>
      <c r="P104" s="2">
        <v>-3.8535693159900781E-3</v>
      </c>
      <c r="Q104" s="15">
        <f>AVERAGE(Tableau2[[#This Row],[AWB]:[IAM]])</f>
        <v>-9.131393755346948E-3</v>
      </c>
      <c r="R104" s="15">
        <f>ABS(Tableau2[[#This Row],[Rm ]])</f>
        <v>9.131393755346948E-3</v>
      </c>
      <c r="S104" s="15">
        <f>(Tableau2[[#This Row],[Rm ]]-Tableau2[[#Totals],[Rm ]])^2</f>
        <v>9.8466898353476422E-5</v>
      </c>
      <c r="T104" s="15">
        <f t="shared" si="2"/>
        <v>0.13478266215623666</v>
      </c>
      <c r="U104" s="15">
        <f t="shared" si="3"/>
        <v>0.16062416000045002</v>
      </c>
    </row>
    <row r="105" spans="1:21" x14ac:dyDescent="0.35">
      <c r="A105" s="10">
        <v>44337</v>
      </c>
      <c r="B105" s="2">
        <v>1.1025470011707641E-2</v>
      </c>
      <c r="C105" s="2">
        <v>7.5472056353829038E-3</v>
      </c>
      <c r="D105" s="2">
        <v>0</v>
      </c>
      <c r="E105" s="2">
        <v>1.0631688574387409E-2</v>
      </c>
      <c r="F105" s="2">
        <v>7.7220460939103194E-3</v>
      </c>
      <c r="G105" s="2">
        <v>9.9701723198498508E-3</v>
      </c>
      <c r="H105" s="2">
        <v>1.9148818838760739E-2</v>
      </c>
      <c r="I105" s="2">
        <v>3.8994109934545808E-2</v>
      </c>
      <c r="J105" s="2">
        <v>-7.450806155865527E-3</v>
      </c>
      <c r="K105" s="2">
        <v>-1.273902577742971E-2</v>
      </c>
      <c r="L105" s="2">
        <v>4.9091900262383456E-3</v>
      </c>
      <c r="M105" s="2">
        <v>1.510276818575665E-2</v>
      </c>
      <c r="N105" s="2">
        <v>6.3749853687104941E-3</v>
      </c>
      <c r="O105" s="2">
        <v>1.5810606026642249E-2</v>
      </c>
      <c r="P105" s="2">
        <v>0</v>
      </c>
      <c r="Q105" s="15">
        <f>AVERAGE(Tableau2[[#This Row],[AWB]:[IAM]])</f>
        <v>8.4698152721731455E-3</v>
      </c>
      <c r="R105" s="15">
        <f>ABS(Tableau2[[#This Row],[Rm ]])</f>
        <v>8.4698152721731455E-3</v>
      </c>
      <c r="S105" s="15">
        <f>(Tableau2[[#This Row],[Rm ]]-Tableau2[[#Totals],[Rm ]])^2</f>
        <v>5.8954143809158102E-5</v>
      </c>
      <c r="T105" s="15">
        <f t="shared" si="2"/>
        <v>0.11488469305218173</v>
      </c>
      <c r="U105" s="15">
        <f t="shared" si="3"/>
        <v>0.13478266215623666</v>
      </c>
    </row>
    <row r="106" spans="1:21" x14ac:dyDescent="0.35">
      <c r="A106" s="10">
        <v>44340</v>
      </c>
      <c r="B106" s="2">
        <v>-8.7757794135900761E-4</v>
      </c>
      <c r="C106" s="2">
        <v>-1.115218060488277E-2</v>
      </c>
      <c r="D106" s="2">
        <v>-8.8241508698563564E-3</v>
      </c>
      <c r="E106" s="2">
        <v>3.399842229870359E-3</v>
      </c>
      <c r="F106" s="2">
        <v>-4.0554936166417907E-2</v>
      </c>
      <c r="G106" s="2">
        <v>3.8915416249673623E-2</v>
      </c>
      <c r="H106" s="2">
        <v>1.202679862968899E-2</v>
      </c>
      <c r="I106" s="2">
        <v>3.8893791121273537E-2</v>
      </c>
      <c r="J106" s="2">
        <v>1.442536681786618E-2</v>
      </c>
      <c r="K106" s="2">
        <v>1.5267472130788381E-2</v>
      </c>
      <c r="L106" s="2">
        <v>2.8007624986903581E-2</v>
      </c>
      <c r="M106" s="2">
        <v>-1.510276818575663E-2</v>
      </c>
      <c r="N106" s="2">
        <v>-5.79375896466986E-3</v>
      </c>
      <c r="O106" s="2">
        <v>-1.18344576470028E-2</v>
      </c>
      <c r="P106" s="2">
        <v>3.8535693159899719E-3</v>
      </c>
      <c r="Q106" s="15">
        <f>AVERAGE(Tableau2[[#This Row],[AWB]:[IAM]])</f>
        <v>4.0433367401406196E-3</v>
      </c>
      <c r="R106" s="15">
        <f>ABS(Tableau2[[#This Row],[Rm ]])</f>
        <v>4.0433367401406196E-3</v>
      </c>
      <c r="S106" s="15">
        <f>(Tableau2[[#This Row],[Rm ]]-Tableau2[[#Totals],[Rm ]])^2</f>
        <v>1.0573433564892893E-5</v>
      </c>
      <c r="T106" s="15">
        <f t="shared" si="2"/>
        <v>0.24637578272816055</v>
      </c>
      <c r="U106" s="15">
        <f t="shared" si="3"/>
        <v>0.11488469305218173</v>
      </c>
    </row>
    <row r="107" spans="1:21" x14ac:dyDescent="0.35">
      <c r="A107" s="10">
        <v>44348</v>
      </c>
      <c r="B107" s="2">
        <v>8.9588712391551455E-3</v>
      </c>
      <c r="C107" s="2">
        <v>1.1340132865562069E-2</v>
      </c>
      <c r="D107" s="2">
        <v>-6.960584947623835E-3</v>
      </c>
      <c r="E107" s="2">
        <v>-1.059541204229484E-2</v>
      </c>
      <c r="F107" s="2">
        <v>3.024556650755662E-2</v>
      </c>
      <c r="G107" s="2">
        <v>3.4143252743523013E-2</v>
      </c>
      <c r="H107" s="2">
        <v>4.0524696696741323E-2</v>
      </c>
      <c r="I107" s="2">
        <v>9.975902550089738E-2</v>
      </c>
      <c r="J107" s="2">
        <v>5.6704971852721059E-3</v>
      </c>
      <c r="K107" s="2">
        <v>5.037794029957081E-3</v>
      </c>
      <c r="L107" s="2">
        <v>-3.3901551675681339E-2</v>
      </c>
      <c r="M107" s="2">
        <v>1.6172859245600971E-2</v>
      </c>
      <c r="N107" s="2">
        <v>2.2408291820658031E-2</v>
      </c>
      <c r="O107" s="2">
        <v>8.1020105283175648E-3</v>
      </c>
      <c r="P107" s="2">
        <v>0</v>
      </c>
      <c r="Q107" s="15">
        <f>AVERAGE(Tableau2[[#This Row],[AWB]:[IAM]])</f>
        <v>1.5393696646509419E-2</v>
      </c>
      <c r="R107" s="15">
        <f>ABS(Tableau2[[#This Row],[Rm ]])</f>
        <v>1.5393696646509419E-2</v>
      </c>
      <c r="S107" s="15">
        <f>(Tableau2[[#This Row],[Rm ]]-Tableau2[[#Totals],[Rm ]])^2</f>
        <v>2.1321961766756695E-4</v>
      </c>
      <c r="T107" s="15">
        <f t="shared" si="2"/>
        <v>0.28741557506843285</v>
      </c>
      <c r="U107" s="15">
        <f t="shared" si="3"/>
        <v>0.24637578272816055</v>
      </c>
    </row>
    <row r="108" spans="1:21" x14ac:dyDescent="0.35">
      <c r="A108" s="10">
        <v>44349</v>
      </c>
      <c r="B108" s="2">
        <v>-4.3516101644058592E-4</v>
      </c>
      <c r="C108" s="2">
        <v>7.3027194684783456E-3</v>
      </c>
      <c r="D108" s="2">
        <v>2.4847188917472521E-2</v>
      </c>
      <c r="E108" s="2">
        <v>-1.0708878091042699E-2</v>
      </c>
      <c r="F108" s="2">
        <v>-5.1948168771040228E-3</v>
      </c>
      <c r="G108" s="2">
        <v>3.9064641615447072E-2</v>
      </c>
      <c r="H108" s="2">
        <v>3.8946205921872597E-2</v>
      </c>
      <c r="I108" s="2">
        <v>3.8698903886442607E-2</v>
      </c>
      <c r="J108" s="2">
        <v>1.041676085825558E-2</v>
      </c>
      <c r="K108" s="2">
        <v>5.0125418235441926E-3</v>
      </c>
      <c r="L108" s="2">
        <v>1.9512814223581719E-2</v>
      </c>
      <c r="M108" s="2">
        <v>1.6441632639796869E-2</v>
      </c>
      <c r="N108" s="2">
        <v>3.969384287498867E-3</v>
      </c>
      <c r="O108" s="2">
        <v>3.9175294048483938E-2</v>
      </c>
      <c r="P108" s="2">
        <v>-3.8535693159900781E-3</v>
      </c>
      <c r="Q108" s="15">
        <f>AVERAGE(Tableau2[[#This Row],[AWB]:[IAM]])</f>
        <v>1.4879710826019795E-2</v>
      </c>
      <c r="R108" s="15">
        <f>ABS(Tableau2[[#This Row],[Rm ]])</f>
        <v>1.4879710826019795E-2</v>
      </c>
      <c r="S108" s="15">
        <f>(Tableau2[[#This Row],[Rm ]]-Tableau2[[#Totals],[Rm ]])^2</f>
        <v>1.9847331446899545E-4</v>
      </c>
      <c r="T108" s="15">
        <f t="shared" si="2"/>
        <v>0.20757301614270832</v>
      </c>
      <c r="U108" s="15">
        <f t="shared" si="3"/>
        <v>0.28741557506843285</v>
      </c>
    </row>
    <row r="109" spans="1:21" x14ac:dyDescent="0.35">
      <c r="A109" s="10">
        <v>44350</v>
      </c>
      <c r="B109" s="2">
        <v>1.2005984892734221E-2</v>
      </c>
      <c r="C109" s="2">
        <v>0</v>
      </c>
      <c r="D109" s="2">
        <v>-2.7797099204970961E-3</v>
      </c>
      <c r="E109" s="2">
        <v>7.2727593290798781E-3</v>
      </c>
      <c r="F109" s="2">
        <v>-1.6409951434877869E-2</v>
      </c>
      <c r="G109" s="2">
        <v>3.896144959677985E-2</v>
      </c>
      <c r="H109" s="2">
        <v>3.9209235457313918E-2</v>
      </c>
      <c r="I109" s="2">
        <v>3.8399132934535958E-2</v>
      </c>
      <c r="J109" s="2">
        <v>2.0513539833103028E-2</v>
      </c>
      <c r="K109" s="2">
        <v>1.857638557293546E-2</v>
      </c>
      <c r="L109" s="2">
        <v>0</v>
      </c>
      <c r="M109" s="2">
        <v>-5.2617733389737846E-4</v>
      </c>
      <c r="N109" s="2">
        <v>1.2932426515104289E-2</v>
      </c>
      <c r="O109" s="2">
        <v>3.7698271416759493E-2</v>
      </c>
      <c r="P109" s="2">
        <v>3.8535693159899719E-3</v>
      </c>
      <c r="Q109" s="15">
        <f>AVERAGE(Tableau2[[#This Row],[AWB]:[IAM]])</f>
        <v>1.3980461078337583E-2</v>
      </c>
      <c r="R109" s="15">
        <f>ABS(Tableau2[[#This Row],[Rm ]])</f>
        <v>1.3980461078337583E-2</v>
      </c>
      <c r="S109" s="15">
        <f>(Tableau2[[#This Row],[Rm ]]-Tableau2[[#Totals],[Rm ]])^2</f>
        <v>1.7394460344275368E-4</v>
      </c>
      <c r="T109" s="15">
        <f t="shared" si="2"/>
        <v>0.20949873103794669</v>
      </c>
      <c r="U109" s="15">
        <f t="shared" si="3"/>
        <v>0.20757301614270832</v>
      </c>
    </row>
    <row r="110" spans="1:21" x14ac:dyDescent="0.35">
      <c r="A110" s="10">
        <v>44351</v>
      </c>
      <c r="B110" s="2">
        <v>-5.4983697359961108E-3</v>
      </c>
      <c r="C110" s="2">
        <v>-1.867414174795473E-3</v>
      </c>
      <c r="D110" s="2">
        <v>-3.1047070717619388E-3</v>
      </c>
      <c r="E110" s="2">
        <v>-3.6297680505787242E-3</v>
      </c>
      <c r="F110" s="2">
        <v>2.483787814412898E-2</v>
      </c>
      <c r="G110" s="2">
        <v>-3.412386997793317E-4</v>
      </c>
      <c r="H110" s="2">
        <v>7.7176315603828581E-3</v>
      </c>
      <c r="I110" s="2">
        <v>2.145762733846384E-2</v>
      </c>
      <c r="J110" s="2">
        <v>-5.0774309290857434E-4</v>
      </c>
      <c r="K110" s="2">
        <v>-1.2277472383224041E-3</v>
      </c>
      <c r="L110" s="2">
        <v>6.740516613842765E-3</v>
      </c>
      <c r="M110" s="2">
        <v>-1.058210933053697E-2</v>
      </c>
      <c r="N110" s="2">
        <v>0</v>
      </c>
      <c r="O110" s="2">
        <v>-1.413256521844827E-2</v>
      </c>
      <c r="P110" s="2">
        <v>-3.8535693159900781E-3</v>
      </c>
      <c r="Q110" s="15">
        <f>AVERAGE(Tableau2[[#This Row],[AWB]:[IAM]])</f>
        <v>1.067228115180038E-3</v>
      </c>
      <c r="R110" s="15">
        <f>ABS(Tableau2[[#This Row],[Rm ]])</f>
        <v>1.067228115180038E-3</v>
      </c>
      <c r="S110" s="15">
        <f>(Tableau2[[#This Row],[Rm ]]-Tableau2[[#Totals],[Rm ]])^2</f>
        <v>7.5940493141788066E-8</v>
      </c>
      <c r="T110" s="15">
        <f t="shared" si="2"/>
        <v>0.10837673812310447</v>
      </c>
      <c r="U110" s="15">
        <f t="shared" si="3"/>
        <v>0.20949873103794669</v>
      </c>
    </row>
    <row r="111" spans="1:21" x14ac:dyDescent="0.35">
      <c r="A111" s="10">
        <v>44354</v>
      </c>
      <c r="B111" s="2">
        <v>1.0804971337541791E-3</v>
      </c>
      <c r="C111" s="2">
        <v>-1.8709079358117311E-3</v>
      </c>
      <c r="D111" s="2">
        <v>7.4603620973223922E-3</v>
      </c>
      <c r="E111" s="2">
        <v>-1.096903137057393E-2</v>
      </c>
      <c r="F111" s="2">
        <v>-2.2194122473399081E-2</v>
      </c>
      <c r="G111" s="2">
        <v>2.360986563913367E-2</v>
      </c>
      <c r="H111" s="2">
        <v>3.9089286959852039E-2</v>
      </c>
      <c r="I111" s="2">
        <v>3.8360867872446372E-2</v>
      </c>
      <c r="J111" s="2">
        <v>-4.5813264145626682E-3</v>
      </c>
      <c r="K111" s="2">
        <v>1.9224341896227268E-2</v>
      </c>
      <c r="L111" s="2">
        <v>-1.9380451549662461E-2</v>
      </c>
      <c r="M111" s="2">
        <v>1.5944728331574549E-3</v>
      </c>
      <c r="N111" s="2">
        <v>0</v>
      </c>
      <c r="O111" s="2">
        <v>1.846722593164711E-3</v>
      </c>
      <c r="P111" s="2">
        <v>0</v>
      </c>
      <c r="Q111" s="15">
        <f>AVERAGE(Tableau2[[#This Row],[AWB]:[IAM]])</f>
        <v>4.8847051520698797E-3</v>
      </c>
      <c r="R111" s="15">
        <f>ABS(Tableau2[[#This Row],[Rm ]])</f>
        <v>4.8847051520698797E-3</v>
      </c>
      <c r="S111" s="15">
        <f>(Tableau2[[#This Row],[Rm ]]-Tableau2[[#Totals],[Rm ]])^2</f>
        <v>1.6753058824496344E-5</v>
      </c>
      <c r="T111" s="15">
        <f t="shared" si="2"/>
        <v>0.2020833392673328</v>
      </c>
      <c r="U111" s="15">
        <f t="shared" si="3"/>
        <v>0.10837673812310447</v>
      </c>
    </row>
    <row r="112" spans="1:21" x14ac:dyDescent="0.35">
      <c r="A112" s="10">
        <v>44355</v>
      </c>
      <c r="B112" s="2">
        <v>4.3103515011222631E-3</v>
      </c>
      <c r="C112" s="2">
        <v>-3.7523496185504642E-3</v>
      </c>
      <c r="D112" s="2">
        <v>-7.4603620973224694E-3</v>
      </c>
      <c r="E112" s="2">
        <v>1.965844158473383E-2</v>
      </c>
      <c r="F112" s="2">
        <v>-9.950330853168092E-3</v>
      </c>
      <c r="G112" s="2">
        <v>3.278982282299097E-2</v>
      </c>
      <c r="H112" s="2">
        <v>3.9199649657371903E-2</v>
      </c>
      <c r="I112" s="2">
        <v>3.9013909305992717E-2</v>
      </c>
      <c r="J112" s="2">
        <v>-1.025650016718911E-2</v>
      </c>
      <c r="K112" s="2">
        <v>-3.8825515284134061E-2</v>
      </c>
      <c r="L112" s="2">
        <v>1.263993493581979E-2</v>
      </c>
      <c r="M112" s="2">
        <v>1.0615712249588251E-3</v>
      </c>
      <c r="N112" s="2">
        <v>2.7894020875785918E-3</v>
      </c>
      <c r="O112" s="2">
        <v>3.683245416296368E-3</v>
      </c>
      <c r="P112" s="2">
        <v>3.8535693159899719E-3</v>
      </c>
      <c r="Q112" s="15">
        <f>AVERAGE(Tableau2[[#This Row],[AWB]:[IAM]])</f>
        <v>5.9169893221660691E-3</v>
      </c>
      <c r="R112" s="15">
        <f>ABS(Tableau2[[#This Row],[Rm ]])</f>
        <v>5.9169893221660691E-3</v>
      </c>
      <c r="S112" s="15">
        <f>(Tableau2[[#This Row],[Rm ]]-Tableau2[[#Totals],[Rm ]])^2</f>
        <v>2.6269051008801575E-5</v>
      </c>
      <c r="T112" s="15">
        <f t="shared" si="2"/>
        <v>0.22550776471972672</v>
      </c>
      <c r="U112" s="15">
        <f t="shared" si="3"/>
        <v>0.2020833392673328</v>
      </c>
    </row>
    <row r="113" spans="1:21" x14ac:dyDescent="0.35">
      <c r="A113" s="10">
        <v>44356</v>
      </c>
      <c r="B113" s="2">
        <v>-6.4725145056174788E-3</v>
      </c>
      <c r="C113" s="2">
        <v>0</v>
      </c>
      <c r="D113" s="2">
        <v>3.1047070717620472E-3</v>
      </c>
      <c r="E113" s="2">
        <v>-2.297275137611117E-2</v>
      </c>
      <c r="F113" s="2">
        <v>-5.3476063265952417E-3</v>
      </c>
      <c r="G113" s="2">
        <v>3.8910491342200128E-2</v>
      </c>
      <c r="H113" s="2">
        <v>3.898776991441838E-2</v>
      </c>
      <c r="I113" s="2">
        <v>1.844314571879458E-2</v>
      </c>
      <c r="J113" s="2">
        <v>-4.2003964249007167E-2</v>
      </c>
      <c r="K113" s="2">
        <v>2.8163916837794671E-2</v>
      </c>
      <c r="L113" s="2">
        <v>9.6571711995901315E-4</v>
      </c>
      <c r="M113" s="2">
        <v>7.9260652724207226E-3</v>
      </c>
      <c r="N113" s="2">
        <v>0</v>
      </c>
      <c r="O113" s="2">
        <v>-7.9358172313454319E-3</v>
      </c>
      <c r="P113" s="2">
        <v>3.8387763071656669E-3</v>
      </c>
      <c r="Q113" s="15">
        <f>AVERAGE(Tableau2[[#This Row],[AWB]:[IAM]])</f>
        <v>3.7071957263892477E-3</v>
      </c>
      <c r="R113" s="15">
        <f>ABS(Tableau2[[#This Row],[Rm ]])</f>
        <v>3.7071957263892477E-3</v>
      </c>
      <c r="S113" s="15">
        <f>(Tableau2[[#This Row],[Rm ]]-Tableau2[[#Totals],[Rm ]])^2</f>
        <v>8.5003772123282963E-6</v>
      </c>
      <c r="T113" s="15">
        <f t="shared" si="2"/>
        <v>0.22793117352685935</v>
      </c>
      <c r="U113" s="15">
        <f t="shared" si="3"/>
        <v>0.22550776471972672</v>
      </c>
    </row>
    <row r="114" spans="1:21" x14ac:dyDescent="0.35">
      <c r="A114" s="10">
        <v>44357</v>
      </c>
      <c r="B114" s="2">
        <v>4.6428847642026368E-3</v>
      </c>
      <c r="C114" s="2">
        <v>0</v>
      </c>
      <c r="D114" s="2">
        <v>5.5517144675074912E-3</v>
      </c>
      <c r="E114" s="2">
        <v>6.984038680339818E-3</v>
      </c>
      <c r="F114" s="2">
        <v>-6.7046599896768719E-4</v>
      </c>
      <c r="G114" s="2">
        <v>2.0574961943979671E-2</v>
      </c>
      <c r="H114" s="2">
        <v>-1.018079549369452E-2</v>
      </c>
      <c r="I114" s="2">
        <v>-3.05033281762298E-3</v>
      </c>
      <c r="J114" s="2">
        <v>-1.075211011197651E-4</v>
      </c>
      <c r="K114" s="2">
        <v>-3.3439648205292542E-2</v>
      </c>
      <c r="L114" s="2">
        <v>3.8535693159899719E-3</v>
      </c>
      <c r="M114" s="2">
        <v>-1.0050335853501451E-2</v>
      </c>
      <c r="N114" s="2">
        <v>-8.3916576362483997E-3</v>
      </c>
      <c r="O114" s="2">
        <v>1.160554612030789E-2</v>
      </c>
      <c r="P114" s="2">
        <v>-1.544432242747374E-2</v>
      </c>
      <c r="Q114" s="15">
        <f>AVERAGE(Tableau2[[#This Row],[AWB]:[IAM]])</f>
        <v>-1.8748242827729073E-3</v>
      </c>
      <c r="R114" s="15">
        <f>ABS(Tableau2[[#This Row],[Rm ]])</f>
        <v>1.8748242827729073E-3</v>
      </c>
      <c r="S114" s="15">
        <f>(Tableau2[[#This Row],[Rm ]]-Tableau2[[#Totals],[Rm ]])^2</f>
        <v>7.110112236377087E-6</v>
      </c>
      <c r="T114" s="15">
        <f t="shared" si="2"/>
        <v>0.1259514285393383</v>
      </c>
      <c r="U114" s="15">
        <f t="shared" si="3"/>
        <v>0.22793117352685935</v>
      </c>
    </row>
    <row r="115" spans="1:21" x14ac:dyDescent="0.35">
      <c r="A115" s="10">
        <v>44358</v>
      </c>
      <c r="B115" s="2">
        <v>-3.3450260486026472E-3</v>
      </c>
      <c r="C115" s="2">
        <v>3.7523496185503718E-3</v>
      </c>
      <c r="D115" s="2">
        <v>-8.3391727183605886E-3</v>
      </c>
      <c r="E115" s="2">
        <v>1.092907053219023E-2</v>
      </c>
      <c r="F115" s="2">
        <v>-4.0322635279384511E-3</v>
      </c>
      <c r="G115" s="2">
        <v>3.9045341218187091E-2</v>
      </c>
      <c r="H115" s="2">
        <v>3.9132156188955963E-2</v>
      </c>
      <c r="I115" s="2">
        <v>3.8946509810199689E-2</v>
      </c>
      <c r="J115" s="2">
        <v>1.547110079426265E-2</v>
      </c>
      <c r="K115" s="2">
        <v>7.5282664207915887E-3</v>
      </c>
      <c r="L115" s="2">
        <v>0</v>
      </c>
      <c r="M115" s="2">
        <v>-5.3177347703551225E-4</v>
      </c>
      <c r="N115" s="2">
        <v>2.3321434533772788E-2</v>
      </c>
      <c r="O115" s="2">
        <v>3.597510245827798E-2</v>
      </c>
      <c r="P115" s="2">
        <v>1.544432242747378E-2</v>
      </c>
      <c r="Q115" s="15">
        <f>AVERAGE(Tableau2[[#This Row],[AWB]:[IAM]])</f>
        <v>1.4219827882048331E-2</v>
      </c>
      <c r="R115" s="15">
        <f>ABS(Tableau2[[#This Row],[Rm ]])</f>
        <v>1.4219827882048331E-2</v>
      </c>
      <c r="S115" s="15">
        <f>(Tableau2[[#This Row],[Rm ]]-Tableau2[[#Totals],[Rm ]])^2</f>
        <v>1.8031582457866353E-4</v>
      </c>
      <c r="T115" s="15">
        <f t="shared" si="2"/>
        <v>0.21445148293785288</v>
      </c>
      <c r="U115" s="15">
        <f t="shared" si="3"/>
        <v>0.1259514285393383</v>
      </c>
    </row>
    <row r="116" spans="1:21" x14ac:dyDescent="0.35">
      <c r="A116" s="10">
        <v>44361</v>
      </c>
      <c r="B116" s="2">
        <v>9.466507871558472E-3</v>
      </c>
      <c r="C116" s="2">
        <v>2.618292126057146E-3</v>
      </c>
      <c r="D116" s="2">
        <v>2.127806623338371E-2</v>
      </c>
      <c r="E116" s="2">
        <v>-1.441499278521562E-2</v>
      </c>
      <c r="F116" s="2">
        <v>9.3834468657976247E-3</v>
      </c>
      <c r="G116" s="2">
        <v>3.8984586970850478E-2</v>
      </c>
      <c r="H116" s="2">
        <v>3.9078778584879063E-2</v>
      </c>
      <c r="I116" s="2">
        <v>3.842932044931735E-2</v>
      </c>
      <c r="J116" s="2">
        <v>-4.7758116775147123E-3</v>
      </c>
      <c r="K116" s="2">
        <v>2.4692612590371411E-2</v>
      </c>
      <c r="L116" s="2">
        <v>-4.8192864359488828E-3</v>
      </c>
      <c r="M116" s="2">
        <v>1.058210933053701E-2</v>
      </c>
      <c r="N116" s="2">
        <v>1.9565841553880099E-2</v>
      </c>
      <c r="O116" s="2">
        <v>3.472571137382971E-2</v>
      </c>
      <c r="P116" s="2">
        <v>-1.1560822401075969E-2</v>
      </c>
      <c r="Q116" s="15">
        <f>AVERAGE(Tableau2[[#This Row],[AWB]:[IAM]])</f>
        <v>1.421562404338046E-2</v>
      </c>
      <c r="R116" s="15">
        <f>ABS(Tableau2[[#This Row],[Rm ]])</f>
        <v>1.421562404338046E-2</v>
      </c>
      <c r="S116" s="15">
        <f>(Tableau2[[#This Row],[Rm ]]-Tableau2[[#Totals],[Rm ]])^2</f>
        <v>1.802029425068647E-4</v>
      </c>
      <c r="T116" s="15">
        <f t="shared" si="2"/>
        <v>0.21043308222420454</v>
      </c>
      <c r="U116" s="15">
        <f t="shared" si="3"/>
        <v>0.21445148293785288</v>
      </c>
    </row>
    <row r="117" spans="1:21" x14ac:dyDescent="0.35">
      <c r="A117" s="10">
        <v>44362</v>
      </c>
      <c r="B117" s="2">
        <v>-6.7680335696167406E-3</v>
      </c>
      <c r="C117" s="2">
        <v>-6.370641744607667E-3</v>
      </c>
      <c r="D117" s="2">
        <v>0</v>
      </c>
      <c r="E117" s="2">
        <v>1.6527411713644529E-3</v>
      </c>
      <c r="F117" s="2">
        <v>-1.3351136829693249E-3</v>
      </c>
      <c r="G117" s="2">
        <v>3.9145019883998919E-2</v>
      </c>
      <c r="H117" s="2">
        <v>3.9202514956721987E-2</v>
      </c>
      <c r="I117" s="2">
        <v>3.8821880639519232E-2</v>
      </c>
      <c r="J117" s="2">
        <v>-8.5470605784584083E-3</v>
      </c>
      <c r="K117" s="2">
        <v>-1.2270092591814359E-2</v>
      </c>
      <c r="L117" s="2">
        <v>-4.8426244757880151E-3</v>
      </c>
      <c r="M117" s="2">
        <v>-1.3778702356164281E-2</v>
      </c>
      <c r="N117" s="2">
        <v>-9.7350687707525776E-3</v>
      </c>
      <c r="O117" s="2">
        <v>-1.7559411398937241E-2</v>
      </c>
      <c r="P117" s="2">
        <v>3.8684767779203319E-3</v>
      </c>
      <c r="Q117" s="15">
        <f>AVERAGE(Tableau2[[#This Row],[AWB]:[IAM]])</f>
        <v>2.7655922840277539E-3</v>
      </c>
      <c r="R117" s="15">
        <f>ABS(Tableau2[[#This Row],[Rm ]])</f>
        <v>2.7655922840277539E-3</v>
      </c>
      <c r="S117" s="15">
        <f>(Tableau2[[#This Row],[Rm ]]-Tableau2[[#Totals],[Rm ]])^2</f>
        <v>3.8964280526629509E-6</v>
      </c>
      <c r="T117" s="15">
        <f t="shared" si="2"/>
        <v>0.2189216873831325</v>
      </c>
      <c r="U117" s="15">
        <f t="shared" si="3"/>
        <v>0.21043308222420454</v>
      </c>
    </row>
    <row r="118" spans="1:21" x14ac:dyDescent="0.35">
      <c r="A118" s="10">
        <v>44363</v>
      </c>
      <c r="B118" s="2">
        <v>-5.512633535505706E-3</v>
      </c>
      <c r="C118" s="2">
        <v>0</v>
      </c>
      <c r="D118" s="2">
        <v>6.2084809841747991E-4</v>
      </c>
      <c r="E118" s="2">
        <v>0</v>
      </c>
      <c r="F118" s="2">
        <v>-2.1607862968460661E-2</v>
      </c>
      <c r="G118" s="2">
        <v>-4.0551687720393297E-2</v>
      </c>
      <c r="H118" s="2">
        <v>-4.062296974101328E-2</v>
      </c>
      <c r="I118" s="2">
        <v>-4.0708673652095968E-2</v>
      </c>
      <c r="J118" s="2">
        <v>1.374628710298904E-2</v>
      </c>
      <c r="K118" s="2">
        <v>1.2270092591814399E-2</v>
      </c>
      <c r="L118" s="2">
        <v>4.8426244757879917E-3</v>
      </c>
      <c r="M118" s="2">
        <v>3.1965930256274938E-3</v>
      </c>
      <c r="N118" s="2">
        <v>-8.1855845864394049E-3</v>
      </c>
      <c r="O118" s="2">
        <v>-2.782610491111713E-3</v>
      </c>
      <c r="P118" s="2">
        <v>-3.8684767779202061E-3</v>
      </c>
      <c r="Q118" s="15">
        <f>AVERAGE(Tableau2[[#This Row],[AWB]:[IAM]])</f>
        <v>-8.6109369452202558E-3</v>
      </c>
      <c r="R118" s="15">
        <f>ABS(Tableau2[[#This Row],[Rm ]])</f>
        <v>8.6109369452202558E-3</v>
      </c>
      <c r="S118" s="15">
        <f>(Tableau2[[#This Row],[Rm ]]-Tableau2[[#Totals],[Rm ]])^2</f>
        <v>8.8408736948888128E-5</v>
      </c>
      <c r="T118" s="15">
        <f t="shared" si="2"/>
        <v>0.21366859644601768</v>
      </c>
      <c r="U118" s="15">
        <f t="shared" si="3"/>
        <v>0.2189216873831325</v>
      </c>
    </row>
    <row r="119" spans="1:21" x14ac:dyDescent="0.35">
      <c r="A119" s="10">
        <v>44364</v>
      </c>
      <c r="B119" s="2">
        <v>0</v>
      </c>
      <c r="C119" s="2">
        <v>-1.8814680997055089E-3</v>
      </c>
      <c r="D119" s="2">
        <v>7.9129987573255036E-3</v>
      </c>
      <c r="E119" s="2">
        <v>-3.6703982794154209E-4</v>
      </c>
      <c r="F119" s="2">
        <v>-1.366120431043414E-3</v>
      </c>
      <c r="G119" s="2">
        <v>-4.0212195500491162E-2</v>
      </c>
      <c r="H119" s="2">
        <v>-1.455699252718976E-2</v>
      </c>
      <c r="I119" s="2">
        <v>0</v>
      </c>
      <c r="J119" s="2">
        <v>-1.0588734576814491E-3</v>
      </c>
      <c r="K119" s="2">
        <v>2.436054797881121E-3</v>
      </c>
      <c r="L119" s="2">
        <v>-9.7088141269609379E-3</v>
      </c>
      <c r="M119" s="2">
        <v>-5.3333459753626168E-3</v>
      </c>
      <c r="N119" s="2">
        <v>2.735979818874845E-3</v>
      </c>
      <c r="O119" s="2">
        <v>-2.5040983957768732E-2</v>
      </c>
      <c r="P119" s="2">
        <v>7.7220460939103194E-3</v>
      </c>
      <c r="Q119" s="15">
        <f>AVERAGE(Tableau2[[#This Row],[AWB]:[IAM]])</f>
        <v>-5.2479169624102227E-3</v>
      </c>
      <c r="R119" s="15">
        <f>ABS(Tableau2[[#This Row],[Rm ]])</f>
        <v>5.2479169624102227E-3</v>
      </c>
      <c r="S119" s="15">
        <f>(Tableau2[[#This Row],[Rm ]]-Tableau2[[#Totals],[Rm ]])^2</f>
        <v>3.6476430555764755E-5</v>
      </c>
      <c r="T119" s="15">
        <f t="shared" si="2"/>
        <v>0.12512019569887836</v>
      </c>
      <c r="U119" s="15">
        <f t="shared" si="3"/>
        <v>0.21366859644601768</v>
      </c>
    </row>
    <row r="120" spans="1:21" x14ac:dyDescent="0.35">
      <c r="A120" s="10">
        <v>44369</v>
      </c>
      <c r="B120" s="2">
        <v>6.9129676901182966E-3</v>
      </c>
      <c r="C120" s="2">
        <v>5.6338177182560642E-3</v>
      </c>
      <c r="D120" s="2">
        <v>1.9814701018327271E-2</v>
      </c>
      <c r="E120" s="2">
        <v>4.0300475866785713E-3</v>
      </c>
      <c r="F120" s="2">
        <v>-1.5846008450078039E-2</v>
      </c>
      <c r="G120" s="2">
        <v>8.1034190020746091E-2</v>
      </c>
      <c r="H120" s="2">
        <v>8.9612158689687138E-2</v>
      </c>
      <c r="I120" s="2">
        <v>6.4007218548255473E-2</v>
      </c>
      <c r="J120" s="2">
        <v>-1.9578052451431901E-2</v>
      </c>
      <c r="K120" s="2">
        <v>5.09647990648434E-3</v>
      </c>
      <c r="L120" s="2">
        <v>2.922554442601867E-3</v>
      </c>
      <c r="M120" s="2">
        <v>-1.18344576470028E-2</v>
      </c>
      <c r="N120" s="2">
        <v>3.2733253449691089E-3</v>
      </c>
      <c r="O120" s="2">
        <v>0</v>
      </c>
      <c r="P120" s="2">
        <v>-7.7220460939102778E-3</v>
      </c>
      <c r="Q120" s="15">
        <f>AVERAGE(Tableau2[[#This Row],[AWB]:[IAM]])</f>
        <v>1.5157126421580076E-2</v>
      </c>
      <c r="R120" s="15">
        <f>ABS(Tableau2[[#This Row],[Rm ]])</f>
        <v>1.5157126421580076E-2</v>
      </c>
      <c r="S120" s="15">
        <f>(Tableau2[[#This Row],[Rm ]]-Tableau2[[#Totals],[Rm ]])^2</f>
        <v>2.0636676662718541E-4</v>
      </c>
      <c r="T120" s="15">
        <f t="shared" si="2"/>
        <v>0.36632563083360031</v>
      </c>
      <c r="U120" s="15">
        <f t="shared" si="3"/>
        <v>0.12512019569887836</v>
      </c>
    </row>
    <row r="121" spans="1:21" x14ac:dyDescent="0.35">
      <c r="A121" s="10">
        <v>44371</v>
      </c>
      <c r="B121" s="2">
        <v>-7.5635152572447314E-3</v>
      </c>
      <c r="C121" s="2">
        <v>-3.7523496185504642E-3</v>
      </c>
      <c r="D121" s="2">
        <v>1.8094094200787421E-3</v>
      </c>
      <c r="E121" s="2">
        <v>5.4694758045354761E-3</v>
      </c>
      <c r="F121" s="2">
        <v>4.8790164169432042E-2</v>
      </c>
      <c r="G121" s="2">
        <v>2.666824708216127E-2</v>
      </c>
      <c r="H121" s="2">
        <v>-5.8840500022933458E-2</v>
      </c>
      <c r="I121" s="2">
        <v>-1.247788025544283E-2</v>
      </c>
      <c r="J121" s="2">
        <v>5.8171013976000751E-3</v>
      </c>
      <c r="K121" s="2">
        <v>2.816415271804704E-2</v>
      </c>
      <c r="L121" s="2">
        <v>-2.922554442601854E-3</v>
      </c>
      <c r="M121" s="2">
        <v>-1.36204775229664E-2</v>
      </c>
      <c r="N121" s="2">
        <v>4.8899852941917711E-3</v>
      </c>
      <c r="O121" s="2">
        <v>-2.056720522569205E-2</v>
      </c>
      <c r="P121" s="2">
        <v>7.7220460939103194E-3</v>
      </c>
      <c r="Q121" s="15">
        <f>AVERAGE(Tableau2[[#This Row],[AWB]:[IAM]])</f>
        <v>6.3907330896832986E-4</v>
      </c>
      <c r="R121" s="15">
        <f>ABS(Tableau2[[#This Row],[Rm ]])</f>
        <v>6.3907330896832986E-4</v>
      </c>
      <c r="S121" s="15">
        <f>(Tableau2[[#This Row],[Rm ]]-Tableau2[[#Totals],[Rm ]])^2</f>
        <v>2.3281199385146929E-8</v>
      </c>
      <c r="T121" s="15">
        <f t="shared" si="2"/>
        <v>0.241825216417141</v>
      </c>
      <c r="U121" s="15">
        <f t="shared" si="3"/>
        <v>0.36632563083360031</v>
      </c>
    </row>
    <row r="122" spans="1:21" x14ac:dyDescent="0.35">
      <c r="A122" s="10">
        <v>44372</v>
      </c>
      <c r="B122" s="2">
        <v>-2.171553513507795E-3</v>
      </c>
      <c r="C122" s="2">
        <v>-3.7664827954768929E-3</v>
      </c>
      <c r="D122" s="2">
        <v>0</v>
      </c>
      <c r="E122" s="2">
        <v>-6.9330691869119243E-3</v>
      </c>
      <c r="F122" s="2">
        <v>8.5611323020335865E-3</v>
      </c>
      <c r="G122" s="2">
        <v>-1.351192897856505E-2</v>
      </c>
      <c r="H122" s="2">
        <v>-4.067631748598198E-2</v>
      </c>
      <c r="I122" s="2">
        <v>-4.0261613446470272E-2</v>
      </c>
      <c r="J122" s="2">
        <v>-3.386451395275631E-2</v>
      </c>
      <c r="K122" s="2">
        <v>7.2693484610308794E-3</v>
      </c>
      <c r="L122" s="2">
        <v>9.7088141269609032E-3</v>
      </c>
      <c r="M122" s="2">
        <v>1.416145670846179E-2</v>
      </c>
      <c r="N122" s="2">
        <v>-1.0899290458035629E-2</v>
      </c>
      <c r="O122" s="2">
        <v>-2.323541743270089E-2</v>
      </c>
      <c r="P122" s="2">
        <v>3.8387763071656669E-3</v>
      </c>
      <c r="Q122" s="15">
        <f>AVERAGE(Tableau2[[#This Row],[AWB]:[IAM]])</f>
        <v>-8.7853772896502591E-3</v>
      </c>
      <c r="R122" s="15">
        <f>ABS(Tableau2[[#This Row],[Rm ]])</f>
        <v>8.7853772896502591E-3</v>
      </c>
      <c r="S122" s="15">
        <f>(Tableau2[[#This Row],[Rm ]]-Tableau2[[#Totals],[Rm ]])^2</f>
        <v>9.1719549168378436E-5</v>
      </c>
      <c r="T122" s="15">
        <f t="shared" si="2"/>
        <v>0.20769109267618896</v>
      </c>
      <c r="U122" s="15">
        <f t="shared" si="3"/>
        <v>0.241825216417141</v>
      </c>
    </row>
    <row r="123" spans="1:21" x14ac:dyDescent="0.35">
      <c r="A123" s="10">
        <v>44375</v>
      </c>
      <c r="B123" s="2">
        <v>2.171553513507932E-3</v>
      </c>
      <c r="C123" s="2">
        <v>7.518832414027319E-3</v>
      </c>
      <c r="D123" s="2">
        <v>8.580138438744488E-3</v>
      </c>
      <c r="E123" s="2">
        <v>1.056283723749067E-2</v>
      </c>
      <c r="F123" s="2">
        <v>3.2733253449691089E-3</v>
      </c>
      <c r="G123" s="2">
        <v>-3.3634849447136912E-2</v>
      </c>
      <c r="H123" s="2">
        <v>-2.681917413546582E-2</v>
      </c>
      <c r="I123" s="2">
        <v>-4.0005334613699373E-2</v>
      </c>
      <c r="J123" s="2">
        <v>2.1978906718775171E-2</v>
      </c>
      <c r="K123" s="2">
        <v>-1.4028526967495641E-3</v>
      </c>
      <c r="L123" s="2">
        <v>3.8572853997578729E-3</v>
      </c>
      <c r="M123" s="2">
        <v>-3.2502737173015842E-3</v>
      </c>
      <c r="N123" s="2">
        <v>1.035713809994715E-2</v>
      </c>
      <c r="O123" s="2">
        <v>1.8484814674103161E-2</v>
      </c>
      <c r="P123" s="2">
        <v>0</v>
      </c>
      <c r="Q123" s="15">
        <f>AVERAGE(Tableau2[[#This Row],[AWB]:[IAM]])</f>
        <v>-1.2218435179353585E-3</v>
      </c>
      <c r="R123" s="15">
        <f>ABS(Tableau2[[#This Row],[Rm ]])</f>
        <v>1.2218435179353585E-3</v>
      </c>
      <c r="S123" s="15">
        <f>(Tableau2[[#This Row],[Rm ]]-Tableau2[[#Totals],[Rm ]])^2</f>
        <v>4.0541766373266218E-6</v>
      </c>
      <c r="T123" s="15">
        <f t="shared" si="2"/>
        <v>0.19686614675794656</v>
      </c>
      <c r="U123" s="15">
        <f t="shared" si="3"/>
        <v>0.20769109267618896</v>
      </c>
    </row>
    <row r="124" spans="1:21" x14ac:dyDescent="0.35">
      <c r="A124" s="10">
        <v>44377</v>
      </c>
      <c r="B124" s="2">
        <v>-4.3478329361033982E-3</v>
      </c>
      <c r="C124" s="2">
        <v>-3.7523496185504642E-3</v>
      </c>
      <c r="D124" s="2">
        <v>-7.4358701938025511E-3</v>
      </c>
      <c r="E124" s="2">
        <v>-7.2727593290798087E-3</v>
      </c>
      <c r="F124" s="2">
        <v>-5.3704178971861097E-2</v>
      </c>
      <c r="G124" s="2">
        <v>9.6088591066368894E-3</v>
      </c>
      <c r="H124" s="2">
        <v>5.4119720220308767E-2</v>
      </c>
      <c r="I124" s="2">
        <v>1.8296129046938042E-2</v>
      </c>
      <c r="J124" s="2">
        <v>1.0810916104215669E-2</v>
      </c>
      <c r="K124" s="2">
        <v>-2.342470033412421E-3</v>
      </c>
      <c r="L124" s="2">
        <v>-1.1616781170669121E-2</v>
      </c>
      <c r="M124" s="2">
        <v>1.4543752178809041E-2</v>
      </c>
      <c r="N124" s="2">
        <v>5.4215235808841445E-4</v>
      </c>
      <c r="O124" s="2">
        <v>-5.4960155271866797E-4</v>
      </c>
      <c r="P124" s="2">
        <v>-3.8387763071657129E-3</v>
      </c>
      <c r="Q124" s="15">
        <f>AVERAGE(Tableau2[[#This Row],[AWB]:[IAM]])</f>
        <v>8.707272601089054E-4</v>
      </c>
      <c r="R124" s="15">
        <f>ABS(Tableau2[[#This Row],[Rm ]])</f>
        <v>8.707272601089054E-4</v>
      </c>
      <c r="S124" s="15">
        <f>(Tableau2[[#This Row],[Rm ]]-Tableau2[[#Totals],[Rm ]])^2</f>
        <v>6.2524083539922613E-9</v>
      </c>
      <c r="T124" s="15">
        <f t="shared" si="2"/>
        <v>0.20165594404993811</v>
      </c>
      <c r="U124" s="15">
        <f t="shared" si="3"/>
        <v>0.19686614675794656</v>
      </c>
    </row>
    <row r="125" spans="1:21" x14ac:dyDescent="0.35">
      <c r="A125" s="10">
        <v>44378</v>
      </c>
      <c r="B125" s="2">
        <v>6.5146810211936723E-3</v>
      </c>
      <c r="C125" s="2">
        <v>-3.7601053272502628E-4</v>
      </c>
      <c r="D125" s="2">
        <v>1.804077703815025E-3</v>
      </c>
      <c r="E125" s="2">
        <v>3.6429912785010091E-3</v>
      </c>
      <c r="F125" s="2">
        <v>3.8557363211875383E-2</v>
      </c>
      <c r="G125" s="2">
        <v>1.6260520871780329E-2</v>
      </c>
      <c r="H125" s="2">
        <v>1.663386132069666E-2</v>
      </c>
      <c r="I125" s="2">
        <v>1.138532222512521E-2</v>
      </c>
      <c r="J125" s="2">
        <v>-5.1746557900175854E-3</v>
      </c>
      <c r="K125" s="2">
        <v>3.511650571136329E-3</v>
      </c>
      <c r="L125" s="2">
        <v>1.9455259054913529E-3</v>
      </c>
      <c r="M125" s="2">
        <v>-1.070091059844404E-3</v>
      </c>
      <c r="N125" s="2">
        <v>-1.6273396593753709E-3</v>
      </c>
      <c r="O125" s="2">
        <v>-3.120127336243745E-3</v>
      </c>
      <c r="P125" s="2">
        <v>0</v>
      </c>
      <c r="Q125" s="15">
        <f>AVERAGE(Tableau2[[#This Row],[AWB]:[IAM]])</f>
        <v>5.9258513154272574E-3</v>
      </c>
      <c r="R125" s="15">
        <f>ABS(Tableau2[[#This Row],[Rm ]])</f>
        <v>5.9258513154272574E-3</v>
      </c>
      <c r="S125" s="15">
        <f>(Tableau2[[#This Row],[Rm ]]-Tableau2[[#Totals],[Rm ]])^2</f>
        <v>2.6359970898609789E-5</v>
      </c>
      <c r="T125" s="15">
        <f t="shared" si="2"/>
        <v>0.11391418958600451</v>
      </c>
      <c r="U125" s="15">
        <f t="shared" si="3"/>
        <v>0.20165594404993811</v>
      </c>
    </row>
    <row r="126" spans="1:21" x14ac:dyDescent="0.35">
      <c r="A126" s="10">
        <v>44379</v>
      </c>
      <c r="B126" s="2">
        <v>-4.3384015985981298E-3</v>
      </c>
      <c r="C126" s="2">
        <v>-3.390472262751854E-3</v>
      </c>
      <c r="D126" s="2">
        <v>1.7568864483549829E-2</v>
      </c>
      <c r="E126" s="2">
        <v>7.2464085207672533E-3</v>
      </c>
      <c r="F126" s="2">
        <v>-4.6558115361940398E-3</v>
      </c>
      <c r="G126" s="2">
        <v>-4.0318089243782593E-2</v>
      </c>
      <c r="H126" s="2">
        <v>-1.5217430488983139E-2</v>
      </c>
      <c r="I126" s="2">
        <v>-4.0428989995644767E-2</v>
      </c>
      <c r="J126" s="2">
        <v>1.053659893140284E-2</v>
      </c>
      <c r="K126" s="2">
        <v>-2.337267744658512E-4</v>
      </c>
      <c r="L126" s="2">
        <v>1.063325630136866E-2</v>
      </c>
      <c r="M126" s="2">
        <v>-9.6827007164173879E-3</v>
      </c>
      <c r="N126" s="2">
        <v>-1.6299922109310641E-3</v>
      </c>
      <c r="O126" s="2">
        <v>-3.6832454162964048E-3</v>
      </c>
      <c r="P126" s="2">
        <v>-1.5504186535965201E-2</v>
      </c>
      <c r="Q126" s="15">
        <f>AVERAGE(Tableau2[[#This Row],[AWB]:[IAM]])</f>
        <v>-6.2065279028627896E-3</v>
      </c>
      <c r="R126" s="15">
        <f>ABS(Tableau2[[#This Row],[Rm ]])</f>
        <v>6.2065279028627896E-3</v>
      </c>
      <c r="S126" s="15">
        <f>(Tableau2[[#This Row],[Rm ]]-Tableau2[[#Totals],[Rm ]])^2</f>
        <v>4.8974565177851929E-5</v>
      </c>
      <c r="T126" s="15">
        <f t="shared" si="2"/>
        <v>0.17155970020872932</v>
      </c>
      <c r="U126" s="15">
        <f t="shared" si="3"/>
        <v>0.11391418958600451</v>
      </c>
    </row>
    <row r="127" spans="1:21" x14ac:dyDescent="0.35">
      <c r="A127" s="10">
        <v>44382</v>
      </c>
      <c r="B127" s="2">
        <v>-3.9916607405442547E-2</v>
      </c>
      <c r="C127" s="2">
        <v>0</v>
      </c>
      <c r="D127" s="2">
        <v>0</v>
      </c>
      <c r="E127" s="2">
        <v>-1.0889399799268319E-2</v>
      </c>
      <c r="F127" s="2">
        <v>-2.6343975339601981E-2</v>
      </c>
      <c r="G127" s="2">
        <v>-4.0553815164959962E-2</v>
      </c>
      <c r="H127" s="2">
        <v>-4.0684392915996362E-2</v>
      </c>
      <c r="I127" s="2">
        <v>-4.0085527075650787E-2</v>
      </c>
      <c r="J127" s="2">
        <v>-1.6172859245600961E-2</v>
      </c>
      <c r="K127" s="2">
        <v>0</v>
      </c>
      <c r="L127" s="2">
        <v>-1.355296640470346E-2</v>
      </c>
      <c r="M127" s="2">
        <v>0</v>
      </c>
      <c r="N127" s="2">
        <v>-1.313647790536996E-2</v>
      </c>
      <c r="O127" s="2">
        <v>3.683245416296368E-3</v>
      </c>
      <c r="P127" s="2">
        <v>1.5504186535965249E-2</v>
      </c>
      <c r="Q127" s="15">
        <f>AVERAGE(Tableau2[[#This Row],[AWB]:[IAM]])</f>
        <v>-1.4809905953622181E-2</v>
      </c>
      <c r="R127" s="15">
        <f>ABS(Tableau2[[#This Row],[Rm ]])</f>
        <v>1.4809905953622181E-2</v>
      </c>
      <c r="S127" s="15">
        <f>(Tableau2[[#This Row],[Rm ]]-Tableau2[[#Totals],[Rm ]])^2</f>
        <v>2.4340870694493933E-4</v>
      </c>
      <c r="T127" s="15">
        <f t="shared" si="2"/>
        <v>0.20150232986075745</v>
      </c>
      <c r="U127" s="15">
        <f t="shared" si="3"/>
        <v>0.17155970020872932</v>
      </c>
    </row>
    <row r="128" spans="1:21" x14ac:dyDescent="0.35">
      <c r="A128" s="10">
        <v>44393</v>
      </c>
      <c r="B128" s="2">
        <v>2.262187544993945E-4</v>
      </c>
      <c r="C128" s="2">
        <v>1.107056995463709E-2</v>
      </c>
      <c r="D128" s="2">
        <v>-2.6500728329640611E-2</v>
      </c>
      <c r="E128" s="2">
        <v>1.485265485184907E-2</v>
      </c>
      <c r="F128" s="2">
        <v>2.96717654322767E-2</v>
      </c>
      <c r="G128" s="2">
        <v>-3.79617918291356E-3</v>
      </c>
      <c r="H128" s="2">
        <v>2.4273036356206552E-2</v>
      </c>
      <c r="I128" s="2">
        <v>4.2048236243499397E-2</v>
      </c>
      <c r="J128" s="2">
        <v>9.5197603405957378E-3</v>
      </c>
      <c r="K128" s="2">
        <v>-3.0434297165713941E-3</v>
      </c>
      <c r="L128" s="2">
        <v>-5.6023866763476961E-2</v>
      </c>
      <c r="M128" s="2">
        <v>-7.2861348264871728E-2</v>
      </c>
      <c r="N128" s="2">
        <v>-2.5105921131076361E-2</v>
      </c>
      <c r="O128" s="2">
        <v>-4.0898590590914122E-2</v>
      </c>
      <c r="P128" s="2">
        <v>-1.1605546120307999E-2</v>
      </c>
      <c r="Q128" s="15">
        <f>AVERAGE(Tableau2[[#This Row],[AWB]:[IAM]])</f>
        <v>-7.2115578777472537E-3</v>
      </c>
      <c r="R128" s="15">
        <f>ABS(Tableau2[[#This Row],[Rm ]])</f>
        <v>7.2115578777472537E-3</v>
      </c>
      <c r="S128" s="15">
        <f>(Tableau2[[#This Row],[Rm ]]-Tableau2[[#Totals],[Rm ]])^2</f>
        <v>6.4051417779966072E-5</v>
      </c>
      <c r="T128" s="15">
        <f t="shared" si="2"/>
        <v>0.37535225217455187</v>
      </c>
      <c r="U128" s="15">
        <f t="shared" si="3"/>
        <v>0.20150232986075745</v>
      </c>
    </row>
    <row r="129" spans="1:21" x14ac:dyDescent="0.35">
      <c r="A129" s="10">
        <v>44404</v>
      </c>
      <c r="B129" s="2">
        <v>7.0998213375733834E-3</v>
      </c>
      <c r="C129" s="2">
        <v>-7.3040871591601953E-3</v>
      </c>
      <c r="D129" s="2">
        <v>8.9318638460907721E-3</v>
      </c>
      <c r="E129" s="2">
        <v>6.8088419293303786E-3</v>
      </c>
      <c r="F129" s="2">
        <v>3.9787850897633594E-3</v>
      </c>
      <c r="G129" s="2">
        <v>-3.8168019916118671E-2</v>
      </c>
      <c r="H129" s="2">
        <v>-8.2443669211074655E-2</v>
      </c>
      <c r="I129" s="2">
        <v>-3.0863574655604541E-2</v>
      </c>
      <c r="J129" s="2">
        <v>1.0760788728026731E-3</v>
      </c>
      <c r="K129" s="2">
        <v>-3.5231980073170172E-3</v>
      </c>
      <c r="L129" s="2">
        <v>6.1658812136815852E-3</v>
      </c>
      <c r="M129" s="2">
        <v>1.1560822401076009E-2</v>
      </c>
      <c r="N129" s="2">
        <v>1.179457649283688E-2</v>
      </c>
      <c r="O129" s="2">
        <v>9.1498922763337352E-3</v>
      </c>
      <c r="P129" s="2">
        <v>-3.898640415657198E-3</v>
      </c>
      <c r="Q129" s="15">
        <f>AVERAGE(Tableau2[[#This Row],[AWB]:[IAM]])</f>
        <v>-6.6423083936962331E-3</v>
      </c>
      <c r="R129" s="15">
        <f>ABS(Tableau2[[#This Row],[Rm ]])</f>
        <v>6.6423083936962331E-3</v>
      </c>
      <c r="S129" s="15">
        <f>(Tableau2[[#This Row],[Rm ]]-Tableau2[[#Totals],[Rm ]])^2</f>
        <v>5.5263813051708542E-5</v>
      </c>
      <c r="T129" s="15">
        <f t="shared" si="2"/>
        <v>0.2618594779548431</v>
      </c>
      <c r="U129" s="15">
        <f t="shared" si="3"/>
        <v>0.37535225217455187</v>
      </c>
    </row>
    <row r="130" spans="1:21" x14ac:dyDescent="0.35">
      <c r="A130" s="10">
        <v>44410</v>
      </c>
      <c r="B130" s="2">
        <v>4.1248630056484263E-2</v>
      </c>
      <c r="C130" s="2">
        <v>2.046583059229104E-2</v>
      </c>
      <c r="D130" s="2">
        <v>-1.190670136156282E-2</v>
      </c>
      <c r="E130" s="2">
        <v>0</v>
      </c>
      <c r="F130" s="2">
        <v>-2.0729595514578869E-2</v>
      </c>
      <c r="G130" s="2">
        <v>-2.4616627635355919E-2</v>
      </c>
      <c r="H130" s="2">
        <v>-3.6599152448329557E-2</v>
      </c>
      <c r="I130" s="2">
        <v>-3.2890940169757903E-2</v>
      </c>
      <c r="J130" s="2">
        <v>-1.075557946721371E-4</v>
      </c>
      <c r="K130" s="2">
        <v>-1.18344576470028E-2</v>
      </c>
      <c r="L130" s="2">
        <v>3.9875314836982662E-3</v>
      </c>
      <c r="M130" s="2">
        <v>3.3345841741958468E-2</v>
      </c>
      <c r="N130" s="2">
        <v>2.1541843774754758E-2</v>
      </c>
      <c r="O130" s="2">
        <v>1.8797545967502421E-2</v>
      </c>
      <c r="P130" s="2">
        <v>3.8986404156573229E-3</v>
      </c>
      <c r="Q130" s="15">
        <f>AVERAGE(Tableau2[[#This Row],[AWB]:[IAM]])</f>
        <v>3.0672223073910121E-4</v>
      </c>
      <c r="R130" s="15">
        <f>ABS(Tableau2[[#This Row],[Rm ]])</f>
        <v>3.0672223073910121E-4</v>
      </c>
      <c r="S130" s="15">
        <f>(Tableau2[[#This Row],[Rm ]]-Tableau2[[#Totals],[Rm ]])^2</f>
        <v>2.3515987634576536E-7</v>
      </c>
      <c r="T130" s="15">
        <f t="shared" si="2"/>
        <v>0.27892515986175531</v>
      </c>
      <c r="U130" s="15">
        <f t="shared" si="3"/>
        <v>0.2618594779548431</v>
      </c>
    </row>
    <row r="131" spans="1:21" x14ac:dyDescent="0.35">
      <c r="A131" s="10">
        <v>44412</v>
      </c>
      <c r="B131" s="2">
        <v>-7.463124792010706E-3</v>
      </c>
      <c r="C131" s="2">
        <v>-1.843318494289224E-3</v>
      </c>
      <c r="D131" s="2">
        <v>1.190670136156281E-2</v>
      </c>
      <c r="E131" s="2">
        <v>6.5854113583345801E-3</v>
      </c>
      <c r="F131" s="2">
        <v>3.372684478639156E-3</v>
      </c>
      <c r="G131" s="2">
        <v>6.33696139325894E-2</v>
      </c>
      <c r="H131" s="2">
        <v>7.8170865859130662E-2</v>
      </c>
      <c r="I131" s="2">
        <v>7.7386663615420195E-2</v>
      </c>
      <c r="J131" s="2">
        <v>1.101792180223741E-2</v>
      </c>
      <c r="K131" s="2">
        <v>0</v>
      </c>
      <c r="L131" s="2">
        <v>-4.0899852515251661E-3</v>
      </c>
      <c r="M131" s="2">
        <v>-1.0055950660871419E-2</v>
      </c>
      <c r="N131" s="2">
        <v>-1.6529301951210579E-2</v>
      </c>
      <c r="O131" s="2">
        <v>5.5710450494554286E-3</v>
      </c>
      <c r="P131" s="2">
        <v>3.8835000263976122E-3</v>
      </c>
      <c r="Q131" s="15">
        <f>AVERAGE(Tableau2[[#This Row],[AWB]:[IAM]])</f>
        <v>1.4752181755590675E-2</v>
      </c>
      <c r="R131" s="15">
        <f>ABS(Tableau2[[#This Row],[Rm ]])</f>
        <v>1.4752181755590675E-2</v>
      </c>
      <c r="S131" s="15">
        <f>(Tableau2[[#This Row],[Rm ]]-Tableau2[[#Totals],[Rm ]])^2</f>
        <v>1.948963048280308E-4</v>
      </c>
      <c r="T131" s="15">
        <f t="shared" ref="T131:T194" si="4">(ABS(B131-$Q131)+ABS(C131-$Q131)+ABS(D131-$Q131)+ABS(E131-$Q131)+ABS(F131-$Q131)+ABS(G131-$Q131)+ABS(H131-$Q131)+ABS(I131-$Q131)+ABS(J131-$Q131)+ABS(K131-$Q131)+ABS(L131-$Q131)+ABS(M131-$Q131)+ABS(N131-$Q131)+ABS(O131-$Q131)+ABS(P131-$Q131)/15)</f>
        <v>0.33919709333348952</v>
      </c>
      <c r="U131" s="15">
        <f t="shared" si="3"/>
        <v>0.27892515986175531</v>
      </c>
    </row>
    <row r="132" spans="1:21" x14ac:dyDescent="0.35">
      <c r="A132" s="10">
        <v>44420</v>
      </c>
      <c r="B132" s="2">
        <v>9.7234992542313721E-3</v>
      </c>
      <c r="C132" s="2">
        <v>-1.113184036884418E-2</v>
      </c>
      <c r="D132" s="2">
        <v>5.8707411171698178E-3</v>
      </c>
      <c r="E132" s="2">
        <v>-1.7357508340245568E-2</v>
      </c>
      <c r="F132" s="2">
        <v>3.361347702704927E-3</v>
      </c>
      <c r="G132" s="2">
        <v>-2.3669744085904849E-2</v>
      </c>
      <c r="H132" s="2">
        <v>-4.4962873566871252E-2</v>
      </c>
      <c r="I132" s="2">
        <v>-3.2435275753153837E-2</v>
      </c>
      <c r="J132" s="2">
        <v>-1.0695289116747921E-2</v>
      </c>
      <c r="K132" s="2">
        <v>1.18344576470028E-2</v>
      </c>
      <c r="L132" s="2">
        <v>4.0899852515250664E-3</v>
      </c>
      <c r="M132" s="2">
        <v>-5.6164000353079325E-4</v>
      </c>
      <c r="N132" s="2">
        <v>2.6317308317373361E-2</v>
      </c>
      <c r="O132" s="2">
        <v>3.6968618813262031E-3</v>
      </c>
      <c r="P132" s="2">
        <v>1.9194447256147159E-2</v>
      </c>
      <c r="Q132" s="15">
        <f>AVERAGE(Tableau2[[#This Row],[AWB]:[IAM]])</f>
        <v>-3.7817015205211784E-3</v>
      </c>
      <c r="R132" s="15">
        <f>ABS(Tableau2[[#This Row],[Rm ]])</f>
        <v>3.7817015205211784E-3</v>
      </c>
      <c r="S132" s="15">
        <f>(Tableau2[[#This Row],[Rm ]]-Tableau2[[#Totals],[Rm ]])^2</f>
        <v>2.0915590671482177E-5</v>
      </c>
      <c r="T132" s="15">
        <f t="shared" si="4"/>
        <v>0.21368023869239058</v>
      </c>
      <c r="U132" s="15">
        <f t="shared" ref="U132:U195" si="5">T131</f>
        <v>0.33919709333348952</v>
      </c>
    </row>
    <row r="133" spans="1:21" x14ac:dyDescent="0.35">
      <c r="A133" s="10">
        <v>44421</v>
      </c>
      <c r="B133" s="2">
        <v>8.4578417578034665E-3</v>
      </c>
      <c r="C133" s="2">
        <v>-7.4654725378447062E-4</v>
      </c>
      <c r="D133" s="2">
        <v>1.7525611382784238E-2</v>
      </c>
      <c r="E133" s="2">
        <v>2.142939145589921E-2</v>
      </c>
      <c r="F133" s="2">
        <v>-3.3613477027048832E-3</v>
      </c>
      <c r="G133" s="2">
        <v>1.515405615489253E-2</v>
      </c>
      <c r="H133" s="2">
        <v>1.8382394641803759E-2</v>
      </c>
      <c r="I133" s="2">
        <v>3.9182289299748277E-2</v>
      </c>
      <c r="J133" s="2">
        <v>5.2549855499682404E-3</v>
      </c>
      <c r="K133" s="2">
        <v>6.3328463084461979E-3</v>
      </c>
      <c r="L133" s="2">
        <v>-5.1151006667703768E-3</v>
      </c>
      <c r="M133" s="2">
        <v>0</v>
      </c>
      <c r="N133" s="2">
        <v>1.18344576470028E-2</v>
      </c>
      <c r="O133" s="2">
        <v>1.1009285508369399E-2</v>
      </c>
      <c r="P133" s="2">
        <v>3.7950709685515339E-3</v>
      </c>
      <c r="Q133" s="15">
        <f>AVERAGE(Tableau2[[#This Row],[AWB]:[IAM]])</f>
        <v>9.9423490034673285E-3</v>
      </c>
      <c r="R133" s="15">
        <f>ABS(Tableau2[[#This Row],[Rm ]])</f>
        <v>9.9423490034673285E-3</v>
      </c>
      <c r="S133" s="15">
        <f>(Tableau2[[#This Row],[Rm ]]-Tableau2[[#Totals],[Rm ]])^2</f>
        <v>8.3735199129012687E-5</v>
      </c>
      <c r="T133" s="15">
        <f t="shared" si="4"/>
        <v>0.12410462663320308</v>
      </c>
      <c r="U133" s="15">
        <f t="shared" si="5"/>
        <v>0.21368023869239058</v>
      </c>
    </row>
    <row r="134" spans="1:21" x14ac:dyDescent="0.35">
      <c r="A134" s="10">
        <v>44431</v>
      </c>
      <c r="B134" s="2">
        <v>2.129926257824849E-3</v>
      </c>
      <c r="C134" s="2">
        <v>1.5561633038925091E-2</v>
      </c>
      <c r="D134" s="2">
        <v>2.509621987165879E-2</v>
      </c>
      <c r="E134" s="2">
        <v>-3.5398267051240618E-3</v>
      </c>
      <c r="F134" s="2">
        <v>1.005033585350151E-2</v>
      </c>
      <c r="G134" s="2">
        <v>2.0143725926131409E-2</v>
      </c>
      <c r="H134" s="2">
        <v>8.6455381850956498E-2</v>
      </c>
      <c r="I134" s="2">
        <v>9.9580152742326858E-2</v>
      </c>
      <c r="J134" s="2">
        <v>1.2437045774877691E-2</v>
      </c>
      <c r="K134" s="2">
        <v>-4.6772685604807451E-4</v>
      </c>
      <c r="L134" s="2">
        <v>2.030526616074552E-2</v>
      </c>
      <c r="M134" s="2">
        <v>1.505464730609769E-2</v>
      </c>
      <c r="N134" s="2">
        <v>1.5915455305899578E-2</v>
      </c>
      <c r="O134" s="2">
        <v>-7.3260400920728977E-3</v>
      </c>
      <c r="P134" s="2">
        <v>1.1299555253933471E-2</v>
      </c>
      <c r="Q134" s="15">
        <f>AVERAGE(Tableau2[[#This Row],[AWB]:[IAM]])</f>
        <v>2.1513050112642259E-2</v>
      </c>
      <c r="R134" s="15">
        <f>ABS(Tableau2[[#This Row],[Rm ]])</f>
        <v>2.1513050112642259E-2</v>
      </c>
      <c r="S134" s="15">
        <f>(Tableau2[[#This Row],[Rm ]]-Tableau2[[#Totals],[Rm ]])^2</f>
        <v>4.2937621175468294E-4</v>
      </c>
      <c r="T134" s="15">
        <f t="shared" si="4"/>
        <v>0.28365261305256917</v>
      </c>
      <c r="U134" s="15">
        <f t="shared" si="5"/>
        <v>0.12410462663320308</v>
      </c>
    </row>
    <row r="135" spans="1:21" x14ac:dyDescent="0.35">
      <c r="A135" s="10">
        <v>44432</v>
      </c>
      <c r="B135" s="2">
        <v>0</v>
      </c>
      <c r="C135" s="2">
        <v>-7.3801072976225337E-3</v>
      </c>
      <c r="D135" s="2">
        <v>-1.9360849786914491E-2</v>
      </c>
      <c r="E135" s="2">
        <v>7.0671672230923528E-3</v>
      </c>
      <c r="F135" s="2">
        <v>5.9820716775474689E-3</v>
      </c>
      <c r="G135" s="2">
        <v>2.5679014417691451E-2</v>
      </c>
      <c r="H135" s="2">
        <v>8.9014408321753981E-3</v>
      </c>
      <c r="I135" s="2">
        <v>-4.3573053689558126E-3</v>
      </c>
      <c r="J135" s="2">
        <v>9.9858926192527616E-3</v>
      </c>
      <c r="K135" s="2">
        <v>0</v>
      </c>
      <c r="L135" s="2">
        <v>-8.0726977251111762E-3</v>
      </c>
      <c r="M135" s="2">
        <v>0</v>
      </c>
      <c r="N135" s="2">
        <v>1.047129986729544E-2</v>
      </c>
      <c r="O135" s="2">
        <v>1.096903137057394E-2</v>
      </c>
      <c r="P135" s="2">
        <v>-3.7523496185503532E-3</v>
      </c>
      <c r="Q135" s="15">
        <f>AVERAGE(Tableau2[[#This Row],[AWB]:[IAM]])</f>
        <v>2.4088405473649626E-3</v>
      </c>
      <c r="R135" s="15">
        <f>ABS(Tableau2[[#This Row],[Rm ]])</f>
        <v>2.4088405473649626E-3</v>
      </c>
      <c r="S135" s="15">
        <f>(Tableau2[[#This Row],[Rm ]]-Tableau2[[#Totals],[Rm ]])^2</f>
        <v>2.6152888089991938E-6</v>
      </c>
      <c r="T135" s="15">
        <f t="shared" si="4"/>
        <v>0.11863762419729386</v>
      </c>
      <c r="U135" s="15">
        <f t="shared" si="5"/>
        <v>0.28365261305256917</v>
      </c>
    </row>
    <row r="136" spans="1:21" x14ac:dyDescent="0.35">
      <c r="A136" s="10">
        <v>44434</v>
      </c>
      <c r="B136" s="2">
        <v>0</v>
      </c>
      <c r="C136" s="2">
        <v>7.38010729762246E-3</v>
      </c>
      <c r="D136" s="2">
        <v>5.7606862634357213E-3</v>
      </c>
      <c r="E136" s="2">
        <v>1.583253035450382E-3</v>
      </c>
      <c r="F136" s="2">
        <v>-7.3162946906840916E-3</v>
      </c>
      <c r="G136" s="2">
        <v>2.8129413766146581E-3</v>
      </c>
      <c r="H136" s="2">
        <v>2.7945989310159251E-3</v>
      </c>
      <c r="I136" s="2">
        <v>8.695706967553913E-3</v>
      </c>
      <c r="J136" s="2">
        <v>1.12325673981015E-2</v>
      </c>
      <c r="K136" s="2">
        <v>-3.4264593974096022E-2</v>
      </c>
      <c r="L136" s="2">
        <v>-4.5696956900652969E-3</v>
      </c>
      <c r="M136" s="2">
        <v>-8.335697057352669E-3</v>
      </c>
      <c r="N136" s="2">
        <v>2.6007817000574399E-3</v>
      </c>
      <c r="O136" s="2">
        <v>-7.2993024816116079E-3</v>
      </c>
      <c r="P136" s="2">
        <v>0</v>
      </c>
      <c r="Q136" s="15">
        <f>AVERAGE(Tableau2[[#This Row],[AWB]:[IAM]])</f>
        <v>-1.2616627282638459E-3</v>
      </c>
      <c r="R136" s="15">
        <f>ABS(Tableau2[[#This Row],[Rm ]])</f>
        <v>1.2616627282638459E-3</v>
      </c>
      <c r="S136" s="15">
        <f>(Tableau2[[#This Row],[Rm ]]-Tableau2[[#Totals],[Rm ]])^2</f>
        <v>4.2161140558337057E-6</v>
      </c>
      <c r="T136" s="15">
        <f t="shared" si="4"/>
        <v>0.10977698862526797</v>
      </c>
      <c r="U136" s="15">
        <f t="shared" si="5"/>
        <v>0.11863762419729386</v>
      </c>
    </row>
    <row r="137" spans="1:21" x14ac:dyDescent="0.35">
      <c r="A137" s="10">
        <v>44435</v>
      </c>
      <c r="B137" s="2">
        <v>1.268515952731564E-2</v>
      </c>
      <c r="C137" s="2">
        <v>0</v>
      </c>
      <c r="D137" s="2">
        <v>0</v>
      </c>
      <c r="E137" s="2">
        <v>5.2594791646687648E-3</v>
      </c>
      <c r="F137" s="2">
        <v>0</v>
      </c>
      <c r="G137" s="2">
        <v>4.2046312820318704E-3</v>
      </c>
      <c r="H137" s="2">
        <v>6.4905188446637051E-3</v>
      </c>
      <c r="I137" s="2">
        <v>6.9025295627705846E-3</v>
      </c>
      <c r="J137" s="2">
        <v>-2.8215202225452232E-2</v>
      </c>
      <c r="K137" s="2">
        <v>3.8932047021591233E-2</v>
      </c>
      <c r="L137" s="2">
        <v>-1.270118477617843E-2</v>
      </c>
      <c r="M137" s="2">
        <v>1.5504186535965249E-2</v>
      </c>
      <c r="N137" s="2">
        <v>1.2903404835907781E-2</v>
      </c>
      <c r="O137" s="2">
        <v>1.454571100237872E-2</v>
      </c>
      <c r="P137" s="2">
        <v>-3.7664827954768929E-3</v>
      </c>
      <c r="Q137" s="15">
        <f>AVERAGE(Tableau2[[#This Row],[AWB]:[IAM]])</f>
        <v>4.8496531986790669E-3</v>
      </c>
      <c r="R137" s="15">
        <f>ABS(Tableau2[[#This Row],[Rm ]])</f>
        <v>4.8496531986790669E-3</v>
      </c>
      <c r="S137" s="15">
        <f>(Tableau2[[#This Row],[Rm ]]-Tableau2[[#Totals],[Rm ]])^2</f>
        <v>1.6467348663810063E-5</v>
      </c>
      <c r="T137" s="15">
        <f t="shared" si="4"/>
        <v>0.14080989488377937</v>
      </c>
      <c r="U137" s="15">
        <f t="shared" si="5"/>
        <v>0.10977698862526797</v>
      </c>
    </row>
    <row r="138" spans="1:21" x14ac:dyDescent="0.35">
      <c r="A138" s="10">
        <v>44439</v>
      </c>
      <c r="B138" s="2">
        <v>-1.2685159527315691E-2</v>
      </c>
      <c r="C138" s="2">
        <v>-5.1603505593095234E-3</v>
      </c>
      <c r="D138" s="2">
        <v>-5.7606862634356814E-3</v>
      </c>
      <c r="E138" s="2">
        <v>-6.8427322001191121E-3</v>
      </c>
      <c r="F138" s="2">
        <v>2.3095714794649391E-2</v>
      </c>
      <c r="G138" s="2">
        <v>-3.849370476066398E-2</v>
      </c>
      <c r="H138" s="2">
        <v>5.6375092130777883E-2</v>
      </c>
      <c r="I138" s="2">
        <v>7.7725056071582907E-2</v>
      </c>
      <c r="J138" s="2">
        <v>1.1634187281340601E-2</v>
      </c>
      <c r="K138" s="2">
        <v>-2.236703014689603E-2</v>
      </c>
      <c r="L138" s="2">
        <v>-7.3457471691123471E-3</v>
      </c>
      <c r="M138" s="2">
        <v>-1.383147914846174E-2</v>
      </c>
      <c r="N138" s="2">
        <v>-1.5504186535965201E-2</v>
      </c>
      <c r="O138" s="2">
        <v>-1.821543989134122E-2</v>
      </c>
      <c r="P138" s="2">
        <v>-7.5757938084576558E-3</v>
      </c>
      <c r="Q138" s="15">
        <f>AVERAGE(Tableau2[[#This Row],[AWB]:[IAM]])</f>
        <v>1.0031826844848408E-3</v>
      </c>
      <c r="R138" s="15">
        <f>ABS(Tableau2[[#This Row],[Rm ]])</f>
        <v>1.0031826844848408E-3</v>
      </c>
      <c r="S138" s="15">
        <f>(Tableau2[[#This Row],[Rm ]]-Tableau2[[#Totals],[Rm ]])^2</f>
        <v>4.4743923946172687E-8</v>
      </c>
      <c r="T138" s="15">
        <f t="shared" si="4"/>
        <v>0.32162759435407656</v>
      </c>
      <c r="U138" s="15">
        <f t="shared" si="5"/>
        <v>0.14080989488377937</v>
      </c>
    </row>
    <row r="139" spans="1:21" x14ac:dyDescent="0.35">
      <c r="A139" s="10">
        <v>44447</v>
      </c>
      <c r="B139" s="2">
        <v>4.246290881451004E-3</v>
      </c>
      <c r="C139" s="2">
        <v>3.3204236373023258E-3</v>
      </c>
      <c r="D139" s="2">
        <v>0</v>
      </c>
      <c r="E139" s="2">
        <v>-7.067167223092443E-3</v>
      </c>
      <c r="F139" s="2">
        <v>2.1297997678934338E-2</v>
      </c>
      <c r="G139" s="2">
        <v>-8.7591800898814652E-3</v>
      </c>
      <c r="H139" s="2">
        <v>-1.9674287688449831E-3</v>
      </c>
      <c r="I139" s="2">
        <v>3.2866808080352139E-2</v>
      </c>
      <c r="J139" s="2">
        <v>4.5228674613202617E-2</v>
      </c>
      <c r="K139" s="2">
        <v>9.4787439545437387E-3</v>
      </c>
      <c r="L139" s="2">
        <v>1.749915986649209E-2</v>
      </c>
      <c r="M139" s="2">
        <v>5.5555698446019637E-3</v>
      </c>
      <c r="N139" s="2">
        <v>1.2936791030719361E-2</v>
      </c>
      <c r="O139" s="2">
        <v>0</v>
      </c>
      <c r="P139" s="2">
        <v>0</v>
      </c>
      <c r="Q139" s="15">
        <f>AVERAGE(Tableau2[[#This Row],[AWB]:[IAM]])</f>
        <v>8.9757789003853776E-3</v>
      </c>
      <c r="R139" s="15">
        <f>ABS(Tableau2[[#This Row],[Rm ]])</f>
        <v>8.9757789003853776E-3</v>
      </c>
      <c r="S139" s="15">
        <f>(Tableau2[[#This Row],[Rm ]]-Tableau2[[#Totals],[Rm ]])^2</f>
        <v>6.6979882571482365E-5</v>
      </c>
      <c r="T139" s="15">
        <f t="shared" si="4"/>
        <v>0.16252961000350435</v>
      </c>
      <c r="U139" s="15">
        <f t="shared" si="5"/>
        <v>0.32162759435407656</v>
      </c>
    </row>
    <row r="140" spans="1:21" x14ac:dyDescent="0.35">
      <c r="A140" s="10">
        <v>44448</v>
      </c>
      <c r="B140" s="2">
        <v>2.5105921131076261E-2</v>
      </c>
      <c r="C140" s="2">
        <v>1.2808958292581239E-2</v>
      </c>
      <c r="D140" s="2">
        <v>1.143068525378029E-2</v>
      </c>
      <c r="E140" s="2">
        <v>2.105340919783226E-2</v>
      </c>
      <c r="F140" s="2">
        <v>-5.1216501200548074E-3</v>
      </c>
      <c r="G140" s="2">
        <v>3.9107916356590652E-2</v>
      </c>
      <c r="H140" s="2">
        <v>3.9052377154230579E-2</v>
      </c>
      <c r="I140" s="2">
        <v>3.8509854761875587E-2</v>
      </c>
      <c r="J140" s="2">
        <v>0</v>
      </c>
      <c r="K140" s="2">
        <v>7.072969763213385E-4</v>
      </c>
      <c r="L140" s="2">
        <v>0</v>
      </c>
      <c r="M140" s="2">
        <v>1.811743214865115E-2</v>
      </c>
      <c r="N140" s="2">
        <v>2.287266166599131E-2</v>
      </c>
      <c r="O140" s="2">
        <v>2.8987536873252191E-2</v>
      </c>
      <c r="P140" s="2">
        <v>1.134227660393451E-2</v>
      </c>
      <c r="Q140" s="15">
        <f>AVERAGE(Tableau2[[#This Row],[AWB]:[IAM]])</f>
        <v>1.7598311753070837E-2</v>
      </c>
      <c r="R140" s="15">
        <f>ABS(Tableau2[[#This Row],[Rm ]])</f>
        <v>1.7598311753070837E-2</v>
      </c>
      <c r="S140" s="15">
        <f>(Tableau2[[#This Row],[Rm ]]-Tableau2[[#Totals],[Rm ]])^2</f>
        <v>2.8246370824736174E-4</v>
      </c>
      <c r="T140" s="15">
        <f t="shared" si="4"/>
        <v>0.17820226439067266</v>
      </c>
      <c r="U140" s="15">
        <f t="shared" si="5"/>
        <v>0.16252961000350435</v>
      </c>
    </row>
    <row r="141" spans="1:21" x14ac:dyDescent="0.35">
      <c r="A141" s="10">
        <v>44455</v>
      </c>
      <c r="B141" s="2">
        <v>-1.4463599518776789E-2</v>
      </c>
      <c r="C141" s="2">
        <v>-1.8349138668196541E-2</v>
      </c>
      <c r="D141" s="2">
        <v>-1.113894443425345E-2</v>
      </c>
      <c r="E141" s="2">
        <v>-6.9686693160933158E-3</v>
      </c>
      <c r="F141" s="2">
        <v>-1.927401817359013E-3</v>
      </c>
      <c r="G141" s="2">
        <v>-1.448683196624252E-2</v>
      </c>
      <c r="H141" s="2">
        <v>-8.8389736959751164E-2</v>
      </c>
      <c r="I141" s="2">
        <v>-0.1012537337051729</v>
      </c>
      <c r="J141" s="2">
        <v>2.4815169119723989E-2</v>
      </c>
      <c r="K141" s="2">
        <v>-2.357100776971238E-4</v>
      </c>
      <c r="L141" s="2">
        <v>2.7178321053944691E-2</v>
      </c>
      <c r="M141" s="2">
        <v>-1.633542426961675E-3</v>
      </c>
      <c r="N141" s="2">
        <v>1.743506182210135E-2</v>
      </c>
      <c r="O141" s="2">
        <v>-6.9886495356765487E-3</v>
      </c>
      <c r="P141" s="2">
        <v>0</v>
      </c>
      <c r="Q141" s="15">
        <f>AVERAGE(Tableau2[[#This Row],[AWB]:[IAM]])</f>
        <v>-1.3093827095360734E-2</v>
      </c>
      <c r="R141" s="15">
        <f>ABS(Tableau2[[#This Row],[Rm ]])</f>
        <v>1.3093827095360734E-2</v>
      </c>
      <c r="S141" s="15">
        <f>(Tableau2[[#This Row],[Rm ]]-Tableau2[[#Totals],[Rm ]])^2</f>
        <v>1.9280661547286236E-4</v>
      </c>
      <c r="T141" s="15">
        <f t="shared" si="4"/>
        <v>0.33072690539366917</v>
      </c>
      <c r="U141" s="15">
        <f t="shared" si="5"/>
        <v>0.17820226439067266</v>
      </c>
    </row>
    <row r="142" spans="1:21" x14ac:dyDescent="0.35">
      <c r="A142" s="10">
        <v>44456</v>
      </c>
      <c r="B142" s="2">
        <v>1.6115127557249781E-2</v>
      </c>
      <c r="C142" s="2">
        <v>4.2502142886948263E-3</v>
      </c>
      <c r="D142" s="2">
        <v>0</v>
      </c>
      <c r="E142" s="2">
        <v>3.5718082602079253E-2</v>
      </c>
      <c r="F142" s="2">
        <v>8.3253762970186534E-3</v>
      </c>
      <c r="G142" s="2">
        <v>-5.163522660049269E-3</v>
      </c>
      <c r="H142" s="2">
        <v>-9.1996326635482414E-4</v>
      </c>
      <c r="I142" s="2">
        <v>0</v>
      </c>
      <c r="J142" s="2">
        <v>-4.9031626380689687E-4</v>
      </c>
      <c r="K142" s="2">
        <v>7.7492462462329364E-3</v>
      </c>
      <c r="L142" s="2">
        <v>2.9747171167428749E-3</v>
      </c>
      <c r="M142" s="2">
        <v>2.7210901143605859E-3</v>
      </c>
      <c r="N142" s="2">
        <v>1.1294006618758909E-2</v>
      </c>
      <c r="O142" s="2">
        <v>6.9886495356765669E-3</v>
      </c>
      <c r="P142" s="2">
        <v>0</v>
      </c>
      <c r="Q142" s="15">
        <f>AVERAGE(Tableau2[[#This Row],[AWB]:[IAM]])</f>
        <v>5.9708472124402282E-3</v>
      </c>
      <c r="R142" s="15">
        <f>ABS(Tableau2[[#This Row],[Rm ]])</f>
        <v>5.9708472124402282E-3</v>
      </c>
      <c r="S142" s="15">
        <f>(Tableau2[[#This Row],[Rm ]]-Tableau2[[#Totals],[Rm ]])^2</f>
        <v>2.6824031058717863E-5</v>
      </c>
      <c r="T142" s="15">
        <f t="shared" si="4"/>
        <v>9.5158020433138604E-2</v>
      </c>
      <c r="U142" s="15">
        <f t="shared" si="5"/>
        <v>0.33072690539366917</v>
      </c>
    </row>
    <row r="143" spans="1:21" x14ac:dyDescent="0.35">
      <c r="A143" s="10">
        <v>44462</v>
      </c>
      <c r="B143" s="2">
        <v>6.5789710980425596E-3</v>
      </c>
      <c r="C143" s="2">
        <v>5.3333459753628232E-3</v>
      </c>
      <c r="D143" s="2">
        <v>-2.9174081952695072E-4</v>
      </c>
      <c r="E143" s="2">
        <v>2.86018831854799E-2</v>
      </c>
      <c r="F143" s="2">
        <v>-5.1151006667703768E-3</v>
      </c>
      <c r="G143" s="2">
        <v>-4.0498492064206908E-2</v>
      </c>
      <c r="H143" s="2">
        <v>-1.6237888671439198E-2</v>
      </c>
      <c r="I143" s="2">
        <v>-1.9032432169328969E-2</v>
      </c>
      <c r="J143" s="2">
        <v>-9.3619801792048096E-3</v>
      </c>
      <c r="K143" s="2">
        <v>5.8309203107931437E-3</v>
      </c>
      <c r="L143" s="2">
        <v>4.9382816405825767E-3</v>
      </c>
      <c r="M143" s="2">
        <v>1.8843087801479919E-2</v>
      </c>
      <c r="N143" s="2">
        <v>2.554971468560201E-2</v>
      </c>
      <c r="O143" s="2">
        <v>-3.577821347883967E-3</v>
      </c>
      <c r="P143" s="2">
        <v>-3.7664827954768929E-3</v>
      </c>
      <c r="Q143" s="15">
        <f>AVERAGE(Tableau2[[#This Row],[AWB]:[IAM]])</f>
        <v>-1.4704893443300994E-4</v>
      </c>
      <c r="R143" s="15">
        <f>ABS(Tableau2[[#This Row],[Rm ]])</f>
        <v>1.4704893443300994E-4</v>
      </c>
      <c r="S143" s="15">
        <f>(Tableau2[[#This Row],[Rm ]]-Tableau2[[#Totals],[Rm ]])^2</f>
        <v>8.8116524230207751E-7</v>
      </c>
      <c r="T143" s="15">
        <f t="shared" si="4"/>
        <v>0.1900329562064404</v>
      </c>
      <c r="U143" s="15">
        <f t="shared" si="5"/>
        <v>9.5158020433138604E-2</v>
      </c>
    </row>
    <row r="144" spans="1:21" x14ac:dyDescent="0.35">
      <c r="A144" s="10">
        <v>44467</v>
      </c>
      <c r="B144" s="2">
        <v>8.1633106391608354E-3</v>
      </c>
      <c r="C144" s="2">
        <v>1.257648946762133E-2</v>
      </c>
      <c r="D144" s="2">
        <v>1.0911309646987241E-2</v>
      </c>
      <c r="E144" s="2">
        <v>2.619516887550404E-3</v>
      </c>
      <c r="F144" s="2">
        <v>-5.1413995004186523E-3</v>
      </c>
      <c r="G144" s="2">
        <v>-1.296174891429221E-2</v>
      </c>
      <c r="H144" s="2">
        <v>-3.5224964983537173E-2</v>
      </c>
      <c r="I144" s="2">
        <v>-4.0056484200677457E-2</v>
      </c>
      <c r="J144" s="2">
        <v>4.9382816405825767E-3</v>
      </c>
      <c r="K144" s="2">
        <v>2.2762219667066069E-2</v>
      </c>
      <c r="L144" s="2">
        <v>1.2726554539222669E-2</v>
      </c>
      <c r="M144" s="2">
        <v>7.9681696491768813E-3</v>
      </c>
      <c r="N144" s="2">
        <v>2.30544202767081E-2</v>
      </c>
      <c r="O144" s="2">
        <v>3.5778213478839019E-3</v>
      </c>
      <c r="P144" s="2">
        <v>3.7664827954768652E-3</v>
      </c>
      <c r="Q144" s="15">
        <f>AVERAGE(Tableau2[[#This Row],[AWB]:[IAM]])</f>
        <v>1.3119985972340918E-3</v>
      </c>
      <c r="R144" s="15">
        <f>ABS(Tableau2[[#This Row],[Rm ]])</f>
        <v>1.3119985972340918E-3</v>
      </c>
      <c r="S144" s="15">
        <f>(Tableau2[[#This Row],[Rm ]]-Tableau2[[#Totals],[Rm ]])^2</f>
        <v>2.7075736728599496E-7</v>
      </c>
      <c r="T144" s="15">
        <f t="shared" si="4"/>
        <v>0.19497433205736384</v>
      </c>
      <c r="U144" s="15">
        <f t="shared" si="5"/>
        <v>0.1900329562064404</v>
      </c>
    </row>
    <row r="145" spans="1:21" x14ac:dyDescent="0.35">
      <c r="A145" s="10">
        <v>44470</v>
      </c>
      <c r="B145" s="2">
        <v>-2.0327269101402549E-4</v>
      </c>
      <c r="C145" s="2">
        <v>-3.083902670865132E-3</v>
      </c>
      <c r="D145" s="2">
        <v>-5.1506233835516297E-3</v>
      </c>
      <c r="E145" s="2">
        <v>2.964134533067115E-2</v>
      </c>
      <c r="F145" s="2">
        <v>-4.5205114113182074E-3</v>
      </c>
      <c r="G145" s="2">
        <v>-2.9558802241544391E-2</v>
      </c>
      <c r="H145" s="2">
        <v>-9.2480581245512495E-3</v>
      </c>
      <c r="I145" s="2">
        <v>-1.842965720763378E-2</v>
      </c>
      <c r="J145" s="2">
        <v>3.9125975812487467E-2</v>
      </c>
      <c r="K145" s="2">
        <v>2.2729855763283481E-4</v>
      </c>
      <c r="L145" s="2">
        <v>1.9436352085710311E-3</v>
      </c>
      <c r="M145" s="2">
        <v>-1.6000341346441189E-2</v>
      </c>
      <c r="N145" s="2">
        <v>7.4143064392274607E-3</v>
      </c>
      <c r="O145" s="2">
        <v>-3.562717764315116E-2</v>
      </c>
      <c r="P145" s="2">
        <v>1.492565021667557E-2</v>
      </c>
      <c r="Q145" s="15">
        <f>AVERAGE(Tableau2[[#This Row],[AWB]:[IAM]])</f>
        <v>-1.9029423436536833E-3</v>
      </c>
      <c r="R145" s="15">
        <f>ABS(Tableau2[[#This Row],[Rm ]])</f>
        <v>1.9029423436536833E-3</v>
      </c>
      <c r="S145" s="15">
        <f>(Tableau2[[#This Row],[Rm ]]-Tableau2[[#Totals],[Rm ]])^2</f>
        <v>7.2608553203113142E-6</v>
      </c>
      <c r="T145" s="15">
        <f t="shared" si="4"/>
        <v>0.19708438417001392</v>
      </c>
      <c r="U145" s="15">
        <f t="shared" si="5"/>
        <v>0.19497433205736384</v>
      </c>
    </row>
    <row r="146" spans="1:21" x14ac:dyDescent="0.35">
      <c r="A146" s="10">
        <v>44474</v>
      </c>
      <c r="B146" s="2">
        <v>-8.8825945201660046E-3</v>
      </c>
      <c r="C146" s="2">
        <v>-1.6671632816201709E-2</v>
      </c>
      <c r="D146" s="2">
        <v>0</v>
      </c>
      <c r="E146" s="2">
        <v>6.3291350516475296E-3</v>
      </c>
      <c r="F146" s="2">
        <v>7.7369825021524011E-3</v>
      </c>
      <c r="G146" s="2">
        <v>-5.5578779766099283E-2</v>
      </c>
      <c r="H146" s="2">
        <v>-1.7129577172716689E-3</v>
      </c>
      <c r="I146" s="2">
        <v>-6.306337704354914E-2</v>
      </c>
      <c r="J146" s="2">
        <v>7.7890482573700237E-2</v>
      </c>
      <c r="K146" s="2">
        <v>-4.3275320924540282E-3</v>
      </c>
      <c r="L146" s="2">
        <v>-9.7561749453646852E-3</v>
      </c>
      <c r="M146" s="2">
        <v>-4.8504541337494652E-3</v>
      </c>
      <c r="N146" s="2">
        <v>-7.4143064392274798E-3</v>
      </c>
      <c r="O146" s="2">
        <v>-1.9243938092283249E-2</v>
      </c>
      <c r="P146" s="2">
        <v>-7.4349784875180902E-3</v>
      </c>
      <c r="Q146" s="15">
        <f>AVERAGE(Tableau2[[#This Row],[AWB]:[IAM]])</f>
        <v>-7.1320083950923074E-3</v>
      </c>
      <c r="R146" s="15">
        <f>ABS(Tableau2[[#This Row],[Rm ]])</f>
        <v>7.1320083950923074E-3</v>
      </c>
      <c r="S146" s="15">
        <f>(Tableau2[[#This Row],[Rm ]]-Tableau2[[#Totals],[Rm ]])^2</f>
        <v>6.2784442998103303E-5</v>
      </c>
      <c r="T146" s="15">
        <f t="shared" si="4"/>
        <v>0.26169665781307827</v>
      </c>
      <c r="U146" s="15">
        <f t="shared" si="5"/>
        <v>0.19708438417001392</v>
      </c>
    </row>
    <row r="147" spans="1:21" x14ac:dyDescent="0.35">
      <c r="A147" s="10">
        <v>44477</v>
      </c>
      <c r="B147" s="2">
        <v>1.5164913287562349E-2</v>
      </c>
      <c r="C147" s="2">
        <v>1.558092192821307E-2</v>
      </c>
      <c r="D147" s="2">
        <v>5.6699989903446829E-3</v>
      </c>
      <c r="E147" s="2">
        <v>3.1496089028962009E-3</v>
      </c>
      <c r="F147" s="2">
        <v>-3.8610086574595429E-3</v>
      </c>
      <c r="G147" s="2">
        <v>4.6159557849607707E-2</v>
      </c>
      <c r="H147" s="2">
        <v>4.9221593197304729E-2</v>
      </c>
      <c r="I147" s="2">
        <v>7.2759354282428301E-2</v>
      </c>
      <c r="J147" s="2">
        <v>2.424361160999285E-2</v>
      </c>
      <c r="K147" s="2">
        <v>2.0782315618949641E-2</v>
      </c>
      <c r="L147" s="2">
        <v>9.7561749453646558E-3</v>
      </c>
      <c r="M147" s="2">
        <v>4.8504541337494799E-3</v>
      </c>
      <c r="N147" s="2">
        <v>1.4774045271307689E-2</v>
      </c>
      <c r="O147" s="2">
        <v>2.9553307751144588E-2</v>
      </c>
      <c r="P147" s="2">
        <v>7.4349784875179913E-3</v>
      </c>
      <c r="Q147" s="15">
        <f>AVERAGE(Tableau2[[#This Row],[AWB]:[IAM]])</f>
        <v>2.101598850659496E-2</v>
      </c>
      <c r="R147" s="15">
        <f>ABS(Tableau2[[#This Row],[Rm ]])</f>
        <v>2.101598850659496E-2</v>
      </c>
      <c r="S147" s="15">
        <f>(Tableau2[[#This Row],[Rm ]]-Tableau2[[#Totals],[Rm ]])^2</f>
        <v>4.0902366221421278E-4</v>
      </c>
      <c r="T147" s="15">
        <f t="shared" si="4"/>
        <v>0.22103935496386823</v>
      </c>
      <c r="U147" s="15">
        <f t="shared" si="5"/>
        <v>0.26169665781307827</v>
      </c>
    </row>
    <row r="148" spans="1:21" x14ac:dyDescent="0.35">
      <c r="A148" s="10">
        <v>44480</v>
      </c>
      <c r="B148" s="2">
        <v>-1.2195273093818239E-2</v>
      </c>
      <c r="C148" s="2">
        <v>-1.0421522239265509E-2</v>
      </c>
      <c r="D148" s="2">
        <v>-8.5171000681419917E-3</v>
      </c>
      <c r="E148" s="2">
        <v>0</v>
      </c>
      <c r="F148" s="2">
        <v>-3.875973844692961E-3</v>
      </c>
      <c r="G148" s="2">
        <v>3.1364160667057772E-2</v>
      </c>
      <c r="H148" s="2">
        <v>-9.3305348500023083E-4</v>
      </c>
      <c r="I148" s="2">
        <v>-7.9260652724207157E-3</v>
      </c>
      <c r="J148" s="2">
        <v>-3.3046485355948008E-2</v>
      </c>
      <c r="K148" s="2">
        <v>-5.155228272562159E-3</v>
      </c>
      <c r="L148" s="2">
        <v>1.9398648178266761E-3</v>
      </c>
      <c r="M148" s="2">
        <v>-2.691791665711415E-3</v>
      </c>
      <c r="N148" s="2">
        <v>3.2029311298467618E-3</v>
      </c>
      <c r="O148" s="2">
        <v>-7.352974305258806E-3</v>
      </c>
      <c r="P148" s="2">
        <v>-1.11733005981253E-2</v>
      </c>
      <c r="Q148" s="15">
        <f>AVERAGE(Tableau2[[#This Row],[AWB]:[IAM]])</f>
        <v>-4.4521207724142744E-3</v>
      </c>
      <c r="R148" s="15">
        <f>ABS(Tableau2[[#This Row],[Rm ]])</f>
        <v>4.4521207724142744E-3</v>
      </c>
      <c r="S148" s="15">
        <f>(Tableau2[[#This Row],[Rm ]]-Tableau2[[#Totals],[Rm ]])^2</f>
        <v>2.7497185277448516E-5</v>
      </c>
      <c r="T148" s="15">
        <f t="shared" si="4"/>
        <v>0.11406886488178944</v>
      </c>
      <c r="U148" s="15">
        <f t="shared" si="5"/>
        <v>0.22103935496386823</v>
      </c>
    </row>
    <row r="149" spans="1:21" x14ac:dyDescent="0.35">
      <c r="A149" s="10">
        <v>44482</v>
      </c>
      <c r="B149" s="2">
        <v>2.246962440629924E-3</v>
      </c>
      <c r="C149" s="2">
        <v>3.4859222530252369E-3</v>
      </c>
      <c r="D149" s="2">
        <v>2.8471010777973418E-3</v>
      </c>
      <c r="E149" s="2">
        <v>6.269613013595395E-3</v>
      </c>
      <c r="F149" s="2">
        <v>3.23102058144654E-3</v>
      </c>
      <c r="G149" s="2">
        <v>-1.5714388999929829E-2</v>
      </c>
      <c r="H149" s="2">
        <v>-3.2012217807136208E-2</v>
      </c>
      <c r="I149" s="2">
        <v>-1.4247792221901361E-2</v>
      </c>
      <c r="J149" s="2">
        <v>1.6659745241175271E-2</v>
      </c>
      <c r="K149" s="2">
        <v>1.117330059812525E-2</v>
      </c>
      <c r="L149" s="2">
        <v>4.5462374076757413E-2</v>
      </c>
      <c r="M149" s="2">
        <v>-2.1586624680380241E-3</v>
      </c>
      <c r="N149" s="2">
        <v>4.5672528768353683E-4</v>
      </c>
      <c r="O149" s="2">
        <v>0</v>
      </c>
      <c r="P149" s="2">
        <v>-7.5188324140273389E-3</v>
      </c>
      <c r="Q149" s="15">
        <f>AVERAGE(Tableau2[[#This Row],[AWB]:[IAM]])</f>
        <v>1.3453913772802097E-3</v>
      </c>
      <c r="R149" s="15">
        <f>ABS(Tableau2[[#This Row],[Rm ]])</f>
        <v>1.3453913772802097E-3</v>
      </c>
      <c r="S149" s="15">
        <f>(Tableau2[[#This Row],[Rm ]]-Tableau2[[#Totals],[Rm ]])^2</f>
        <v>3.0662387772947908E-7</v>
      </c>
      <c r="T149" s="15">
        <f t="shared" si="4"/>
        <v>0.15295254099006766</v>
      </c>
      <c r="U149" s="15">
        <f t="shared" si="5"/>
        <v>0.11406886488178944</v>
      </c>
    </row>
    <row r="150" spans="1:21" x14ac:dyDescent="0.35">
      <c r="A150" s="10">
        <v>44483</v>
      </c>
      <c r="B150" s="2">
        <v>8.9376991472649141E-3</v>
      </c>
      <c r="C150" s="2">
        <v>3.6563112031104792E-3</v>
      </c>
      <c r="D150" s="2">
        <v>0</v>
      </c>
      <c r="E150" s="2">
        <v>0</v>
      </c>
      <c r="F150" s="2">
        <v>1.2894908298716921E-3</v>
      </c>
      <c r="G150" s="2">
        <v>-2.356746940391316E-2</v>
      </c>
      <c r="H150" s="2">
        <v>-9.4420263268656171E-3</v>
      </c>
      <c r="I150" s="2">
        <v>-2.084352758936877E-2</v>
      </c>
      <c r="J150" s="2">
        <v>2.3206885902980919E-2</v>
      </c>
      <c r="K150" s="2">
        <v>1.1049836186584941E-2</v>
      </c>
      <c r="L150" s="2">
        <v>0</v>
      </c>
      <c r="M150" s="2">
        <v>5.9251452635148676E-3</v>
      </c>
      <c r="N150" s="2">
        <v>3.6463121530200789E-3</v>
      </c>
      <c r="O150" s="2">
        <v>1.465227678687041E-2</v>
      </c>
      <c r="P150" s="2">
        <v>0</v>
      </c>
      <c r="Q150" s="15">
        <f>AVERAGE(Tableau2[[#This Row],[AWB]:[IAM]])</f>
        <v>1.2340622768713839E-3</v>
      </c>
      <c r="R150" s="15">
        <f>ABS(Tableau2[[#This Row],[Rm ]])</f>
        <v>1.2340622768713839E-3</v>
      </c>
      <c r="S150" s="15">
        <f>(Tableau2[[#This Row],[Rm ]]-Tableau2[[#Totals],[Rm ]])^2</f>
        <v>1.9572412049636408E-7</v>
      </c>
      <c r="T150" s="15">
        <f t="shared" si="4"/>
        <v>0.12383112705808119</v>
      </c>
      <c r="U150" s="15">
        <f t="shared" si="5"/>
        <v>0.15295254099006766</v>
      </c>
    </row>
    <row r="151" spans="1:21" x14ac:dyDescent="0.35">
      <c r="A151" s="10">
        <v>44484</v>
      </c>
      <c r="B151" s="2">
        <v>-4.0526904506231962E-3</v>
      </c>
      <c r="C151" s="2">
        <v>3.6429912785010091E-3</v>
      </c>
      <c r="D151" s="2">
        <v>0</v>
      </c>
      <c r="E151" s="2">
        <v>2.964351964014894E-3</v>
      </c>
      <c r="F151" s="2">
        <v>5.1413995004186523E-3</v>
      </c>
      <c r="G151" s="2">
        <v>3.2533366534559557E-2</v>
      </c>
      <c r="H151" s="2">
        <v>9.442026326865513E-3</v>
      </c>
      <c r="I151" s="2">
        <v>2.8882874148786149E-2</v>
      </c>
      <c r="J151" s="2">
        <v>2.5456101994335962E-3</v>
      </c>
      <c r="K151" s="2">
        <v>1.092907053219023E-2</v>
      </c>
      <c r="L151" s="2">
        <v>1.287966286366124E-2</v>
      </c>
      <c r="M151" s="2">
        <v>-1.0746911297654089E-3</v>
      </c>
      <c r="N151" s="2">
        <v>0</v>
      </c>
      <c r="O151" s="2">
        <v>-2.3664341615867689E-3</v>
      </c>
      <c r="P151" s="2">
        <v>1.4981553615616891E-2</v>
      </c>
      <c r="Q151" s="15">
        <f>AVERAGE(Tableau2[[#This Row],[AWB]:[IAM]])</f>
        <v>7.7632727481381563E-3</v>
      </c>
      <c r="R151" s="15">
        <f>ABS(Tableau2[[#This Row],[Rm ]])</f>
        <v>7.7632727481381563E-3</v>
      </c>
      <c r="S151" s="15">
        <f>(Tableau2[[#This Row],[Rm ]]-Tableau2[[#Totals],[Rm ]])^2</f>
        <v>4.8603452794915686E-5</v>
      </c>
      <c r="T151" s="15">
        <f t="shared" si="4"/>
        <v>0.11940077292272111</v>
      </c>
      <c r="U151" s="15">
        <f t="shared" si="5"/>
        <v>0.12383112705808119</v>
      </c>
    </row>
    <row r="152" spans="1:21" x14ac:dyDescent="0.35">
      <c r="A152" s="10">
        <v>44487</v>
      </c>
      <c r="B152" s="2">
        <v>5.0633019565466354E-3</v>
      </c>
      <c r="C152" s="2">
        <v>-3.6370249537135579E-4</v>
      </c>
      <c r="D152" s="2">
        <v>0</v>
      </c>
      <c r="E152" s="2">
        <v>1.2539834571950259E-2</v>
      </c>
      <c r="F152" s="2">
        <v>0</v>
      </c>
      <c r="G152" s="2">
        <v>-6.1747649108251403E-3</v>
      </c>
      <c r="H152" s="2">
        <v>1.197619104671562E-2</v>
      </c>
      <c r="I152" s="2">
        <v>2.0256086675734319E-2</v>
      </c>
      <c r="J152" s="2">
        <v>-2.1208915691376239E-3</v>
      </c>
      <c r="K152" s="2">
        <v>0</v>
      </c>
      <c r="L152" s="2">
        <v>-9.1449480538793057E-4</v>
      </c>
      <c r="M152" s="2">
        <v>-9.7245498919947444E-3</v>
      </c>
      <c r="N152" s="2">
        <v>0</v>
      </c>
      <c r="O152" s="2">
        <v>-9.3381617879411162E-3</v>
      </c>
      <c r="P152" s="2">
        <v>1.109068669415814E-2</v>
      </c>
      <c r="Q152" s="15">
        <f>AVERAGE(Tableau2[[#This Row],[AWB]:[IAM]])</f>
        <v>2.1526356989631373E-3</v>
      </c>
      <c r="R152" s="15">
        <f>ABS(Tableau2[[#This Row],[Rm ]])</f>
        <v>2.1526356989631373E-3</v>
      </c>
      <c r="S152" s="15">
        <f>(Tableau2[[#This Row],[Rm ]]-Tableau2[[#Totals],[Rm ]])^2</f>
        <v>1.8522682225909412E-6</v>
      </c>
      <c r="T152" s="15">
        <f t="shared" si="4"/>
        <v>9.1983663971729884E-2</v>
      </c>
      <c r="U152" s="15">
        <f t="shared" si="5"/>
        <v>0.11940077292272111</v>
      </c>
    </row>
    <row r="153" spans="1:21" x14ac:dyDescent="0.35">
      <c r="A153" s="10">
        <v>44494</v>
      </c>
      <c r="B153" s="2">
        <v>6.0423144559626617E-3</v>
      </c>
      <c r="C153" s="2">
        <v>1.1213718519437031E-2</v>
      </c>
      <c r="D153" s="2">
        <v>8.5505171705748135E-3</v>
      </c>
      <c r="E153" s="2">
        <v>3.9220713153281329E-2</v>
      </c>
      <c r="F153" s="2">
        <v>1.9212301778938721E-3</v>
      </c>
      <c r="G153" s="2">
        <v>-9.0216819704573275E-3</v>
      </c>
      <c r="H153" s="2">
        <v>0</v>
      </c>
      <c r="I153" s="2">
        <v>-6.1215757408296127E-3</v>
      </c>
      <c r="J153" s="2">
        <v>-6.38979809877101E-3</v>
      </c>
      <c r="K153" s="2">
        <v>0</v>
      </c>
      <c r="L153" s="2">
        <v>-1.6605547614775399E-2</v>
      </c>
      <c r="M153" s="2">
        <v>0</v>
      </c>
      <c r="N153" s="2">
        <v>7.7045475156693232E-3</v>
      </c>
      <c r="O153" s="2">
        <v>-4.7944034305071118E-3</v>
      </c>
      <c r="P153" s="2">
        <v>-1.481508578514059E-2</v>
      </c>
      <c r="Q153" s="15">
        <f>AVERAGE(Tableau2[[#This Row],[AWB]:[IAM]])</f>
        <v>1.1269965568225331E-3</v>
      </c>
      <c r="R153" s="15">
        <f>ABS(Tableau2[[#This Row],[Rm ]])</f>
        <v>1.1269965568225331E-3</v>
      </c>
      <c r="S153" s="15">
        <f>(Tableau2[[#This Row],[Rm ]]-Tableau2[[#Totals],[Rm ]])^2</f>
        <v>1.1245390050836896E-7</v>
      </c>
      <c r="T153" s="15">
        <f t="shared" si="4"/>
        <v>0.12090284645126879</v>
      </c>
      <c r="U153" s="15">
        <f t="shared" si="5"/>
        <v>9.1983663971729884E-2</v>
      </c>
    </row>
    <row r="154" spans="1:21" x14ac:dyDescent="0.35">
      <c r="A154" s="10">
        <v>44495</v>
      </c>
      <c r="B154" s="2">
        <v>2.3810648693718611E-2</v>
      </c>
      <c r="C154" s="2">
        <v>7.168489478612497E-3</v>
      </c>
      <c r="D154" s="2">
        <v>2.2356515757870669E-2</v>
      </c>
      <c r="E154" s="2">
        <v>-5.4884065679731862E-3</v>
      </c>
      <c r="F154" s="2">
        <v>-6.4185072727894954E-3</v>
      </c>
      <c r="G154" s="2">
        <v>-2.5317807984289901E-2</v>
      </c>
      <c r="H154" s="2">
        <v>-1.8746042821055329E-2</v>
      </c>
      <c r="I154" s="2">
        <v>-8.810629682154807E-3</v>
      </c>
      <c r="J154" s="2">
        <v>1.6949558313773209E-2</v>
      </c>
      <c r="K154" s="2">
        <v>2.1506205220963678E-2</v>
      </c>
      <c r="L154" s="2">
        <v>2.7868109071792161E-3</v>
      </c>
      <c r="M154" s="2">
        <v>2.0419839008742741E-2</v>
      </c>
      <c r="N154" s="2">
        <v>5.4471084104942981E-2</v>
      </c>
      <c r="O154" s="2">
        <v>1.2490977982496111E-2</v>
      </c>
      <c r="P154" s="2">
        <v>0</v>
      </c>
      <c r="Q154" s="15">
        <f>AVERAGE(Tableau2[[#This Row],[AWB]:[IAM]])</f>
        <v>7.8119156760024667E-3</v>
      </c>
      <c r="R154" s="15">
        <f>ABS(Tableau2[[#This Row],[Rm ]])</f>
        <v>7.8119156760024667E-3</v>
      </c>
      <c r="S154" s="15">
        <f>(Tableau2[[#This Row],[Rm ]]-Tableau2[[#Totals],[Rm ]])^2</f>
        <v>4.9284058719196658E-5</v>
      </c>
      <c r="T154" s="15">
        <f t="shared" si="4"/>
        <v>0.2273517174033792</v>
      </c>
      <c r="U154" s="15">
        <f t="shared" si="5"/>
        <v>0.12090284645126879</v>
      </c>
    </row>
    <row r="155" spans="1:21" x14ac:dyDescent="0.35">
      <c r="A155" s="10">
        <v>44496</v>
      </c>
      <c r="B155" s="2">
        <v>-9.8522964430115944E-3</v>
      </c>
      <c r="C155" s="2">
        <v>1.065729447398798E-2</v>
      </c>
      <c r="D155" s="2">
        <v>1.6514546268428042E-2</v>
      </c>
      <c r="E155" s="2">
        <v>3.5937258969482223E-2</v>
      </c>
      <c r="F155" s="2">
        <v>1.406672811104639E-2</v>
      </c>
      <c r="G155" s="2">
        <v>2.5317807984290001E-2</v>
      </c>
      <c r="H155" s="2">
        <v>-5.3515087580051314E-3</v>
      </c>
      <c r="I155" s="2">
        <v>3.533572581311044E-3</v>
      </c>
      <c r="J155" s="2">
        <v>2.3667286959685761E-2</v>
      </c>
      <c r="K155" s="2">
        <v>2.105340919783226E-2</v>
      </c>
      <c r="L155" s="2">
        <v>1.838287060053358E-2</v>
      </c>
      <c r="M155" s="2">
        <v>5.3050522296930981E-3</v>
      </c>
      <c r="N155" s="2">
        <v>-3.7460826151934593E-2</v>
      </c>
      <c r="O155" s="2">
        <v>-1.360065074293393E-2</v>
      </c>
      <c r="P155" s="2">
        <v>0</v>
      </c>
      <c r="Q155" s="15">
        <f>AVERAGE(Tableau2[[#This Row],[AWB]:[IAM]])</f>
        <v>7.2113696853603427E-3</v>
      </c>
      <c r="R155" s="15">
        <f>ABS(Tableau2[[#This Row],[Rm ]])</f>
        <v>7.2113696853603427E-3</v>
      </c>
      <c r="S155" s="15">
        <f>(Tableau2[[#This Row],[Rm ]]-Tableau2[[#Totals],[Rm ]])^2</f>
        <v>4.1212735507662158E-5</v>
      </c>
      <c r="T155" s="15">
        <f t="shared" si="4"/>
        <v>0.20908187845847068</v>
      </c>
      <c r="U155" s="15">
        <f t="shared" si="5"/>
        <v>0.2273517174033792</v>
      </c>
    </row>
    <row r="156" spans="1:21" x14ac:dyDescent="0.35">
      <c r="A156" s="10">
        <v>44497</v>
      </c>
      <c r="B156" s="2">
        <v>3.9525743158233418E-3</v>
      </c>
      <c r="C156" s="2">
        <v>-3.5398267051240618E-3</v>
      </c>
      <c r="D156" s="2">
        <v>0</v>
      </c>
      <c r="E156" s="2">
        <v>7.2914755813379487E-3</v>
      </c>
      <c r="F156" s="2">
        <v>-9.5694510161506725E-3</v>
      </c>
      <c r="G156" s="2">
        <v>5.9199425109901773E-3</v>
      </c>
      <c r="H156" s="2">
        <v>2.436054797881121E-3</v>
      </c>
      <c r="I156" s="2">
        <v>1.4010737069598369E-2</v>
      </c>
      <c r="J156" s="2">
        <v>-2.7877819496029261E-2</v>
      </c>
      <c r="K156" s="2">
        <v>1.0362787035546659E-2</v>
      </c>
      <c r="L156" s="2">
        <v>4.5433971840265711E-3</v>
      </c>
      <c r="M156" s="2">
        <v>2.6420094628385759E-3</v>
      </c>
      <c r="N156" s="2">
        <v>2.1081149603121369E-2</v>
      </c>
      <c r="O156" s="2">
        <v>5.7201004752203939E-3</v>
      </c>
      <c r="P156" s="2">
        <v>-7.4906717291576257E-3</v>
      </c>
      <c r="Q156" s="15">
        <f>AVERAGE(Tableau2[[#This Row],[AWB]:[IAM]])</f>
        <v>1.9654972726615271E-3</v>
      </c>
      <c r="R156" s="15">
        <f>ABS(Tableau2[[#This Row],[Rm ]])</f>
        <v>1.9654972726615271E-3</v>
      </c>
      <c r="S156" s="15">
        <f>(Tableau2[[#This Row],[Rm ]]-Tableau2[[#Totals],[Rm ]])^2</f>
        <v>1.3779054737779602E-6</v>
      </c>
      <c r="T156" s="15">
        <f t="shared" si="4"/>
        <v>0.10778475288450733</v>
      </c>
      <c r="U156" s="15">
        <f t="shared" si="5"/>
        <v>0.20908187845847068</v>
      </c>
    </row>
    <row r="157" spans="1:21" x14ac:dyDescent="0.35">
      <c r="A157" s="10">
        <v>44498</v>
      </c>
      <c r="B157" s="2">
        <v>-3.3799536883448077E-2</v>
      </c>
      <c r="C157" s="2">
        <v>1.9315789299291491E-2</v>
      </c>
      <c r="D157" s="2">
        <v>1.352040381509364E-2</v>
      </c>
      <c r="E157" s="2">
        <v>-5.7143012634386639E-3</v>
      </c>
      <c r="F157" s="2">
        <v>0</v>
      </c>
      <c r="G157" s="2">
        <v>-1.8498724717850201E-2</v>
      </c>
      <c r="H157" s="2">
        <v>-2.4360547978811162E-3</v>
      </c>
      <c r="I157" s="2">
        <v>-2.5540798285135759E-2</v>
      </c>
      <c r="J157" s="2">
        <v>3.3698431215503631E-3</v>
      </c>
      <c r="K157" s="2">
        <v>1.0256500167189059E-2</v>
      </c>
      <c r="L157" s="2">
        <v>-2.723560467040604E-3</v>
      </c>
      <c r="M157" s="2">
        <v>7.8844035241488353E-3</v>
      </c>
      <c r="N157" s="2">
        <v>-4.3468811812477252E-4</v>
      </c>
      <c r="O157" s="2">
        <v>-2.5792202949716141E-3</v>
      </c>
      <c r="P157" s="2">
        <v>1.862251209800185E-2</v>
      </c>
      <c r="Q157" s="15">
        <f>AVERAGE(Tableau2[[#This Row],[AWB]:[IAM]])</f>
        <v>-1.2504955201743707E-3</v>
      </c>
      <c r="R157" s="15">
        <f>ABS(Tableau2[[#This Row],[Rm ]])</f>
        <v>1.2504955201743707E-3</v>
      </c>
      <c r="S157" s="15">
        <f>(Tableau2[[#This Row],[Rm ]]-Tableau2[[#Totals],[Rm ]])^2</f>
        <v>4.1703791077073458E-6</v>
      </c>
      <c r="T157" s="15">
        <f t="shared" si="4"/>
        <v>0.1465293156934597</v>
      </c>
      <c r="U157" s="15">
        <f t="shared" si="5"/>
        <v>0.10778475288450733</v>
      </c>
    </row>
    <row r="158" spans="1:21" x14ac:dyDescent="0.35">
      <c r="A158" s="10">
        <v>44502</v>
      </c>
      <c r="B158" s="2">
        <v>1.709270438172255E-2</v>
      </c>
      <c r="C158" s="2">
        <v>-1.842965720763378E-2</v>
      </c>
      <c r="D158" s="2">
        <v>5.3899681326730611E-3</v>
      </c>
      <c r="E158" s="2">
        <v>0</v>
      </c>
      <c r="F158" s="2">
        <v>0</v>
      </c>
      <c r="G158" s="2">
        <v>1.257878220685997E-2</v>
      </c>
      <c r="H158" s="2">
        <v>-6.1162270174360944E-3</v>
      </c>
      <c r="I158" s="2">
        <v>-1.785714760234755E-3</v>
      </c>
      <c r="J158" s="2">
        <v>-1.184447011252251E-2</v>
      </c>
      <c r="K158" s="2">
        <v>-2.041024601431772E-4</v>
      </c>
      <c r="L158" s="2">
        <v>0</v>
      </c>
      <c r="M158" s="2">
        <v>-1.047669032443689E-3</v>
      </c>
      <c r="N158" s="2">
        <v>-8.7336799687545534E-3</v>
      </c>
      <c r="O158" s="2">
        <v>7.168489478612497E-3</v>
      </c>
      <c r="P158" s="2">
        <v>-7.4074412778619156E-3</v>
      </c>
      <c r="Q158" s="15">
        <f>AVERAGE(Tableau2[[#This Row],[AWB]:[IAM]])</f>
        <v>-8.8926784247749294E-4</v>
      </c>
      <c r="R158" s="15">
        <f>ABS(Tableau2[[#This Row],[Rm ]])</f>
        <v>8.8926784247749294E-4</v>
      </c>
      <c r="S158" s="15">
        <f>(Tableau2[[#This Row],[Rm ]]-Tableau2[[#Totals],[Rm ]])^2</f>
        <v>2.8255018992260283E-6</v>
      </c>
      <c r="T158" s="15">
        <f t="shared" si="4"/>
        <v>9.2196340419397546E-2</v>
      </c>
      <c r="U158" s="15">
        <f t="shared" si="5"/>
        <v>0.1465293156934597</v>
      </c>
    </row>
    <row r="159" spans="1:21" x14ac:dyDescent="0.35">
      <c r="A159" s="10">
        <v>44505</v>
      </c>
      <c r="B159" s="2">
        <v>-1.637889208403974E-2</v>
      </c>
      <c r="C159" s="2">
        <v>-8.8613209165779884E-4</v>
      </c>
      <c r="D159" s="2">
        <v>-8.0685167590362379E-3</v>
      </c>
      <c r="E159" s="2">
        <v>-2.7009047035889008E-2</v>
      </c>
      <c r="F159" s="2">
        <v>0</v>
      </c>
      <c r="G159" s="2">
        <v>-1.6065867686793321E-2</v>
      </c>
      <c r="H159" s="2">
        <v>-5.9137997329058431E-2</v>
      </c>
      <c r="I159" s="2">
        <v>-8.7742816739416654E-2</v>
      </c>
      <c r="J159" s="2">
        <v>-4.2643987864575397E-3</v>
      </c>
      <c r="K159" s="2">
        <v>-5.9371655619393131E-3</v>
      </c>
      <c r="L159" s="2">
        <v>0</v>
      </c>
      <c r="M159" s="2">
        <v>-1.478379618423698E-2</v>
      </c>
      <c r="N159" s="2">
        <v>-3.5718082602079232E-2</v>
      </c>
      <c r="O159" s="2">
        <v>-2.2223136784710239E-2</v>
      </c>
      <c r="P159" s="2">
        <v>3.710579396535775E-3</v>
      </c>
      <c r="Q159" s="15">
        <f>AVERAGE(Tableau2[[#This Row],[AWB]:[IAM]])</f>
        <v>-1.9633684683251908E-2</v>
      </c>
      <c r="R159" s="15">
        <f>ABS(Tableau2[[#This Row],[Rm ]])</f>
        <v>1.9633684683251908E-2</v>
      </c>
      <c r="S159" s="15">
        <f>(Tableau2[[#This Row],[Rm ]]-Tableau2[[#Totals],[Rm ]])^2</f>
        <v>4.1719450478349117E-4</v>
      </c>
      <c r="T159" s="15">
        <f t="shared" si="4"/>
        <v>0.2455373343419861</v>
      </c>
      <c r="U159" s="15">
        <f t="shared" si="5"/>
        <v>9.2196340419397546E-2</v>
      </c>
    </row>
    <row r="160" spans="1:21" x14ac:dyDescent="0.35">
      <c r="A160" s="10">
        <v>44510</v>
      </c>
      <c r="B160" s="2">
        <v>-1.019887900745523E-3</v>
      </c>
      <c r="C160" s="2">
        <v>-1.0695289116747921E-2</v>
      </c>
      <c r="D160" s="2">
        <v>2.678548626363074E-3</v>
      </c>
      <c r="E160" s="2">
        <v>1.471778647148341E-4</v>
      </c>
      <c r="F160" s="2">
        <v>-2.5673955052458088E-3</v>
      </c>
      <c r="G160" s="2">
        <v>-1.5682830627786949E-2</v>
      </c>
      <c r="H160" s="2">
        <v>5.0016770526878057E-2</v>
      </c>
      <c r="I160" s="2">
        <v>-2.4692612590371522E-2</v>
      </c>
      <c r="J160" s="2">
        <v>-9.0148710962154269E-3</v>
      </c>
      <c r="K160" s="2">
        <v>-4.1152321451065439E-3</v>
      </c>
      <c r="L160" s="2">
        <v>-2.7651531330510008E-2</v>
      </c>
      <c r="M160" s="2">
        <v>-5.320564105295891E-4</v>
      </c>
      <c r="N160" s="2">
        <v>-1.373019281190202E-2</v>
      </c>
      <c r="O160" s="2">
        <v>-7.5188324140273389E-3</v>
      </c>
      <c r="P160" s="2">
        <v>-3.710579396535713E-3</v>
      </c>
      <c r="Q160" s="15">
        <f>AVERAGE(Tableau2[[#This Row],[AWB]:[IAM]])</f>
        <v>-4.539254288517894E-3</v>
      </c>
      <c r="R160" s="15">
        <f>ABS(Tableau2[[#This Row],[Rm ]])</f>
        <v>4.539254288517894E-3</v>
      </c>
      <c r="S160" s="15">
        <f>(Tableau2[[#This Row],[Rm ]]-Tableau2[[#Totals],[Rm ]])^2</f>
        <v>2.8418594783884377E-5</v>
      </c>
      <c r="T160" s="15">
        <f t="shared" si="4"/>
        <v>0.15364933003668851</v>
      </c>
      <c r="U160" s="15">
        <f t="shared" si="5"/>
        <v>0.2455373343419861</v>
      </c>
    </row>
    <row r="161" spans="1:21" x14ac:dyDescent="0.35">
      <c r="A161" s="10">
        <v>44512</v>
      </c>
      <c r="B161" s="2">
        <v>-4.0899852515251661E-3</v>
      </c>
      <c r="C161" s="2">
        <v>-3.5906681307285959E-3</v>
      </c>
      <c r="D161" s="2">
        <v>0</v>
      </c>
      <c r="E161" s="2">
        <v>-8.1271226788913725E-3</v>
      </c>
      <c r="F161" s="2">
        <v>2.5673955052457329E-3</v>
      </c>
      <c r="G161" s="2">
        <v>0</v>
      </c>
      <c r="H161" s="2">
        <v>-2.476780198420999E-4</v>
      </c>
      <c r="I161" s="2">
        <v>3.4401426717332317E-2</v>
      </c>
      <c r="J161" s="2">
        <v>-1.25842407072463E-2</v>
      </c>
      <c r="K161" s="2">
        <v>-3.1416196233378928E-2</v>
      </c>
      <c r="L161" s="2">
        <v>2.7651531330509949E-2</v>
      </c>
      <c r="M161" s="2">
        <v>-4.8012895648330044E-3</v>
      </c>
      <c r="N161" s="2">
        <v>1.8416211466495539E-3</v>
      </c>
      <c r="O161" s="2">
        <v>-7.5757938084576558E-3</v>
      </c>
      <c r="P161" s="2">
        <v>7.4074412778618176E-3</v>
      </c>
      <c r="Q161" s="15">
        <f>AVERAGE(Tableau2[[#This Row],[AWB]:[IAM]])</f>
        <v>9.5762772179750055E-5</v>
      </c>
      <c r="R161" s="15">
        <f>ABS(Tableau2[[#This Row],[Rm ]])</f>
        <v>9.5762772179750055E-5</v>
      </c>
      <c r="S161" s="15">
        <f>(Tableau2[[#This Row],[Rm ]]-Tableau2[[#Totals],[Rm ]])^2</f>
        <v>4.8426611564035254E-7</v>
      </c>
      <c r="T161" s="15">
        <f t="shared" si="4"/>
        <v>0.13995697096143131</v>
      </c>
      <c r="U161" s="15">
        <f t="shared" si="5"/>
        <v>0.15364933003668851</v>
      </c>
    </row>
    <row r="162" spans="1:21" x14ac:dyDescent="0.35">
      <c r="A162" s="10">
        <v>44517</v>
      </c>
      <c r="B162" s="2">
        <v>-9.9882414078296972E-3</v>
      </c>
      <c r="C162" s="2">
        <v>3.59066813072854E-3</v>
      </c>
      <c r="D162" s="2">
        <v>0</v>
      </c>
      <c r="E162" s="2">
        <v>5.9171770280885194E-3</v>
      </c>
      <c r="F162" s="2">
        <v>4.5120435280469641E-2</v>
      </c>
      <c r="G162" s="2">
        <v>1.600034134644112E-2</v>
      </c>
      <c r="H162" s="2">
        <v>2.2775565102137709E-2</v>
      </c>
      <c r="I162" s="2">
        <v>4.2559614418796111E-2</v>
      </c>
      <c r="J162" s="2">
        <v>4.3573053689556262E-3</v>
      </c>
      <c r="K162" s="2">
        <v>2.105340919783226E-2</v>
      </c>
      <c r="L162" s="2">
        <v>-9.1324835632724741E-3</v>
      </c>
      <c r="M162" s="2">
        <v>0</v>
      </c>
      <c r="N162" s="2">
        <v>-4.1484272445644838E-3</v>
      </c>
      <c r="O162" s="2">
        <v>-1.9029501460860749E-3</v>
      </c>
      <c r="P162" s="2">
        <v>-3.6968618813262031E-3</v>
      </c>
      <c r="Q162" s="15">
        <f>AVERAGE(Tableau2[[#This Row],[AWB]:[IAM]])</f>
        <v>8.8337034420247033E-3</v>
      </c>
      <c r="R162" s="15">
        <f>ABS(Tableau2[[#This Row],[Rm ]])</f>
        <v>8.8337034420247033E-3</v>
      </c>
      <c r="S162" s="15">
        <f>(Tableau2[[#This Row],[Rm ]]-Tableau2[[#Totals],[Rm ]])^2</f>
        <v>6.4674541723586736E-5</v>
      </c>
      <c r="T162" s="15">
        <f t="shared" si="4"/>
        <v>0.19498650196931241</v>
      </c>
      <c r="U162" s="15">
        <f t="shared" si="5"/>
        <v>0.13995697096143131</v>
      </c>
    </row>
    <row r="163" spans="1:21" x14ac:dyDescent="0.35">
      <c r="A163" s="10">
        <v>44526</v>
      </c>
      <c r="B163" s="2">
        <v>-6.5410605433808122E-3</v>
      </c>
      <c r="C163" s="2">
        <v>-6.4725145056174788E-3</v>
      </c>
      <c r="D163" s="2">
        <v>1.069703138478016E-2</v>
      </c>
      <c r="E163" s="2">
        <v>-2.6907452919924382E-2</v>
      </c>
      <c r="F163" s="2">
        <v>-8.6154379056152895E-3</v>
      </c>
      <c r="G163" s="2">
        <v>-2.605067719994255E-2</v>
      </c>
      <c r="H163" s="2">
        <v>-2.4511031014349809E-2</v>
      </c>
      <c r="I163" s="2">
        <v>-5.0319110189707243E-2</v>
      </c>
      <c r="J163" s="2">
        <v>8.6580627431145311E-3</v>
      </c>
      <c r="K163" s="2">
        <v>-4.2559614418795889E-2</v>
      </c>
      <c r="L163" s="2">
        <v>5.4894922847715149E-3</v>
      </c>
      <c r="M163" s="2">
        <v>-5.3619431413853991E-3</v>
      </c>
      <c r="N163" s="2">
        <v>-2.1004272770532129E-2</v>
      </c>
      <c r="O163" s="2">
        <v>1.9029501460860641E-3</v>
      </c>
      <c r="P163" s="2">
        <v>0</v>
      </c>
      <c r="Q163" s="15">
        <f>AVERAGE(Tableau2[[#This Row],[AWB]:[IAM]])</f>
        <v>-1.2773038536699914E-2</v>
      </c>
      <c r="R163" s="15">
        <f>ABS(Tableau2[[#This Row],[Rm ]])</f>
        <v>1.2773038536699914E-2</v>
      </c>
      <c r="S163" s="15">
        <f>(Tableau2[[#This Row],[Rm ]]-Tableau2[[#Totals],[Rm ]])^2</f>
        <v>1.8400091314021364E-4</v>
      </c>
      <c r="T163" s="15">
        <f t="shared" si="4"/>
        <v>0.21750635195185178</v>
      </c>
      <c r="U163" s="15">
        <f t="shared" si="5"/>
        <v>0.19498650196931241</v>
      </c>
    </row>
    <row r="164" spans="1:21" x14ac:dyDescent="0.35">
      <c r="A164" s="10">
        <v>44530</v>
      </c>
      <c r="B164" s="2">
        <v>-1.469071541000359E-2</v>
      </c>
      <c r="C164" s="2">
        <v>-4.3384015985981298E-3</v>
      </c>
      <c r="D164" s="2">
        <v>-2.0958033921904311E-2</v>
      </c>
      <c r="E164" s="2">
        <v>1.50378773645405E-2</v>
      </c>
      <c r="F164" s="2">
        <v>-3.1389896708083821E-2</v>
      </c>
      <c r="G164" s="2">
        <v>-2.3072875870727139E-2</v>
      </c>
      <c r="H164" s="2">
        <v>-7.4720148387009541E-3</v>
      </c>
      <c r="I164" s="2">
        <v>1.7374954470353161E-2</v>
      </c>
      <c r="J164" s="2">
        <v>-1.7391742711869222E-2</v>
      </c>
      <c r="K164" s="2">
        <v>0</v>
      </c>
      <c r="L164" s="2">
        <v>-1.3780649868752619E-2</v>
      </c>
      <c r="M164" s="2">
        <v>-4.9032128924413387E-2</v>
      </c>
      <c r="N164" s="2">
        <v>-4.728141195946012E-3</v>
      </c>
      <c r="O164" s="2">
        <v>1.9009599905166709E-4</v>
      </c>
      <c r="P164" s="2">
        <v>-7.4349784875180902E-3</v>
      </c>
      <c r="Q164" s="15">
        <f>AVERAGE(Tableau2[[#This Row],[AWB]:[IAM]])</f>
        <v>-1.0779110113504796E-2</v>
      </c>
      <c r="R164" s="15">
        <f>ABS(Tableau2[[#This Row],[Rm ]])</f>
        <v>1.0779110113504796E-2</v>
      </c>
      <c r="S164" s="15">
        <f>(Tableau2[[#This Row],[Rm ]]-Tableau2[[#Totals],[Rm ]])^2</f>
        <v>1.3388260735538234E-4</v>
      </c>
      <c r="T164" s="15">
        <f t="shared" si="4"/>
        <v>0.18660335572485345</v>
      </c>
      <c r="U164" s="15">
        <f t="shared" si="5"/>
        <v>0.21750635195185178</v>
      </c>
    </row>
    <row r="165" spans="1:21" x14ac:dyDescent="0.35">
      <c r="A165" s="10">
        <v>44532</v>
      </c>
      <c r="B165" s="2">
        <v>2.7113235408560889E-2</v>
      </c>
      <c r="C165" s="2">
        <v>1.0810916104215669E-2</v>
      </c>
      <c r="D165" s="2">
        <v>1.8308022906764448E-2</v>
      </c>
      <c r="E165" s="2">
        <v>-2.9895388483660479E-3</v>
      </c>
      <c r="F165" s="2">
        <v>2.9534034746403821E-2</v>
      </c>
      <c r="G165" s="2">
        <v>5.3209304122767576E-3</v>
      </c>
      <c r="H165" s="2">
        <v>-3.1748698314580298E-2</v>
      </c>
      <c r="I165" s="2">
        <v>-4.7961722634929441E-3</v>
      </c>
      <c r="J165" s="2">
        <v>8.7336799687546315E-3</v>
      </c>
      <c r="K165" s="2">
        <v>4.5548283930801096E-3</v>
      </c>
      <c r="L165" s="2">
        <v>6.4546097766796928E-3</v>
      </c>
      <c r="M165" s="2">
        <v>2.729214228800755E-2</v>
      </c>
      <c r="N165" s="2">
        <v>4.7281411959458957E-3</v>
      </c>
      <c r="O165" s="2">
        <v>3.6049749694999659E-3</v>
      </c>
      <c r="P165" s="2">
        <v>-1.1257154524634451E-2</v>
      </c>
      <c r="Q165" s="15">
        <f>AVERAGE(Tableau2[[#This Row],[AWB]:[IAM]])</f>
        <v>6.3775968146077121E-3</v>
      </c>
      <c r="R165" s="15">
        <f>ABS(Tableau2[[#This Row],[Rm ]])</f>
        <v>6.3775968146077121E-3</v>
      </c>
      <c r="S165" s="15">
        <f>(Tableau2[[#This Row],[Rm ]]-Tableau2[[#Totals],[Rm ]])^2</f>
        <v>3.1202744969664269E-5</v>
      </c>
      <c r="T165" s="15">
        <f t="shared" si="4"/>
        <v>0.15074782574430604</v>
      </c>
      <c r="U165" s="15">
        <f t="shared" si="5"/>
        <v>0.18660335572485345</v>
      </c>
    </row>
    <row r="166" spans="1:21" x14ac:dyDescent="0.35">
      <c r="A166" s="10">
        <v>44533</v>
      </c>
      <c r="B166" s="2">
        <v>3.9018429212975942E-3</v>
      </c>
      <c r="C166" s="2">
        <v>-7.0137865080069396E-3</v>
      </c>
      <c r="D166" s="2">
        <v>-8.0470203696402596E-3</v>
      </c>
      <c r="E166" s="2">
        <v>2.9895388483659859E-3</v>
      </c>
      <c r="F166" s="2">
        <v>-1.434386925242862E-2</v>
      </c>
      <c r="G166" s="2">
        <v>-2.179465982742021E-2</v>
      </c>
      <c r="H166" s="2">
        <v>1.2894908298716921E-3</v>
      </c>
      <c r="I166" s="2">
        <v>-3.8535693159900781E-3</v>
      </c>
      <c r="J166" s="2">
        <v>-4.3573053689557007E-3</v>
      </c>
      <c r="K166" s="2">
        <v>1.9457362100133171E-3</v>
      </c>
      <c r="L166" s="2">
        <v>6.4132148347131809E-3</v>
      </c>
      <c r="M166" s="2">
        <v>-2.7510333718898708E-3</v>
      </c>
      <c r="N166" s="2">
        <v>-6.6256749721373799E-3</v>
      </c>
      <c r="O166" s="2">
        <v>-7.6045993852193036E-3</v>
      </c>
      <c r="P166" s="2">
        <v>7.518832414027319E-3</v>
      </c>
      <c r="Q166" s="15">
        <f>AVERAGE(Tableau2[[#This Row],[AWB]:[IAM]])</f>
        <v>-3.4888574875599513E-3</v>
      </c>
      <c r="R166" s="15">
        <f>ABS(Tableau2[[#This Row],[Rm ]])</f>
        <v>3.4888574875599513E-3</v>
      </c>
      <c r="S166" s="15">
        <f>(Tableau2[[#This Row],[Rm ]]-Tableau2[[#Totals],[Rm ]])^2</f>
        <v>1.8322787912126855E-5</v>
      </c>
      <c r="T166" s="15">
        <f t="shared" si="4"/>
        <v>8.1185406290489662E-2</v>
      </c>
      <c r="U166" s="15">
        <f t="shared" si="5"/>
        <v>0.15074782574430604</v>
      </c>
    </row>
    <row r="167" spans="1:21" x14ac:dyDescent="0.35">
      <c r="A167" s="10">
        <v>44536</v>
      </c>
      <c r="B167" s="2">
        <v>-1.528323841144426E-2</v>
      </c>
      <c r="C167" s="2">
        <v>-5.6103667203894888E-3</v>
      </c>
      <c r="D167" s="2">
        <v>0</v>
      </c>
      <c r="E167" s="2">
        <v>-1.201215644800355E-2</v>
      </c>
      <c r="F167" s="2">
        <v>0</v>
      </c>
      <c r="G167" s="2">
        <v>1.647372941514343E-2</v>
      </c>
      <c r="H167" s="2">
        <v>2.3686323197279729E-2</v>
      </c>
      <c r="I167" s="2">
        <v>1.437494805752278E-2</v>
      </c>
      <c r="J167" s="2">
        <v>3.4873618604157109E-3</v>
      </c>
      <c r="K167" s="2">
        <v>0</v>
      </c>
      <c r="L167" s="2">
        <v>4.5558165358606613E-3</v>
      </c>
      <c r="M167" s="2">
        <v>2.2876814653754612E-2</v>
      </c>
      <c r="N167" s="2">
        <v>4.7472111026812232E-4</v>
      </c>
      <c r="O167" s="2">
        <v>-3.8240964384033938E-3</v>
      </c>
      <c r="P167" s="2">
        <v>1.117330059812525E-2</v>
      </c>
      <c r="Q167" s="15">
        <f>AVERAGE(Tableau2[[#This Row],[AWB]:[IAM]])</f>
        <v>4.0248771606753069E-3</v>
      </c>
      <c r="R167" s="15">
        <f>ABS(Tableau2[[#This Row],[Rm ]])</f>
        <v>4.0248771606753069E-3</v>
      </c>
      <c r="S167" s="15">
        <f>(Tableau2[[#This Row],[Rm ]]-Tableau2[[#Totals],[Rm ]])^2</f>
        <v>1.0453724969270962E-5</v>
      </c>
      <c r="T167" s="15">
        <f t="shared" si="4"/>
        <v>0.13131147711231597</v>
      </c>
      <c r="U167" s="15">
        <f t="shared" si="5"/>
        <v>8.1185406290489662E-2</v>
      </c>
    </row>
    <row r="168" spans="1:21" x14ac:dyDescent="0.35">
      <c r="A168" s="10">
        <v>44539</v>
      </c>
      <c r="B168" s="2">
        <v>1.343689467224265E-2</v>
      </c>
      <c r="C168" s="2">
        <v>1.602338720193297E-2</v>
      </c>
      <c r="D168" s="2">
        <v>2.7291831724204202E-4</v>
      </c>
      <c r="E168" s="2">
        <v>9.0226175996375516E-3</v>
      </c>
      <c r="F168" s="2">
        <v>1.743506182210135E-2</v>
      </c>
      <c r="G168" s="2">
        <v>-3.3350008646599352E-4</v>
      </c>
      <c r="H168" s="2">
        <v>1.1760425798467899E-2</v>
      </c>
      <c r="I168" s="2">
        <v>6.3586593412189099E-2</v>
      </c>
      <c r="J168" s="2">
        <v>-7.8637364602145762E-3</v>
      </c>
      <c r="K168" s="2">
        <v>1.5005640617870171E-2</v>
      </c>
      <c r="L168" s="2">
        <v>-7.2993024816116079E-3</v>
      </c>
      <c r="M168" s="2">
        <v>6.976148495926422E-3</v>
      </c>
      <c r="N168" s="2">
        <v>6.1509538618690334E-3</v>
      </c>
      <c r="O168" s="2">
        <v>1.520941866352871E-2</v>
      </c>
      <c r="P168" s="2">
        <v>-3.710579396535713E-3</v>
      </c>
      <c r="Q168" s="15">
        <f>AVERAGE(Tableau2[[#This Row],[AWB]:[IAM]])</f>
        <v>1.0378196135878667E-2</v>
      </c>
      <c r="R168" s="15">
        <f>ABS(Tableau2[[#This Row],[Rm ]])</f>
        <v>1.0378196135878667E-2</v>
      </c>
      <c r="S168" s="15">
        <f>(Tableau2[[#This Row],[Rm ]]-Tableau2[[#Totals],[Rm ]])^2</f>
        <v>9.1901769256839773E-5</v>
      </c>
      <c r="T168" s="15">
        <f t="shared" si="4"/>
        <v>0.14647057464411095</v>
      </c>
      <c r="U168" s="15">
        <f t="shared" si="5"/>
        <v>0.13131147711231597</v>
      </c>
    </row>
    <row r="169" spans="1:21" x14ac:dyDescent="0.35">
      <c r="A169" s="10">
        <v>44540</v>
      </c>
      <c r="B169" s="2">
        <v>0</v>
      </c>
      <c r="C169" s="2">
        <v>1.7858737434743341E-4</v>
      </c>
      <c r="D169" s="2">
        <v>5.1170498154310736E-3</v>
      </c>
      <c r="E169" s="2">
        <v>1.4859114403749899E-2</v>
      </c>
      <c r="F169" s="2">
        <v>0</v>
      </c>
      <c r="G169" s="2">
        <v>-1.275613134443691E-2</v>
      </c>
      <c r="H169" s="2">
        <v>-4.9875415110391622E-3</v>
      </c>
      <c r="I169" s="2">
        <v>1.7841217935016141E-3</v>
      </c>
      <c r="J169" s="2">
        <v>1.7391742711869239E-2</v>
      </c>
      <c r="K169" s="2">
        <v>0</v>
      </c>
      <c r="L169" s="2">
        <v>7.2993024816115351E-3</v>
      </c>
      <c r="M169" s="2">
        <v>0</v>
      </c>
      <c r="N169" s="2">
        <v>2.331107886844715E-2</v>
      </c>
      <c r="O169" s="2">
        <v>0</v>
      </c>
      <c r="P169" s="2">
        <v>0</v>
      </c>
      <c r="Q169" s="15">
        <f>AVERAGE(Tableau2[[#This Row],[AWB]:[IAM]])</f>
        <v>3.479821639565458E-3</v>
      </c>
      <c r="R169" s="15">
        <f>ABS(Tableau2[[#This Row],[Rm ]])</f>
        <v>3.479821639565458E-3</v>
      </c>
      <c r="S169" s="15">
        <f>(Tableau2[[#This Row],[Rm ]]-Tableau2[[#Totals],[Rm ]])^2</f>
        <v>7.2262394073225458E-6</v>
      </c>
      <c r="T169" s="15">
        <f t="shared" si="4"/>
        <v>9.7910526636302134E-2</v>
      </c>
      <c r="U169" s="15">
        <f t="shared" si="5"/>
        <v>0.14647057464411095</v>
      </c>
    </row>
    <row r="170" spans="1:21" x14ac:dyDescent="0.35">
      <c r="A170" s="10">
        <v>44554</v>
      </c>
      <c r="B170" s="2">
        <v>-1.447801918065322E-2</v>
      </c>
      <c r="C170" s="2">
        <v>-5.3715438019108766E-3</v>
      </c>
      <c r="D170" s="2">
        <v>-4.571436532580654E-3</v>
      </c>
      <c r="E170" s="2">
        <v>-1.5008826208805261E-2</v>
      </c>
      <c r="F170" s="2">
        <v>3.0816665374081139E-3</v>
      </c>
      <c r="G170" s="2">
        <v>-1.3948176463991361E-2</v>
      </c>
      <c r="H170" s="2">
        <v>-1.3845406822052981E-2</v>
      </c>
      <c r="I170" s="2">
        <v>-2.893511085945228E-2</v>
      </c>
      <c r="J170" s="2">
        <v>8.583743691391435E-3</v>
      </c>
      <c r="K170" s="2">
        <v>0</v>
      </c>
      <c r="L170" s="2">
        <v>0</v>
      </c>
      <c r="M170" s="2">
        <v>-5.3490239306943125E-4</v>
      </c>
      <c r="N170" s="2">
        <v>-7.4005888181713957E-3</v>
      </c>
      <c r="O170" s="2">
        <v>0</v>
      </c>
      <c r="P170" s="2">
        <v>-2.636687584074222E-2</v>
      </c>
      <c r="Q170" s="15">
        <f>AVERAGE(Tableau2[[#This Row],[AWB]:[IAM]])</f>
        <v>-7.9196984461753425E-3</v>
      </c>
      <c r="R170" s="15">
        <f>ABS(Tableau2[[#This Row],[Rm ]])</f>
        <v>7.9196984461753425E-3</v>
      </c>
      <c r="S170" s="15">
        <f>(Tableau2[[#This Row],[Rm ]]-Tableau2[[#Totals],[Rm ]])^2</f>
        <v>7.5887680402680473E-5</v>
      </c>
      <c r="T170" s="15">
        <f t="shared" si="4"/>
        <v>0.11291108382902813</v>
      </c>
      <c r="U170" s="15">
        <f t="shared" si="5"/>
        <v>9.7910526636302134E-2</v>
      </c>
    </row>
    <row r="171" spans="1:21" x14ac:dyDescent="0.35">
      <c r="A171" s="10">
        <v>44558</v>
      </c>
      <c r="B171" s="2">
        <v>6.2305497506361628E-3</v>
      </c>
      <c r="C171" s="2">
        <v>5.3715438019108488E-3</v>
      </c>
      <c r="D171" s="2">
        <v>1.252150679804119E-2</v>
      </c>
      <c r="E171" s="2">
        <v>-1.159564231249755E-2</v>
      </c>
      <c r="F171" s="2">
        <v>1.8444517986477319E-3</v>
      </c>
      <c r="G171" s="2">
        <v>-1.34507977241231E-2</v>
      </c>
      <c r="H171" s="2">
        <v>-3.7447887565497537E-2</v>
      </c>
      <c r="I171" s="2">
        <v>0</v>
      </c>
      <c r="J171" s="2">
        <v>0</v>
      </c>
      <c r="K171" s="2">
        <v>0</v>
      </c>
      <c r="L171" s="2">
        <v>-8.2154729533910915E-3</v>
      </c>
      <c r="M171" s="2">
        <v>-5.3518866677493748E-4</v>
      </c>
      <c r="N171" s="2">
        <v>7.4005888181713237E-3</v>
      </c>
      <c r="O171" s="2">
        <v>-4.1595824769438683E-3</v>
      </c>
      <c r="P171" s="2">
        <v>0</v>
      </c>
      <c r="Q171" s="15">
        <f>AVERAGE(Tableau2[[#This Row],[AWB]:[IAM]])</f>
        <v>-2.8023953821213888E-3</v>
      </c>
      <c r="R171" s="15">
        <f>ABS(Tableau2[[#This Row],[Rm ]])</f>
        <v>2.8023953821213888E-3</v>
      </c>
      <c r="S171" s="15">
        <f>(Tableau2[[#This Row],[Rm ]]-Tableau2[[#Totals],[Rm ]])^2</f>
        <v>1.2917198783962786E-5</v>
      </c>
      <c r="T171" s="15">
        <f t="shared" si="4"/>
        <v>0.11909924322037911</v>
      </c>
      <c r="U171" s="15">
        <f t="shared" si="5"/>
        <v>0.11291108382902813</v>
      </c>
    </row>
    <row r="172" spans="1:21" x14ac:dyDescent="0.35">
      <c r="A172" s="10">
        <v>44559</v>
      </c>
      <c r="B172" s="2">
        <v>4.1322372849105912E-3</v>
      </c>
      <c r="C172" s="2">
        <v>0</v>
      </c>
      <c r="D172" s="2">
        <v>-2.6430070133532501E-3</v>
      </c>
      <c r="E172" s="2">
        <v>2.3354354861096889E-2</v>
      </c>
      <c r="F172" s="2">
        <v>6.1406203955948586E-4</v>
      </c>
      <c r="G172" s="2">
        <v>6.920442844573757E-3</v>
      </c>
      <c r="H172" s="2">
        <v>2.0834086902841831E-2</v>
      </c>
      <c r="I172" s="2">
        <v>-4.5977092486295416E-3</v>
      </c>
      <c r="J172" s="2">
        <v>-2.0289925493842599E-2</v>
      </c>
      <c r="K172" s="2">
        <v>3.1003740051000449E-2</v>
      </c>
      <c r="L172" s="2">
        <v>1.2750628118782401E-2</v>
      </c>
      <c r="M172" s="2">
        <v>1.6459092023497959E-2</v>
      </c>
      <c r="N172" s="2">
        <v>1.3730192811902041E-2</v>
      </c>
      <c r="O172" s="2">
        <v>7.9260652724207226E-3</v>
      </c>
      <c r="P172" s="2">
        <v>1.515180502060225E-2</v>
      </c>
      <c r="Q172" s="15">
        <f>AVERAGE(Tableau2[[#This Row],[AWB]:[IAM]])</f>
        <v>8.3564043650241979E-3</v>
      </c>
      <c r="R172" s="15">
        <f>ABS(Tableau2[[#This Row],[Rm ]])</f>
        <v>8.3564043650241979E-3</v>
      </c>
      <c r="S172" s="15">
        <f>(Tableau2[[#This Row],[Rm ]]-Tableau2[[#Totals],[Rm ]])^2</f>
        <v>5.7225431619643321E-5</v>
      </c>
      <c r="T172" s="15">
        <f t="shared" si="4"/>
        <v>0.14323576452390266</v>
      </c>
      <c r="U172" s="15">
        <f t="shared" si="5"/>
        <v>0.11909924322037911</v>
      </c>
    </row>
    <row r="173" spans="1:21" x14ac:dyDescent="0.35">
      <c r="A173" s="10">
        <v>44560</v>
      </c>
      <c r="B173" s="2">
        <v>4.1152321451065786E-3</v>
      </c>
      <c r="C173" s="2">
        <v>1.6058527850963749E-3</v>
      </c>
      <c r="D173" s="2">
        <v>0</v>
      </c>
      <c r="E173" s="2">
        <v>-2.66706336788249E-3</v>
      </c>
      <c r="F173" s="2">
        <v>1.159610186737196E-2</v>
      </c>
      <c r="G173" s="2">
        <v>-8.6580627431145415E-3</v>
      </c>
      <c r="H173" s="2">
        <v>-4.7502333985003253E-2</v>
      </c>
      <c r="I173" s="2">
        <v>-8.3295252528301413E-3</v>
      </c>
      <c r="J173" s="2">
        <v>4.5607733478132517E-2</v>
      </c>
      <c r="K173" s="2">
        <v>4.1245618237846417E-4</v>
      </c>
      <c r="L173" s="2">
        <v>-4.5351551653912622E-3</v>
      </c>
      <c r="M173" s="2">
        <v>-4.7506027585978647E-3</v>
      </c>
      <c r="N173" s="2">
        <v>0</v>
      </c>
      <c r="O173" s="2">
        <v>0</v>
      </c>
      <c r="P173" s="2">
        <v>3.7523496185503718E-3</v>
      </c>
      <c r="Q173" s="15">
        <f>AVERAGE(Tableau2[[#This Row],[AWB]:[IAM]])</f>
        <v>-6.2353447974555223E-4</v>
      </c>
      <c r="R173" s="15">
        <f>ABS(Tableau2[[#This Row],[Rm ]])</f>
        <v>6.2353447974555223E-4</v>
      </c>
      <c r="S173" s="15">
        <f>(Tableau2[[#This Row],[Rm ]]-Tableau2[[#Totals],[Rm ]])^2</f>
        <v>2.0027615135154231E-6</v>
      </c>
      <c r="T173" s="15">
        <f t="shared" si="4"/>
        <v>0.14131891429694962</v>
      </c>
      <c r="U173" s="15">
        <f t="shared" si="5"/>
        <v>0.14323576452390266</v>
      </c>
    </row>
    <row r="174" spans="1:21" x14ac:dyDescent="0.35">
      <c r="A174" s="10">
        <v>44561</v>
      </c>
      <c r="B174" s="2">
        <v>0</v>
      </c>
      <c r="C174" s="2">
        <v>1.781261603861292E-3</v>
      </c>
      <c r="D174" s="2">
        <v>0</v>
      </c>
      <c r="E174" s="2">
        <v>5.9171770280885194E-3</v>
      </c>
      <c r="F174" s="2">
        <v>-4.8486812127063302E-2</v>
      </c>
      <c r="G174" s="2">
        <v>-4.445176257083381E-2</v>
      </c>
      <c r="H174" s="2">
        <v>-8.1113969568389049E-4</v>
      </c>
      <c r="I174" s="2">
        <v>-1.403860210774666E-2</v>
      </c>
      <c r="J174" s="2">
        <v>1.6529301951210509E-2</v>
      </c>
      <c r="K174" s="2">
        <v>0</v>
      </c>
      <c r="L174" s="2">
        <v>-4.6520015634892817E-2</v>
      </c>
      <c r="M174" s="2">
        <v>5.2770571008438193E-3</v>
      </c>
      <c r="N174" s="2">
        <v>0</v>
      </c>
      <c r="O174" s="2">
        <v>-1.8975901459005691E-2</v>
      </c>
      <c r="P174" s="2">
        <v>0</v>
      </c>
      <c r="Q174" s="15">
        <f>AVERAGE(Tableau2[[#This Row],[AWB]:[IAM]])</f>
        <v>-9.5852957274148009E-3</v>
      </c>
      <c r="R174" s="15">
        <f>ABS(Tableau2[[#This Row],[Rm ]])</f>
        <v>9.5852957274148009E-3</v>
      </c>
      <c r="S174" s="15">
        <f>(Tableau2[[#This Row],[Rm ]]-Tableau2[[#Totals],[Rm ]])^2</f>
        <v>1.0768110823184082E-4</v>
      </c>
      <c r="T174" s="15">
        <f t="shared" si="4"/>
        <v>0.2401469545126827</v>
      </c>
      <c r="U174" s="15">
        <f t="shared" si="5"/>
        <v>0.14131891429694962</v>
      </c>
    </row>
    <row r="175" spans="1:21" x14ac:dyDescent="0.35">
      <c r="A175" s="10">
        <v>44568</v>
      </c>
      <c r="B175" s="2">
        <v>6.1412680220824288E-3</v>
      </c>
      <c r="C175" s="2">
        <v>1.079752060299877E-2</v>
      </c>
      <c r="D175" s="2">
        <v>4.5266014674137031E-3</v>
      </c>
      <c r="E175" s="2">
        <v>2.8928538082710249E-2</v>
      </c>
      <c r="F175" s="2">
        <v>2.7639950487540359E-2</v>
      </c>
      <c r="G175" s="2">
        <v>7.6287413626653991E-2</v>
      </c>
      <c r="H175" s="2">
        <v>3.7950686645140681E-2</v>
      </c>
      <c r="I175" s="2">
        <v>4.1538043468297092E-2</v>
      </c>
      <c r="J175" s="2">
        <v>2.4292692569044479E-2</v>
      </c>
      <c r="K175" s="2">
        <v>-2.9927942530386629E-2</v>
      </c>
      <c r="L175" s="2">
        <v>8.2238098236972007E-2</v>
      </c>
      <c r="M175" s="2">
        <v>4.2016868536999766E-3</v>
      </c>
      <c r="N175" s="2">
        <v>1.3544225107757249E-2</v>
      </c>
      <c r="O175" s="2">
        <v>3.0190972279145731E-2</v>
      </c>
      <c r="P175" s="2">
        <v>-1.50946262224849E-2</v>
      </c>
      <c r="Q175" s="15">
        <f>AVERAGE(Tableau2[[#This Row],[AWB]:[IAM]])</f>
        <v>2.2883675246439014E-2</v>
      </c>
      <c r="R175" s="15">
        <f>ABS(Tableau2[[#This Row],[Rm ]])</f>
        <v>2.2883675246439014E-2</v>
      </c>
      <c r="S175" s="15">
        <f>(Tableau2[[#This Row],[Rm ]]-Tableau2[[#Totals],[Rm ]])^2</f>
        <v>4.8805735466745721E-4</v>
      </c>
      <c r="T175" s="15">
        <f t="shared" si="4"/>
        <v>0.29654757214365601</v>
      </c>
      <c r="U175" s="15">
        <f t="shared" si="5"/>
        <v>0.2401469545126827</v>
      </c>
    </row>
    <row r="176" spans="1:21" x14ac:dyDescent="0.35">
      <c r="A176" s="10">
        <v>44574</v>
      </c>
      <c r="B176" s="2">
        <v>1.223740719716649E-3</v>
      </c>
      <c r="C176" s="2">
        <v>1.0507977598415159E-2</v>
      </c>
      <c r="D176" s="2">
        <v>-2.0990884749353422E-3</v>
      </c>
      <c r="E176" s="2">
        <v>-2.72616568868623E-3</v>
      </c>
      <c r="F176" s="2">
        <v>2.0239881347746121E-2</v>
      </c>
      <c r="G176" s="2">
        <v>9.0559062622787446E-3</v>
      </c>
      <c r="H176" s="2">
        <v>1.5504186535965249E-2</v>
      </c>
      <c r="I176" s="2">
        <v>4.5944476050660411E-2</v>
      </c>
      <c r="J176" s="2">
        <v>8.323759857005561E-2</v>
      </c>
      <c r="K176" s="2">
        <v>-2.9318763069397919E-2</v>
      </c>
      <c r="L176" s="2">
        <v>0</v>
      </c>
      <c r="M176" s="2">
        <v>0</v>
      </c>
      <c r="N176" s="2">
        <v>2.8731258040481059E-2</v>
      </c>
      <c r="O176" s="2">
        <v>7.2229224102839601E-3</v>
      </c>
      <c r="P176" s="2">
        <v>0</v>
      </c>
      <c r="Q176" s="15">
        <f>AVERAGE(Tableau2[[#This Row],[AWB]:[IAM]])</f>
        <v>1.2501595353505566E-2</v>
      </c>
      <c r="R176" s="15">
        <f>ABS(Tableau2[[#This Row],[Rm ]])</f>
        <v>1.2501595353505566E-2</v>
      </c>
      <c r="S176" s="15">
        <f>(Tableau2[[#This Row],[Rm ]]-Tableau2[[#Totals],[Rm ]])^2</f>
        <v>1.37122701014596E-4</v>
      </c>
      <c r="T176" s="15">
        <f t="shared" si="4"/>
        <v>0.2506306918914894</v>
      </c>
      <c r="U176" s="15">
        <f t="shared" si="5"/>
        <v>0.29654757214365601</v>
      </c>
    </row>
    <row r="177" spans="1:21" x14ac:dyDescent="0.35">
      <c r="A177" s="10">
        <v>44575</v>
      </c>
      <c r="B177" s="2">
        <v>1.497094520026388E-2</v>
      </c>
      <c r="C177" s="2">
        <v>1.039870722089852E-2</v>
      </c>
      <c r="D177" s="2">
        <v>4.9405738211646573E-2</v>
      </c>
      <c r="E177" s="2">
        <v>5.7306747089850736E-3</v>
      </c>
      <c r="F177" s="2">
        <v>7.2595600128041024E-3</v>
      </c>
      <c r="G177" s="2">
        <v>6.3238686368911083E-3</v>
      </c>
      <c r="H177" s="2">
        <v>-2.5673955052458088E-3</v>
      </c>
      <c r="I177" s="2">
        <v>-5.1948168771040228E-3</v>
      </c>
      <c r="J177" s="2">
        <v>1.103549863695242E-3</v>
      </c>
      <c r="K177" s="2">
        <v>5.8215245993122312E-2</v>
      </c>
      <c r="L177" s="2">
        <v>1.9114396023315449E-2</v>
      </c>
      <c r="M177" s="2">
        <v>2.126084749932888E-2</v>
      </c>
      <c r="N177" s="2">
        <v>-2.1810259463602259E-3</v>
      </c>
      <c r="O177" s="2">
        <v>7.1711257021694914E-3</v>
      </c>
      <c r="P177" s="2">
        <v>-7.633624855071095E-3</v>
      </c>
      <c r="Q177" s="15">
        <f>AVERAGE(Tableau2[[#This Row],[AWB]:[IAM]])</f>
        <v>1.2225186392622631E-2</v>
      </c>
      <c r="R177" s="15">
        <f>ABS(Tableau2[[#This Row],[Rm ]])</f>
        <v>1.2225186392622631E-2</v>
      </c>
      <c r="S177" s="15">
        <f>(Tableau2[[#This Row],[Rm ]]-Tableau2[[#Totals],[Rm ]])^2</f>
        <v>1.3072563808684101E-4</v>
      </c>
      <c r="T177" s="15">
        <f t="shared" si="4"/>
        <v>0.1851475914312804</v>
      </c>
      <c r="U177" s="15">
        <f t="shared" si="5"/>
        <v>0.2506306918914894</v>
      </c>
    </row>
    <row r="178" spans="1:21" x14ac:dyDescent="0.35">
      <c r="A178" s="10">
        <v>44578</v>
      </c>
      <c r="B178" s="2">
        <v>-6.0423144559625863E-3</v>
      </c>
      <c r="C178" s="2">
        <v>-3.627260216732799E-3</v>
      </c>
      <c r="D178" s="2">
        <v>-1.529587490100727E-2</v>
      </c>
      <c r="E178" s="2">
        <v>-1.429592809594434E-3</v>
      </c>
      <c r="F178" s="2">
        <v>1.2048194228503359E-3</v>
      </c>
      <c r="G178" s="2">
        <v>9.9485997262028754E-4</v>
      </c>
      <c r="H178" s="2">
        <v>-1.345776004484669E-2</v>
      </c>
      <c r="I178" s="2">
        <v>-8.684325339539295E-4</v>
      </c>
      <c r="J178" s="2">
        <v>-1.481508578514059E-2</v>
      </c>
      <c r="K178" s="2">
        <v>0</v>
      </c>
      <c r="L178" s="2">
        <v>4.4601418362792321E-2</v>
      </c>
      <c r="M178" s="2">
        <v>5.1295205023169457E-4</v>
      </c>
      <c r="N178" s="2">
        <v>0</v>
      </c>
      <c r="O178" s="2">
        <v>-3.6650174498559121E-4</v>
      </c>
      <c r="P178" s="2">
        <v>0</v>
      </c>
      <c r="Q178" s="15">
        <f>AVERAGE(Tableau2[[#This Row],[AWB]:[IAM]])</f>
        <v>-5.7258484558194995E-4</v>
      </c>
      <c r="R178" s="15">
        <f>ABS(Tableau2[[#This Row],[Rm ]])</f>
        <v>5.7258484558194995E-4</v>
      </c>
      <c r="S178" s="15">
        <f>(Tableau2[[#This Row],[Rm ]]-Tableau2[[#Totals],[Rm ]])^2</f>
        <v>1.8611505972083166E-6</v>
      </c>
      <c r="T178" s="15">
        <f t="shared" si="4"/>
        <v>0.10252204113378616</v>
      </c>
      <c r="U178" s="15">
        <f t="shared" si="5"/>
        <v>0.1851475914312804</v>
      </c>
    </row>
    <row r="179" spans="1:21" x14ac:dyDescent="0.35">
      <c r="A179" s="10">
        <v>44579</v>
      </c>
      <c r="B179" s="2">
        <v>0</v>
      </c>
      <c r="C179" s="2">
        <v>1.730253486451511E-4</v>
      </c>
      <c r="D179" s="2">
        <v>-1.157474886028895E-2</v>
      </c>
      <c r="E179" s="2">
        <v>1.5614227801550799E-2</v>
      </c>
      <c r="F179" s="2">
        <v>2.320842043101267E-2</v>
      </c>
      <c r="G179" s="2">
        <v>1.087863044239621E-2</v>
      </c>
      <c r="H179" s="2">
        <v>1.551220349986083E-2</v>
      </c>
      <c r="I179" s="2">
        <v>2.8267406722068358E-2</v>
      </c>
      <c r="J179" s="2">
        <v>1.260676688991192E-2</v>
      </c>
      <c r="K179" s="2">
        <v>0</v>
      </c>
      <c r="L179" s="2">
        <v>4.1067819526535024E-3</v>
      </c>
      <c r="M179" s="2">
        <v>-1.394290596901275E-2</v>
      </c>
      <c r="N179" s="2">
        <v>8.7298128634491923E-4</v>
      </c>
      <c r="O179" s="2">
        <v>-1.384169003387843E-2</v>
      </c>
      <c r="P179" s="2">
        <v>7.6336248550712051E-3</v>
      </c>
      <c r="Q179" s="15">
        <f>AVERAGE(Tableau2[[#This Row],[AWB]:[IAM]])</f>
        <v>5.3009816244223608E-3</v>
      </c>
      <c r="R179" s="15">
        <f>ABS(Tableau2[[#This Row],[Rm ]])</f>
        <v>5.3009816244223608E-3</v>
      </c>
      <c r="S179" s="15">
        <f>(Tableau2[[#This Row],[Rm ]]-Tableau2[[#Totals],[Rm ]])^2</f>
        <v>2.0334025809343936E-5</v>
      </c>
      <c r="T179" s="15">
        <f t="shared" si="4"/>
        <v>0.15105168485989198</v>
      </c>
      <c r="U179" s="15">
        <f t="shared" si="5"/>
        <v>0.10252204113378616</v>
      </c>
    </row>
    <row r="180" spans="1:21" x14ac:dyDescent="0.35">
      <c r="A180" s="10">
        <v>44582</v>
      </c>
      <c r="B180" s="2">
        <v>0</v>
      </c>
      <c r="C180" s="2">
        <v>-3.466207976486284E-3</v>
      </c>
      <c r="D180" s="2">
        <v>-3.8529591380388421E-3</v>
      </c>
      <c r="E180" s="2">
        <v>-5.6497325421190209E-3</v>
      </c>
      <c r="F180" s="2">
        <v>5.8651194523980576E-3</v>
      </c>
      <c r="G180" s="2">
        <v>0</v>
      </c>
      <c r="H180" s="2">
        <v>5.052337262489303E-2</v>
      </c>
      <c r="I180" s="2">
        <v>-7.6303888656916192E-3</v>
      </c>
      <c r="J180" s="2">
        <v>-5.1717884023939559E-3</v>
      </c>
      <c r="K180" s="2">
        <v>1.128795977385135E-2</v>
      </c>
      <c r="L180" s="2">
        <v>8.1933638340242747E-4</v>
      </c>
      <c r="M180" s="2">
        <v>8.8015064685941103E-3</v>
      </c>
      <c r="N180" s="2">
        <v>-9.6449673591818431E-3</v>
      </c>
      <c r="O180" s="2">
        <v>3.524723062946072E-3</v>
      </c>
      <c r="P180" s="2">
        <v>0</v>
      </c>
      <c r="Q180" s="15">
        <f>AVERAGE(Tableau2[[#This Row],[AWB]:[IAM]])</f>
        <v>3.0270648988115654E-3</v>
      </c>
      <c r="R180" s="15">
        <f>ABS(Tableau2[[#This Row],[Rm ]])</f>
        <v>3.0270648988115654E-3</v>
      </c>
      <c r="S180" s="15">
        <f>(Tableau2[[#This Row],[Rm ]]-Tableau2[[#Totals],[Rm ]])^2</f>
        <v>4.9970570209148205E-6</v>
      </c>
      <c r="T180" s="15">
        <f t="shared" si="4"/>
        <v>0.12690945320502547</v>
      </c>
      <c r="U180" s="15">
        <f t="shared" si="5"/>
        <v>0.15105168485989198</v>
      </c>
    </row>
    <row r="181" spans="1:21" x14ac:dyDescent="0.35">
      <c r="A181" s="10">
        <v>44585</v>
      </c>
      <c r="B181" s="2">
        <v>-6.0790460763822263E-3</v>
      </c>
      <c r="C181" s="2">
        <v>0</v>
      </c>
      <c r="D181" s="2">
        <v>0</v>
      </c>
      <c r="E181" s="2">
        <v>-1.1396134730869581E-2</v>
      </c>
      <c r="F181" s="2">
        <v>0</v>
      </c>
      <c r="G181" s="2">
        <v>-3.2792261320256638E-4</v>
      </c>
      <c r="H181" s="2">
        <v>-1.945634579512517E-2</v>
      </c>
      <c r="I181" s="2">
        <v>-1.630237734593654E-2</v>
      </c>
      <c r="J181" s="2">
        <v>-1.8692133012152522E-2</v>
      </c>
      <c r="K181" s="2">
        <v>-2.8987536873252302E-2</v>
      </c>
      <c r="L181" s="2">
        <v>-8.1933638340238887E-4</v>
      </c>
      <c r="M181" s="2">
        <v>2.5740039951728431E-3</v>
      </c>
      <c r="N181" s="2">
        <v>0</v>
      </c>
      <c r="O181" s="2">
        <v>-3.710579396535602E-3</v>
      </c>
      <c r="P181" s="2">
        <v>-7.633624855071095E-3</v>
      </c>
      <c r="Q181" s="15">
        <f>AVERAGE(Tableau2[[#This Row],[AWB]:[IAM]])</f>
        <v>-7.388735539117142E-3</v>
      </c>
      <c r="R181" s="15">
        <f>ABS(Tableau2[[#This Row],[Rm ]])</f>
        <v>7.388735539117142E-3</v>
      </c>
      <c r="S181" s="15">
        <f>(Tableau2[[#This Row],[Rm ]]-Tableau2[[#Totals],[Rm ]])^2</f>
        <v>6.6918790817194727E-5</v>
      </c>
      <c r="T181" s="15">
        <f t="shared" si="4"/>
        <v>0.11604291539385168</v>
      </c>
      <c r="U181" s="15">
        <f t="shared" si="5"/>
        <v>0.12690945320502547</v>
      </c>
    </row>
    <row r="182" spans="1:21" x14ac:dyDescent="0.35">
      <c r="A182" s="10">
        <v>44586</v>
      </c>
      <c r="B182" s="2">
        <v>4.0642146464744982E-4</v>
      </c>
      <c r="C182" s="2">
        <v>0</v>
      </c>
      <c r="D182" s="2">
        <v>-1.2612252433423191E-2</v>
      </c>
      <c r="E182" s="2">
        <v>2.8612322810321949E-3</v>
      </c>
      <c r="F182" s="2">
        <v>1.168907204981962E-3</v>
      </c>
      <c r="G182" s="2">
        <v>-3.9434819425058993E-3</v>
      </c>
      <c r="H182" s="2">
        <v>-3.440764409552613E-2</v>
      </c>
      <c r="I182" s="2">
        <v>-6.073771383567135E-3</v>
      </c>
      <c r="J182" s="2">
        <v>0</v>
      </c>
      <c r="K182" s="2">
        <v>1.25971043322174E-3</v>
      </c>
      <c r="L182" s="2">
        <v>-1.6529301951210579E-2</v>
      </c>
      <c r="M182" s="2">
        <v>0</v>
      </c>
      <c r="N182" s="2">
        <v>0</v>
      </c>
      <c r="O182" s="2">
        <v>-5.5918132657778296E-3</v>
      </c>
      <c r="P182" s="2">
        <v>0</v>
      </c>
      <c r="Q182" s="15">
        <f>AVERAGE(Tableau2[[#This Row],[AWB]:[IAM]])</f>
        <v>-4.897466245875161E-3</v>
      </c>
      <c r="R182" s="15">
        <f>ABS(Tableau2[[#This Row],[Rm ]])</f>
        <v>4.897466245875161E-3</v>
      </c>
      <c r="S182" s="15">
        <f>(Tableau2[[#This Row],[Rm ]]-Tableau2[[#Totals],[Rm ]])^2</f>
        <v>3.2366101555009039E-5</v>
      </c>
      <c r="T182" s="15">
        <f t="shared" si="4"/>
        <v>9.6883935304107965E-2</v>
      </c>
      <c r="U182" s="15">
        <f t="shared" si="5"/>
        <v>0.11604291539385168</v>
      </c>
    </row>
    <row r="183" spans="1:21" x14ac:dyDescent="0.35">
      <c r="A183" s="10">
        <v>44587</v>
      </c>
      <c r="B183" s="2">
        <v>-9.146806877870443E-4</v>
      </c>
      <c r="C183" s="2">
        <v>-3.304063522300075E-3</v>
      </c>
      <c r="D183" s="2">
        <v>-2.6780214937361068E-4</v>
      </c>
      <c r="E183" s="2">
        <v>-2.8612322810322348E-3</v>
      </c>
      <c r="F183" s="2">
        <v>3.048841266570974E-2</v>
      </c>
      <c r="G183" s="2">
        <v>-3.9590945808069718E-3</v>
      </c>
      <c r="H183" s="2">
        <v>2.265016031001427E-2</v>
      </c>
      <c r="I183" s="2">
        <v>8.6994350854003536E-4</v>
      </c>
      <c r="J183" s="2">
        <v>0</v>
      </c>
      <c r="K183" s="2">
        <v>7.1085392372948883E-3</v>
      </c>
      <c r="L183" s="2">
        <v>1.242251999855711E-2</v>
      </c>
      <c r="M183" s="2">
        <v>7.6824961720162108E-3</v>
      </c>
      <c r="N183" s="2">
        <v>-6.6298585386696876E-3</v>
      </c>
      <c r="O183" s="2">
        <v>1.2260974702058841E-2</v>
      </c>
      <c r="P183" s="2">
        <v>0</v>
      </c>
      <c r="Q183" s="15">
        <f>AVERAGE(Tableau2[[#This Row],[AWB]:[IAM]])</f>
        <v>5.0364209889480985E-3</v>
      </c>
      <c r="R183" s="15">
        <f>ABS(Tableau2[[#This Row],[Rm ]])</f>
        <v>5.0364209889480985E-3</v>
      </c>
      <c r="S183" s="15">
        <f>(Tableau2[[#This Row],[Rm ]]-Tableau2[[#Totals],[Rm ]])^2</f>
        <v>1.8018037551273468E-5</v>
      </c>
      <c r="T183" s="15">
        <f t="shared" si="4"/>
        <v>0.12008849471424007</v>
      </c>
      <c r="U183" s="15">
        <f t="shared" si="5"/>
        <v>9.6883935304107965E-2</v>
      </c>
    </row>
    <row r="184" spans="1:21" x14ac:dyDescent="0.35">
      <c r="A184" s="10">
        <v>44589</v>
      </c>
      <c r="B184" s="2">
        <v>4.3626102774107223E-3</v>
      </c>
      <c r="C184" s="2">
        <v>-1.7420085402470651E-4</v>
      </c>
      <c r="D184" s="2">
        <v>5.912360298631076E-2</v>
      </c>
      <c r="E184" s="2">
        <v>0</v>
      </c>
      <c r="F184" s="2">
        <v>4.1614881235634137E-2</v>
      </c>
      <c r="G184" s="2">
        <v>1.651528038472939E-3</v>
      </c>
      <c r="H184" s="2">
        <v>-6.5640225583901059E-3</v>
      </c>
      <c r="I184" s="2">
        <v>1.2100406934087491E-2</v>
      </c>
      <c r="J184" s="2">
        <v>6.7694880552465753E-3</v>
      </c>
      <c r="K184" s="2">
        <v>1.0362787035546659E-2</v>
      </c>
      <c r="L184" s="2">
        <v>-1.2422519998557211E-2</v>
      </c>
      <c r="M184" s="2">
        <v>7.6239251106593664E-3</v>
      </c>
      <c r="N184" s="2">
        <v>-6.6741070876931308E-3</v>
      </c>
      <c r="O184" s="2">
        <v>7.382798415809127E-4</v>
      </c>
      <c r="P184" s="2">
        <v>0</v>
      </c>
      <c r="Q184" s="15">
        <f>AVERAGE(Tableau2[[#This Row],[AWB]:[IAM]])</f>
        <v>7.90084393441896E-3</v>
      </c>
      <c r="R184" s="15">
        <f>ABS(Tableau2[[#This Row],[Rm ]])</f>
        <v>7.90084393441896E-3</v>
      </c>
      <c r="S184" s="15">
        <f>(Tableau2[[#This Row],[Rm ]]-Tableau2[[#Totals],[Rm ]])^2</f>
        <v>5.0540566049729645E-5</v>
      </c>
      <c r="T184" s="15">
        <f t="shared" si="4"/>
        <v>0.17582248390234875</v>
      </c>
      <c r="U184" s="15">
        <f t="shared" si="5"/>
        <v>0.12008849471424007</v>
      </c>
    </row>
    <row r="185" spans="1:21" x14ac:dyDescent="0.35">
      <c r="A185" s="10">
        <v>44592</v>
      </c>
      <c r="B185" s="2">
        <v>-1.722478768240937E-3</v>
      </c>
      <c r="C185" s="2">
        <v>0</v>
      </c>
      <c r="D185" s="2">
        <v>5.3240400322947697E-2</v>
      </c>
      <c r="E185" s="2">
        <v>-1.1527505171067379E-2</v>
      </c>
      <c r="F185" s="2">
        <v>1.830961219533625E-2</v>
      </c>
      <c r="G185" s="2">
        <v>-5.9583095836306353E-3</v>
      </c>
      <c r="H185" s="2">
        <v>7.8214098735565774E-3</v>
      </c>
      <c r="I185" s="2">
        <v>8.5873770841780449E-4</v>
      </c>
      <c r="J185" s="2">
        <v>4.4876664693879768E-3</v>
      </c>
      <c r="K185" s="2">
        <v>0</v>
      </c>
      <c r="L185" s="2">
        <v>0</v>
      </c>
      <c r="M185" s="2">
        <v>7.0636015187500378E-3</v>
      </c>
      <c r="N185" s="2">
        <v>2.076504917369559E-2</v>
      </c>
      <c r="O185" s="2">
        <v>7.3529743052587332E-3</v>
      </c>
      <c r="P185" s="2">
        <v>0</v>
      </c>
      <c r="Q185" s="15">
        <f>AVERAGE(Tableau2[[#This Row],[AWB]:[IAM]])</f>
        <v>6.7127438696274475E-3</v>
      </c>
      <c r="R185" s="15">
        <f>ABS(Tableau2[[#This Row],[Rm ]])</f>
        <v>6.7127438696274475E-3</v>
      </c>
      <c r="S185" s="15">
        <f>(Tableau2[[#This Row],[Rm ]]-Tableau2[[#Totals],[Rm ]])^2</f>
        <v>3.5059292356317965E-5</v>
      </c>
      <c r="T185" s="15">
        <f t="shared" si="4"/>
        <v>0.14228794073190809</v>
      </c>
      <c r="U185" s="15">
        <f t="shared" si="5"/>
        <v>0.17582248390234875</v>
      </c>
    </row>
    <row r="186" spans="1:21" x14ac:dyDescent="0.35">
      <c r="A186" s="10">
        <v>44596</v>
      </c>
      <c r="B186" s="2">
        <v>9.5878011551536121E-3</v>
      </c>
      <c r="C186" s="2">
        <v>1.727158650866072E-2</v>
      </c>
      <c r="D186" s="2">
        <v>9.4344817579303155E-3</v>
      </c>
      <c r="E186" s="2">
        <v>1.4388737452099671E-2</v>
      </c>
      <c r="F186" s="2">
        <v>3.72836650266286E-3</v>
      </c>
      <c r="G186" s="2">
        <v>3.9761483796394168E-3</v>
      </c>
      <c r="H186" s="2">
        <v>-1.4938877642420269E-2</v>
      </c>
      <c r="I186" s="2">
        <v>-1.295914464250523E-2</v>
      </c>
      <c r="J186" s="2">
        <v>4.380262265839284E-2</v>
      </c>
      <c r="K186" s="2">
        <v>1.005239770704584E-2</v>
      </c>
      <c r="L186" s="2">
        <v>4.08219945202552E-2</v>
      </c>
      <c r="M186" s="2">
        <v>-1.826534797729331E-2</v>
      </c>
      <c r="N186" s="2">
        <v>1.3109025255041431E-3</v>
      </c>
      <c r="O186" s="2">
        <v>-3.6636747066705501E-4</v>
      </c>
      <c r="P186" s="2">
        <v>0</v>
      </c>
      <c r="Q186" s="15">
        <f>AVERAGE(Tableau2[[#This Row],[AWB]:[IAM]])</f>
        <v>7.1896867622972512E-3</v>
      </c>
      <c r="R186" s="15">
        <f>ABS(Tableau2[[#This Row],[Rm ]])</f>
        <v>7.1896867622972512E-3</v>
      </c>
      <c r="S186" s="15">
        <f>(Tableau2[[#This Row],[Rm ]]-Tableau2[[#Totals],[Rm ]])^2</f>
        <v>4.0934809301424749E-5</v>
      </c>
      <c r="T186" s="15">
        <f t="shared" si="4"/>
        <v>0.18335325453543744</v>
      </c>
      <c r="U186" s="15">
        <f t="shared" si="5"/>
        <v>0.14228794073190809</v>
      </c>
    </row>
    <row r="187" spans="1:21" x14ac:dyDescent="0.35">
      <c r="A187" s="10">
        <v>44599</v>
      </c>
      <c r="B187" s="2">
        <v>-5.5396223649679978E-3</v>
      </c>
      <c r="C187" s="2">
        <v>6.6558825799820521E-3</v>
      </c>
      <c r="D187" s="2">
        <v>9.1583513186857795E-3</v>
      </c>
      <c r="E187" s="2">
        <v>0</v>
      </c>
      <c r="F187" s="2">
        <v>6.8874444449931408E-3</v>
      </c>
      <c r="G187" s="2">
        <v>8.5611323020338068E-3</v>
      </c>
      <c r="H187" s="2">
        <v>5.8220774505040263E-2</v>
      </c>
      <c r="I187" s="2">
        <v>1.38171455531419E-2</v>
      </c>
      <c r="J187" s="2">
        <v>1.418463499195638E-2</v>
      </c>
      <c r="K187" s="2">
        <v>2.0410246014321629E-4</v>
      </c>
      <c r="L187" s="2">
        <v>-1.3693327132002451E-2</v>
      </c>
      <c r="M187" s="2">
        <v>-1.5372793188864781E-3</v>
      </c>
      <c r="N187" s="2">
        <v>-1.495848393033576E-2</v>
      </c>
      <c r="O187" s="2">
        <v>0</v>
      </c>
      <c r="P187" s="2">
        <v>-3.8387763071657129E-3</v>
      </c>
      <c r="Q187" s="15">
        <f>AVERAGE(Tableau2[[#This Row],[AWB]:[IAM]])</f>
        <v>5.2081319401745419E-3</v>
      </c>
      <c r="R187" s="15">
        <f>ABS(Tableau2[[#This Row],[Rm ]])</f>
        <v>5.2081319401745419E-3</v>
      </c>
      <c r="S187" s="15">
        <f>(Tableau2[[#This Row],[Rm ]]-Tableau2[[#Totals],[Rm ]])^2</f>
        <v>1.9505267783111E-5</v>
      </c>
      <c r="T187" s="15">
        <f t="shared" si="4"/>
        <v>0.15361310319837218</v>
      </c>
      <c r="U187" s="15">
        <f t="shared" si="5"/>
        <v>0.18335325453543744</v>
      </c>
    </row>
    <row r="188" spans="1:21" x14ac:dyDescent="0.35">
      <c r="A188" s="10">
        <v>44600</v>
      </c>
      <c r="B188" s="2">
        <v>0</v>
      </c>
      <c r="C188" s="2">
        <v>1.70082490417653E-4</v>
      </c>
      <c r="D188" s="2">
        <v>1.3535795927621349E-2</v>
      </c>
      <c r="E188" s="2">
        <v>-1.149437942573513E-2</v>
      </c>
      <c r="F188" s="2">
        <v>-2.2964961172526041E-2</v>
      </c>
      <c r="G188" s="2">
        <v>0</v>
      </c>
      <c r="H188" s="2">
        <v>-1.3325454597149291E-2</v>
      </c>
      <c r="I188" s="2">
        <v>-5.1590828100274476E-3</v>
      </c>
      <c r="J188" s="2">
        <v>1.1900735483718391E-2</v>
      </c>
      <c r="K188" s="2">
        <v>0</v>
      </c>
      <c r="L188" s="2">
        <v>5.6611554347382803E-3</v>
      </c>
      <c r="M188" s="2">
        <v>1.778954156349824E-2</v>
      </c>
      <c r="N188" s="2">
        <v>1.495848393033582E-2</v>
      </c>
      <c r="O188" s="2">
        <v>-3.1195547823583409E-3</v>
      </c>
      <c r="P188" s="2">
        <v>0</v>
      </c>
      <c r="Q188" s="15">
        <f>AVERAGE(Tableau2[[#This Row],[AWB]:[IAM]])</f>
        <v>5.3015746950223208E-4</v>
      </c>
      <c r="R188" s="15">
        <f>ABS(Tableau2[[#This Row],[Rm ]])</f>
        <v>5.3015746950223208E-4</v>
      </c>
      <c r="S188" s="15">
        <f>(Tableau2[[#This Row],[Rm ]]-Tableau2[[#Totals],[Rm ]])^2</f>
        <v>6.8381004638836706E-8</v>
      </c>
      <c r="T188" s="15">
        <f t="shared" si="4"/>
        <v>0.12189503634659975</v>
      </c>
      <c r="U188" s="15">
        <f t="shared" si="5"/>
        <v>0.15361310319837218</v>
      </c>
    </row>
    <row r="189" spans="1:21" x14ac:dyDescent="0.35">
      <c r="A189" s="10">
        <v>44601</v>
      </c>
      <c r="B189" s="2">
        <v>-7.9091874476450892E-3</v>
      </c>
      <c r="C189" s="2">
        <v>-5.1151006667703768E-3</v>
      </c>
      <c r="D189" s="2">
        <v>0</v>
      </c>
      <c r="E189" s="2">
        <v>1.178005290289574E-2</v>
      </c>
      <c r="F189" s="2">
        <v>-1.14100667380309E-2</v>
      </c>
      <c r="G189" s="2">
        <v>1.5937888186290911E-2</v>
      </c>
      <c r="H189" s="2">
        <v>5.8038785007093287E-2</v>
      </c>
      <c r="I189" s="2">
        <v>2.4692612590371629E-2</v>
      </c>
      <c r="J189" s="2">
        <v>-2.894660275670706E-2</v>
      </c>
      <c r="K189" s="2">
        <v>1.0152371464017909E-2</v>
      </c>
      <c r="L189" s="2">
        <v>-1.1354542102925779E-2</v>
      </c>
      <c r="M189" s="2">
        <v>-2.522069432709835E-3</v>
      </c>
      <c r="N189" s="2">
        <v>-2.1857932199802082E-3</v>
      </c>
      <c r="O189" s="2">
        <v>-3.4981164273144671E-3</v>
      </c>
      <c r="P189" s="2">
        <v>0</v>
      </c>
      <c r="Q189" s="15">
        <f>AVERAGE(Tableau2[[#This Row],[AWB]:[IAM]])</f>
        <v>3.177348757239051E-3</v>
      </c>
      <c r="R189" s="15">
        <f>ABS(Tableau2[[#This Row],[Rm ]])</f>
        <v>3.177348757239051E-3</v>
      </c>
      <c r="S189" s="15">
        <f>(Tableau2[[#This Row],[Rm ]]-Tableau2[[#Totals],[Rm ]])^2</f>
        <v>5.6915342819982264E-6</v>
      </c>
      <c r="T189" s="15">
        <f t="shared" si="4"/>
        <v>0.206464407222192</v>
      </c>
      <c r="U189" s="15">
        <f t="shared" si="5"/>
        <v>0.12189503634659975</v>
      </c>
    </row>
    <row r="190" spans="1:21" x14ac:dyDescent="0.35">
      <c r="A190" s="10">
        <v>44602</v>
      </c>
      <c r="B190" s="2">
        <v>3.759593921811541E-3</v>
      </c>
      <c r="C190" s="2">
        <v>8.5106896679086105E-3</v>
      </c>
      <c r="D190" s="2">
        <v>0</v>
      </c>
      <c r="E190" s="2">
        <v>2.3430853140155271E-2</v>
      </c>
      <c r="F190" s="2">
        <v>-6.578971098042511E-3</v>
      </c>
      <c r="G190" s="2">
        <v>-2.251685928433329E-2</v>
      </c>
      <c r="H190" s="2">
        <v>5.8116910989914651E-2</v>
      </c>
      <c r="I190" s="2">
        <v>9.2089390853099078E-3</v>
      </c>
      <c r="J190" s="2">
        <v>9.9787000498962695E-3</v>
      </c>
      <c r="K190" s="2">
        <v>0</v>
      </c>
      <c r="L190" s="2">
        <v>1.858639362942089E-2</v>
      </c>
      <c r="M190" s="2">
        <v>2.5220694327099391E-3</v>
      </c>
      <c r="N190" s="2">
        <v>-2.1905813798185859E-3</v>
      </c>
      <c r="O190" s="2">
        <v>3.130469364349697E-3</v>
      </c>
      <c r="P190" s="2">
        <v>0</v>
      </c>
      <c r="Q190" s="15">
        <f>AVERAGE(Tableau2[[#This Row],[AWB]:[IAM]])</f>
        <v>7.0638805012854921E-3</v>
      </c>
      <c r="R190" s="15">
        <f>ABS(Tableau2[[#This Row],[Rm ]])</f>
        <v>7.0638805012854921E-3</v>
      </c>
      <c r="S190" s="15">
        <f>(Tableau2[[#This Row],[Rm ]]-Tableau2[[#Totals],[Rm ]])^2</f>
        <v>3.9340811631254636E-5</v>
      </c>
      <c r="T190" s="15">
        <f t="shared" si="4"/>
        <v>0.16430545197525212</v>
      </c>
      <c r="U190" s="15">
        <f t="shared" si="5"/>
        <v>0.206464407222192</v>
      </c>
    </row>
    <row r="191" spans="1:21" x14ac:dyDescent="0.35">
      <c r="A191" s="10">
        <v>44614</v>
      </c>
      <c r="B191" s="2">
        <v>-3.0898441551234179E-2</v>
      </c>
      <c r="C191" s="2">
        <v>-3.4486176071169321E-2</v>
      </c>
      <c r="D191" s="2">
        <v>-7.6872032580122068E-2</v>
      </c>
      <c r="E191" s="2">
        <v>-2.0863457634909561E-2</v>
      </c>
      <c r="F191" s="2">
        <v>-2.523318771768553E-2</v>
      </c>
      <c r="G191" s="2">
        <v>0.1045681225894239</v>
      </c>
      <c r="H191" s="2">
        <v>0.25288154330236401</v>
      </c>
      <c r="I191" s="2">
        <v>-5.9219359659971223E-2</v>
      </c>
      <c r="J191" s="2">
        <v>-4.4596840792429412E-2</v>
      </c>
      <c r="K191" s="2">
        <v>-5.1825067864586023E-2</v>
      </c>
      <c r="L191" s="2">
        <v>-7.3923226025167321E-2</v>
      </c>
      <c r="M191" s="2">
        <v>-3.3814697113590877E-2</v>
      </c>
      <c r="N191" s="2">
        <v>-4.5309387003866552E-2</v>
      </c>
      <c r="O191" s="2">
        <v>-7.203112820888273E-2</v>
      </c>
      <c r="P191" s="2">
        <v>-3.1252543504104432E-2</v>
      </c>
      <c r="Q191" s="15">
        <f>AVERAGE(Tableau2[[#This Row],[AWB]:[IAM]])</f>
        <v>-1.6191725322395423E-2</v>
      </c>
      <c r="R191" s="15">
        <f>ABS(Tableau2[[#This Row],[Rm ]])</f>
        <v>1.6191725322395423E-2</v>
      </c>
      <c r="S191" s="15">
        <f>(Tableau2[[#This Row],[Rm ]]-Tableau2[[#Totals],[Rm ]])^2</f>
        <v>2.884352101745186E-4</v>
      </c>
      <c r="T191" s="15">
        <f t="shared" si="4"/>
        <v>0.76560946943689578</v>
      </c>
      <c r="U191" s="15">
        <f t="shared" si="5"/>
        <v>0.16430545197525212</v>
      </c>
    </row>
    <row r="192" spans="1:21" x14ac:dyDescent="0.35">
      <c r="A192" s="10">
        <v>44617</v>
      </c>
      <c r="B192" s="2">
        <v>-1.0515343999523009E-2</v>
      </c>
      <c r="C192" s="2">
        <v>-3.5718082602079232E-2</v>
      </c>
      <c r="D192" s="2">
        <v>-2.452991430147345E-2</v>
      </c>
      <c r="E192" s="2">
        <v>1.133156600955002E-2</v>
      </c>
      <c r="F192" s="2">
        <v>-1.963645393162769E-2</v>
      </c>
      <c r="G192" s="2">
        <v>-9.6023870806427589E-2</v>
      </c>
      <c r="H192" s="2">
        <v>9.7332535477478443E-3</v>
      </c>
      <c r="I192" s="2">
        <v>-3.2347833865519399E-2</v>
      </c>
      <c r="J192" s="2">
        <v>-4.435064522406687E-2</v>
      </c>
      <c r="K192" s="2">
        <v>0</v>
      </c>
      <c r="L192" s="2">
        <v>-1.7256259674697249E-3</v>
      </c>
      <c r="M192" s="2">
        <v>-6.4017552123443816E-2</v>
      </c>
      <c r="N192" s="2">
        <v>-6.1026262812165978E-2</v>
      </c>
      <c r="O192" s="2">
        <v>-2.8255561727724209E-2</v>
      </c>
      <c r="P192" s="2">
        <v>-2.0040750883446149E-2</v>
      </c>
      <c r="Q192" s="15">
        <f>AVERAGE(Tableau2[[#This Row],[AWB]:[IAM]])</f>
        <v>-2.7808205245844618E-2</v>
      </c>
      <c r="R192" s="15">
        <f>ABS(Tableau2[[#This Row],[Rm ]])</f>
        <v>2.7808205245844618E-2</v>
      </c>
      <c r="S192" s="15">
        <f>(Tableau2[[#This Row],[Rm ]]-Tableau2[[#Totals],[Rm ]])^2</f>
        <v>8.1795201113279016E-4</v>
      </c>
      <c r="T192" s="15">
        <f t="shared" si="4"/>
        <v>0.32691512080945767</v>
      </c>
      <c r="U192" s="15">
        <f t="shared" si="5"/>
        <v>0.76560946943689578</v>
      </c>
    </row>
    <row r="193" spans="1:21" x14ac:dyDescent="0.35">
      <c r="A193" s="10">
        <v>44620</v>
      </c>
      <c r="B193" s="2">
        <v>-4.3434572231068934E-3</v>
      </c>
      <c r="C193" s="2">
        <v>0</v>
      </c>
      <c r="D193" s="2">
        <v>-7.4675253669932197E-3</v>
      </c>
      <c r="E193" s="2">
        <v>8.4151969252844981E-3</v>
      </c>
      <c r="F193" s="2">
        <v>4.053131179701764E-2</v>
      </c>
      <c r="G193" s="2">
        <v>2.7752668529155498E-2</v>
      </c>
      <c r="H193" s="2">
        <v>-6.1825660075492443E-2</v>
      </c>
      <c r="I193" s="2">
        <v>4.0273899137940113E-2</v>
      </c>
      <c r="J193" s="2">
        <v>7.7220460939103194E-3</v>
      </c>
      <c r="K193" s="2">
        <v>0</v>
      </c>
      <c r="L193" s="2">
        <v>1.725625967469857E-3</v>
      </c>
      <c r="M193" s="2">
        <v>-5.5710450494553601E-3</v>
      </c>
      <c r="N193" s="2">
        <v>-4.4385245936107633E-2</v>
      </c>
      <c r="O193" s="2">
        <v>-2.053460244170786E-2</v>
      </c>
      <c r="P193" s="2">
        <v>-4.056800695614318E-3</v>
      </c>
      <c r="Q193" s="15">
        <f>AVERAGE(Tableau2[[#This Row],[AWB]:[IAM]])</f>
        <v>-1.4509058891799861E-3</v>
      </c>
      <c r="R193" s="15">
        <f>ABS(Tableau2[[#This Row],[Rm ]])</f>
        <v>1.4509058891799861E-3</v>
      </c>
      <c r="S193" s="15">
        <f>(Tableau2[[#This Row],[Rm ]]-Tableau2[[#Totals],[Rm ]])^2</f>
        <v>5.0290797377325763E-6</v>
      </c>
      <c r="T193" s="15">
        <f t="shared" si="4"/>
        <v>0.27362382264243024</v>
      </c>
      <c r="U193" s="15">
        <f t="shared" si="5"/>
        <v>0.32691512080945767</v>
      </c>
    </row>
    <row r="194" spans="1:21" x14ac:dyDescent="0.35">
      <c r="A194" s="10">
        <v>44621</v>
      </c>
      <c r="B194" s="2">
        <v>-2.0192365647218611E-3</v>
      </c>
      <c r="C194" s="2">
        <v>0</v>
      </c>
      <c r="D194" s="2">
        <v>0</v>
      </c>
      <c r="E194" s="2">
        <v>-8.4151969252844721E-3</v>
      </c>
      <c r="F194" s="2">
        <v>6.5032015473180122E-3</v>
      </c>
      <c r="G194" s="2">
        <v>-6.1699355724241393E-2</v>
      </c>
      <c r="H194" s="2">
        <v>-6.1735560229180197E-2</v>
      </c>
      <c r="I194" s="2">
        <v>-6.1502199757793807E-2</v>
      </c>
      <c r="J194" s="2">
        <v>-1.5504186535965201E-2</v>
      </c>
      <c r="K194" s="2">
        <v>0</v>
      </c>
      <c r="L194" s="2">
        <v>-8.6244076065859526E-4</v>
      </c>
      <c r="M194" s="2">
        <v>5.5710450494554286E-3</v>
      </c>
      <c r="N194" s="2">
        <v>1.9692633345736069E-2</v>
      </c>
      <c r="O194" s="2">
        <v>2.0725396019723751E-3</v>
      </c>
      <c r="P194" s="2">
        <v>0</v>
      </c>
      <c r="Q194" s="15">
        <f>AVERAGE(Tableau2[[#This Row],[AWB]:[IAM]])</f>
        <v>-1.185991713022424E-2</v>
      </c>
      <c r="R194" s="15">
        <f>ABS(Tableau2[[#This Row],[Rm ]])</f>
        <v>1.185991713022424E-2</v>
      </c>
      <c r="S194" s="15">
        <f>(Tableau2[[#This Row],[Rm ]]-Tableau2[[#Totals],[Rm ]])^2</f>
        <v>1.6006227960062796E-4</v>
      </c>
      <c r="T194" s="15">
        <f t="shared" si="4"/>
        <v>0.29493401146435794</v>
      </c>
      <c r="U194" s="15">
        <f t="shared" si="5"/>
        <v>0.27362382264243024</v>
      </c>
    </row>
    <row r="195" spans="1:21" x14ac:dyDescent="0.35">
      <c r="A195" s="10">
        <v>44622</v>
      </c>
      <c r="B195" s="2">
        <v>0</v>
      </c>
      <c r="C195" s="2">
        <v>-3.6429912785010919E-3</v>
      </c>
      <c r="D195" s="2">
        <v>1.0438991255432E-2</v>
      </c>
      <c r="E195" s="2">
        <v>-2.820876341641341E-3</v>
      </c>
      <c r="F195" s="2">
        <v>-1.5799759978467571E-2</v>
      </c>
      <c r="G195" s="2">
        <v>-1.089187078068035E-2</v>
      </c>
      <c r="H195" s="2">
        <v>1.5105743053668509E-3</v>
      </c>
      <c r="I195" s="2">
        <v>-6.1557892999433428E-2</v>
      </c>
      <c r="J195" s="2">
        <v>-1.178795575204224E-2</v>
      </c>
      <c r="K195" s="2">
        <v>-3.6840569221070249E-2</v>
      </c>
      <c r="L195" s="2">
        <v>-4.5903910631114812E-2</v>
      </c>
      <c r="M195" s="2">
        <v>-8.9286307443013184E-3</v>
      </c>
      <c r="N195" s="2">
        <v>-1.7146158834970511E-2</v>
      </c>
      <c r="O195" s="2">
        <v>-1.040592116111669E-2</v>
      </c>
      <c r="P195" s="2">
        <v>-1.2270092591814359E-2</v>
      </c>
      <c r="Q195" s="15">
        <f>AVERAGE(Tableau2[[#This Row],[AWB]:[IAM]])</f>
        <v>-1.5069804316957007E-2</v>
      </c>
      <c r="R195" s="15">
        <f>ABS(Tableau2[[#This Row],[Rm ]])</f>
        <v>1.5069804316957007E-2</v>
      </c>
      <c r="S195" s="15">
        <f>(Tableau2[[#This Row],[Rm ]]-Tableau2[[#Totals],[Rm ]])^2</f>
        <v>2.5158589446473326E-4</v>
      </c>
      <c r="T195" s="15">
        <f t="shared" ref="T195:T258" si="6">(ABS(B195-$Q195)+ABS(C195-$Q195)+ABS(D195-$Q195)+ABS(E195-$Q195)+ABS(F195-$Q195)+ABS(G195-$Q195)+ABS(H195-$Q195)+ABS(I195-$Q195)+ABS(J195-$Q195)+ABS(K195-$Q195)+ABS(L195-$Q195)+ABS(M195-$Q195)+ABS(N195-$Q195)+ABS(O195-$Q195)+ABS(P195-$Q195)/15)</f>
        <v>0.20118547588374325</v>
      </c>
      <c r="U195" s="15">
        <f t="shared" si="5"/>
        <v>0.29493401146435794</v>
      </c>
    </row>
    <row r="196" spans="1:21" x14ac:dyDescent="0.35">
      <c r="A196" s="10">
        <v>44624</v>
      </c>
      <c r="B196" s="2">
        <v>-3.2435275753153837E-2</v>
      </c>
      <c r="C196" s="2">
        <v>-1.4706147389695451E-2</v>
      </c>
      <c r="D196" s="2">
        <v>-1.043899125543212E-2</v>
      </c>
      <c r="E196" s="2">
        <v>2.820876341641263E-3</v>
      </c>
      <c r="F196" s="2">
        <v>-4.5499851109921663E-2</v>
      </c>
      <c r="G196" s="2">
        <v>-0.1233167992148043</v>
      </c>
      <c r="H196" s="2">
        <v>-0.1011764091352523</v>
      </c>
      <c r="I196" s="2">
        <v>-0.1222573160513046</v>
      </c>
      <c r="J196" s="2">
        <v>3.9447782910163251E-3</v>
      </c>
      <c r="K196" s="2">
        <v>4.4052934679164176E-3</v>
      </c>
      <c r="L196" s="2">
        <v>-5.2863489557067767E-2</v>
      </c>
      <c r="M196" s="2">
        <v>-2.2446698538238618E-3</v>
      </c>
      <c r="N196" s="2">
        <v>1.4141649814671821E-2</v>
      </c>
      <c r="O196" s="2">
        <v>-1.2631746905900571E-2</v>
      </c>
      <c r="P196" s="2">
        <v>-2.079076966907378E-2</v>
      </c>
      <c r="Q196" s="15">
        <f>AVERAGE(Tableau2[[#This Row],[AWB]:[IAM]])</f>
        <v>-3.4203257865345636E-2</v>
      </c>
      <c r="R196" s="15">
        <f>ABS(Tableau2[[#This Row],[Rm ]])</f>
        <v>3.4203257865345636E-2</v>
      </c>
      <c r="S196" s="15">
        <f>(Tableau2[[#This Row],[Rm ]]-Tableau2[[#Totals],[Rm ]])^2</f>
        <v>1.2246439326334942E-3</v>
      </c>
      <c r="T196" s="15">
        <f t="shared" si="6"/>
        <v>0.53567682916672466</v>
      </c>
      <c r="U196" s="15">
        <f t="shared" ref="U196:U259" si="7">T195</f>
        <v>0.20118547588374325</v>
      </c>
    </row>
    <row r="197" spans="1:21" x14ac:dyDescent="0.35">
      <c r="A197" s="10">
        <v>44627</v>
      </c>
      <c r="B197" s="2">
        <v>-4.2655175601916062E-2</v>
      </c>
      <c r="C197" s="2">
        <v>-3.7740327982847093E-2</v>
      </c>
      <c r="D197" s="2">
        <v>-3.0440555565492099E-2</v>
      </c>
      <c r="E197" s="2">
        <v>-8.4866138773186939E-3</v>
      </c>
      <c r="F197" s="2">
        <v>-1.1556886748987499E-2</v>
      </c>
      <c r="G197" s="2">
        <v>-6.1471864093667977E-2</v>
      </c>
      <c r="H197" s="2">
        <v>-4.0256740249492343E-2</v>
      </c>
      <c r="I197" s="2">
        <v>-6.1255426112803088E-2</v>
      </c>
      <c r="J197" s="2">
        <v>-1.5873349156290122E-2</v>
      </c>
      <c r="K197" s="2">
        <v>-3.352269203864356E-2</v>
      </c>
      <c r="L197" s="2">
        <v>-1.438873745209956E-2</v>
      </c>
      <c r="M197" s="2">
        <v>-1.871333315207421E-2</v>
      </c>
      <c r="N197" s="2">
        <v>-5.8870894697788757E-2</v>
      </c>
      <c r="O197" s="2">
        <v>-5.666003356549127E-2</v>
      </c>
      <c r="P197" s="2">
        <v>1.252625981918026E-2</v>
      </c>
      <c r="Q197" s="15">
        <f>AVERAGE(Tableau2[[#This Row],[AWB]:[IAM]])</f>
        <v>-3.1957758031715473E-2</v>
      </c>
      <c r="R197" s="15">
        <f>ABS(Tableau2[[#This Row],[Rm ]])</f>
        <v>3.1957758031715473E-2</v>
      </c>
      <c r="S197" s="15">
        <f>(Tableau2[[#This Row],[Rm ]]-Tableau2[[#Totals],[Rm ]])^2</f>
        <v>1.072524059705684E-3</v>
      </c>
      <c r="T197" s="15">
        <f t="shared" si="6"/>
        <v>0.23202376351701667</v>
      </c>
      <c r="U197" s="15">
        <f t="shared" si="7"/>
        <v>0.53567682916672466</v>
      </c>
    </row>
    <row r="198" spans="1:21" x14ac:dyDescent="0.35">
      <c r="A198" s="10">
        <v>44628</v>
      </c>
      <c r="B198" s="2">
        <v>4.2655175601916111E-2</v>
      </c>
      <c r="C198" s="2">
        <v>3.8387763071656669E-3</v>
      </c>
      <c r="D198" s="2">
        <v>1.533610173883946E-2</v>
      </c>
      <c r="E198" s="2">
        <v>-3.4685557987889977E-2</v>
      </c>
      <c r="F198" s="2">
        <v>1.7288528505349721E-2</v>
      </c>
      <c r="G198" s="2">
        <v>5.7981459153899483E-2</v>
      </c>
      <c r="H198" s="2">
        <v>5.8256605554584159E-2</v>
      </c>
      <c r="I198" s="2">
        <v>1.19118537015301E-3</v>
      </c>
      <c r="J198" s="2">
        <v>5.4488185284069783E-2</v>
      </c>
      <c r="K198" s="2">
        <v>5.3109825313948332E-2</v>
      </c>
      <c r="L198" s="2">
        <v>3.8572853997578729E-3</v>
      </c>
      <c r="M198" s="2">
        <v>-3.440370365867489E-3</v>
      </c>
      <c r="N198" s="2">
        <v>5.3050522296930981E-3</v>
      </c>
      <c r="O198" s="2">
        <v>5.8141985779126562E-2</v>
      </c>
      <c r="P198" s="2">
        <v>4.1407926660313871E-3</v>
      </c>
      <c r="Q198" s="15">
        <f>AVERAGE(Tableau2[[#This Row],[AWB]:[IAM]])</f>
        <v>2.2497668703385144E-2</v>
      </c>
      <c r="R198" s="15">
        <f>ABS(Tableau2[[#This Row],[Rm ]])</f>
        <v>2.2497668703385144E-2</v>
      </c>
      <c r="S198" s="15">
        <f>(Tableau2[[#This Row],[Rm ]]-Tableau2[[#Totals],[Rm ]])^2</f>
        <v>4.7115102705810115E-4</v>
      </c>
      <c r="T198" s="15">
        <f t="shared" si="6"/>
        <v>0.36216136463293697</v>
      </c>
      <c r="U198" s="15">
        <f t="shared" si="7"/>
        <v>0.23202376351701667</v>
      </c>
    </row>
    <row r="199" spans="1:21" x14ac:dyDescent="0.35">
      <c r="A199" s="10">
        <v>44629</v>
      </c>
      <c r="B199" s="2">
        <v>1.092907053219023E-2</v>
      </c>
      <c r="C199" s="2">
        <v>1.8599890926280529E-2</v>
      </c>
      <c r="D199" s="2">
        <v>1.510445382665266E-2</v>
      </c>
      <c r="E199" s="2">
        <v>2.9368596733097062E-3</v>
      </c>
      <c r="F199" s="2">
        <v>5.502993643316037E-2</v>
      </c>
      <c r="G199" s="2">
        <v>5.8107630807280763E-2</v>
      </c>
      <c r="H199" s="2">
        <v>5.81489694859866E-2</v>
      </c>
      <c r="I199" s="2">
        <v>0</v>
      </c>
      <c r="J199" s="2">
        <v>-7.2229928169553993E-3</v>
      </c>
      <c r="K199" s="2">
        <v>2.154940208749129E-4</v>
      </c>
      <c r="L199" s="2">
        <v>1.8121621319017341E-2</v>
      </c>
      <c r="M199" s="2">
        <v>1.1989866727935731E-2</v>
      </c>
      <c r="N199" s="2">
        <v>5.3064212159106762E-2</v>
      </c>
      <c r="O199" s="2">
        <v>4.407457938873189E-2</v>
      </c>
      <c r="P199" s="2">
        <v>0</v>
      </c>
      <c r="Q199" s="15">
        <f>AVERAGE(Tableau2[[#This Row],[AWB]:[IAM]])</f>
        <v>2.2606639498904808E-2</v>
      </c>
      <c r="R199" s="15">
        <f>ABS(Tableau2[[#This Row],[Rm ]])</f>
        <v>2.2606639498904808E-2</v>
      </c>
      <c r="S199" s="15">
        <f>(Tableau2[[#This Row],[Rm ]]-Tableau2[[#Totals],[Rm ]])^2</f>
        <v>4.758935448347695E-4</v>
      </c>
      <c r="T199" s="15">
        <f t="shared" si="6"/>
        <v>0.28968473136050688</v>
      </c>
      <c r="U199" s="15">
        <f t="shared" si="7"/>
        <v>0.36216136463293697</v>
      </c>
    </row>
    <row r="200" spans="1:21" x14ac:dyDescent="0.35">
      <c r="A200" s="10">
        <v>44630</v>
      </c>
      <c r="B200" s="2">
        <v>-2.197890671877523E-2</v>
      </c>
      <c r="C200" s="2">
        <v>-2.243866723344632E-2</v>
      </c>
      <c r="D200" s="2">
        <v>-1.510445382665262E-2</v>
      </c>
      <c r="E200" s="2">
        <v>0</v>
      </c>
      <c r="F200" s="2">
        <v>2.6982280467351639E-3</v>
      </c>
      <c r="G200" s="2">
        <v>5.7341681502882581E-2</v>
      </c>
      <c r="H200" s="2">
        <v>5.824335634237636E-2</v>
      </c>
      <c r="I200" s="2">
        <v>0</v>
      </c>
      <c r="J200" s="2">
        <v>-3.1391843310824161E-2</v>
      </c>
      <c r="K200" s="2">
        <v>-6.1769966117566223E-2</v>
      </c>
      <c r="L200" s="2">
        <v>-2.10131895988163E-2</v>
      </c>
      <c r="M200" s="2">
        <v>-5.6624404081580627E-2</v>
      </c>
      <c r="N200" s="2">
        <v>-5.9966283626285921E-2</v>
      </c>
      <c r="O200" s="2">
        <v>-4.9802822483818253E-2</v>
      </c>
      <c r="P200" s="2">
        <v>-8.2988028146950658E-3</v>
      </c>
      <c r="Q200" s="15">
        <f>AVERAGE(Tableau2[[#This Row],[AWB]:[IAM]])</f>
        <v>-1.5340404928031107E-2</v>
      </c>
      <c r="R200" s="15">
        <f>ABS(Tableau2[[#This Row],[Rm ]])</f>
        <v>1.5340404928031107E-2</v>
      </c>
      <c r="S200" s="15">
        <f>(Tableau2[[#This Row],[Rm ]]-Tableau2[[#Totals],[Rm ]])^2</f>
        <v>2.602433603706281E-4</v>
      </c>
      <c r="T200" s="15">
        <f t="shared" si="6"/>
        <v>0.39795352552128133</v>
      </c>
      <c r="U200" s="15">
        <f t="shared" si="7"/>
        <v>0.28968473136050688</v>
      </c>
    </row>
    <row r="201" spans="1:21" x14ac:dyDescent="0.35">
      <c r="A201" s="10">
        <v>44631</v>
      </c>
      <c r="B201" s="2">
        <v>0</v>
      </c>
      <c r="C201" s="2">
        <v>1.9048194970694411E-2</v>
      </c>
      <c r="D201" s="2">
        <v>-1.018021820413045E-2</v>
      </c>
      <c r="E201" s="2">
        <v>1.1661939747842961E-2</v>
      </c>
      <c r="F201" s="2">
        <v>1.9234595849260669E-2</v>
      </c>
      <c r="G201" s="2">
        <v>-3.0220149301446949E-2</v>
      </c>
      <c r="H201" s="2">
        <v>5.81414838336341E-2</v>
      </c>
      <c r="I201" s="2">
        <v>-5.2547213047144298E-2</v>
      </c>
      <c r="J201" s="2">
        <v>3.8614836127779523E-2</v>
      </c>
      <c r="K201" s="2">
        <v>5.7883950864615813E-2</v>
      </c>
      <c r="L201" s="2">
        <v>4.436782418156221E-2</v>
      </c>
      <c r="M201" s="2">
        <v>2.666824708216127E-2</v>
      </c>
      <c r="N201" s="2">
        <v>-1.4489118514138361E-2</v>
      </c>
      <c r="O201" s="2">
        <v>8.8964789272008137E-3</v>
      </c>
      <c r="P201" s="2">
        <v>1.242251999855711E-2</v>
      </c>
      <c r="Q201" s="15">
        <f>AVERAGE(Tableau2[[#This Row],[AWB]:[IAM]])</f>
        <v>1.2633558167763254E-2</v>
      </c>
      <c r="R201" s="15">
        <f>ABS(Tableau2[[#This Row],[Rm ]])</f>
        <v>1.2633558167763254E-2</v>
      </c>
      <c r="S201" s="15">
        <f>(Tableau2[[#This Row],[Rm ]]-Tableau2[[#Totals],[Rm ]])^2</f>
        <v>1.4023066854331373E-4</v>
      </c>
      <c r="T201" s="15">
        <f t="shared" si="6"/>
        <v>0.35085148251280468</v>
      </c>
      <c r="U201" s="15">
        <f t="shared" si="7"/>
        <v>0.39795352552128133</v>
      </c>
    </row>
    <row r="202" spans="1:21" x14ac:dyDescent="0.35">
      <c r="A202" s="10">
        <v>44636</v>
      </c>
      <c r="B202" s="2">
        <v>1.980262729617973E-2</v>
      </c>
      <c r="C202" s="2">
        <v>1.508295911884881E-3</v>
      </c>
      <c r="D202" s="2">
        <v>2.528467203078303E-2</v>
      </c>
      <c r="E202" s="2">
        <v>-8.7336799687545534E-3</v>
      </c>
      <c r="F202" s="2">
        <v>1.4703284680690071E-2</v>
      </c>
      <c r="G202" s="2">
        <v>7.4640474483443518E-3</v>
      </c>
      <c r="H202" s="2">
        <v>8.3863669412541683E-2</v>
      </c>
      <c r="I202" s="2">
        <v>5.8481948566958847E-2</v>
      </c>
      <c r="J202" s="2">
        <v>-2.8041015269221491E-2</v>
      </c>
      <c r="K202" s="2">
        <v>4.2766889784860929E-2</v>
      </c>
      <c r="L202" s="2">
        <v>-2.8091734867015071E-2</v>
      </c>
      <c r="M202" s="2">
        <v>1.7391742711869239E-2</v>
      </c>
      <c r="N202" s="2">
        <v>5.390848634876373E-3</v>
      </c>
      <c r="O202" s="2">
        <v>2.0455733085326541E-2</v>
      </c>
      <c r="P202" s="2">
        <v>4.1067819526532812E-3</v>
      </c>
      <c r="Q202" s="15">
        <f>AVERAGE(Tableau2[[#This Row],[AWB]:[IAM]])</f>
        <v>1.5756940760798525E-2</v>
      </c>
      <c r="R202" s="15">
        <f>ABS(Tableau2[[#This Row],[Rm ]])</f>
        <v>1.5756940760798525E-2</v>
      </c>
      <c r="S202" s="15">
        <f>(Tableau2[[#This Row],[Rm ]]-Tableau2[[#Totals],[Rm ]])^2</f>
        <v>2.2395977525937897E-4</v>
      </c>
      <c r="T202" s="15">
        <f t="shared" si="6"/>
        <v>0.30462391357159185</v>
      </c>
      <c r="U202" s="15">
        <f t="shared" si="7"/>
        <v>0.35085148251280468</v>
      </c>
    </row>
    <row r="203" spans="1:21" x14ac:dyDescent="0.35">
      <c r="A203" s="10">
        <v>44638</v>
      </c>
      <c r="B203" s="2">
        <v>1.0834342165710151E-2</v>
      </c>
      <c r="C203" s="2">
        <v>1.347325770373208E-2</v>
      </c>
      <c r="D203" s="2">
        <v>0</v>
      </c>
      <c r="E203" s="2">
        <v>8.7336799687546315E-3</v>
      </c>
      <c r="F203" s="2">
        <v>-7.3219527758656613E-3</v>
      </c>
      <c r="G203" s="2">
        <v>-6.7507806563359444E-3</v>
      </c>
      <c r="H203" s="2">
        <v>-5.9368483139739442E-2</v>
      </c>
      <c r="I203" s="2">
        <v>-5.4724899689246487E-2</v>
      </c>
      <c r="J203" s="2">
        <v>2.0436415884002079E-2</v>
      </c>
      <c r="K203" s="2">
        <v>-1.566611674439946E-2</v>
      </c>
      <c r="L203" s="2">
        <v>4.3666946652486313E-2</v>
      </c>
      <c r="M203" s="2">
        <v>1.709443335930004E-2</v>
      </c>
      <c r="N203" s="2">
        <v>2.65267543334286E-2</v>
      </c>
      <c r="O203" s="2">
        <v>7.4104908904847507E-3</v>
      </c>
      <c r="P203" s="2">
        <v>4.0899852515250664E-3</v>
      </c>
      <c r="Q203" s="15">
        <f>AVERAGE(Tableau2[[#This Row],[AWB]:[IAM]])</f>
        <v>5.6227154692244812E-4</v>
      </c>
      <c r="R203" s="15">
        <f>ABS(Tableau2[[#This Row],[Rm ]])</f>
        <v>5.6227154692244812E-4</v>
      </c>
      <c r="S203" s="15">
        <f>(Tableau2[[#This Row],[Rm ]]-Tableau2[[#Totals],[Rm ]])^2</f>
        <v>5.2616809056603502E-8</v>
      </c>
      <c r="T203" s="15">
        <f t="shared" si="6"/>
        <v>0.29111919178328088</v>
      </c>
      <c r="U203" s="15">
        <f t="shared" si="7"/>
        <v>0.30462391357159185</v>
      </c>
    </row>
    <row r="204" spans="1:21" x14ac:dyDescent="0.35">
      <c r="A204" s="10">
        <v>44641</v>
      </c>
      <c r="B204" s="2">
        <v>-6.4865092296067734E-3</v>
      </c>
      <c r="C204" s="2">
        <v>-9.3371359959398496E-3</v>
      </c>
      <c r="D204" s="2">
        <v>0</v>
      </c>
      <c r="E204" s="2">
        <v>-5.8139698654198447E-3</v>
      </c>
      <c r="F204" s="2">
        <v>6.2784790262459681E-3</v>
      </c>
      <c r="G204" s="2">
        <v>8.5197533447704862E-3</v>
      </c>
      <c r="H204" s="2">
        <v>-8.4374445876832689E-3</v>
      </c>
      <c r="I204" s="2">
        <v>1.3656326447485561E-2</v>
      </c>
      <c r="J204" s="2">
        <v>1.138532222512543E-2</v>
      </c>
      <c r="K204" s="2">
        <v>0</v>
      </c>
      <c r="L204" s="2">
        <v>0</v>
      </c>
      <c r="M204" s="2">
        <v>2.2347298691996621E-2</v>
      </c>
      <c r="N204" s="2">
        <v>3.6582220049688821E-3</v>
      </c>
      <c r="O204" s="2">
        <v>-2.5759629558681409E-2</v>
      </c>
      <c r="P204" s="2">
        <v>4.0733253876358688E-3</v>
      </c>
      <c r="Q204" s="15">
        <f>AVERAGE(Tableau2[[#This Row],[AWB]:[IAM]])</f>
        <v>9.3893585939317805E-4</v>
      </c>
      <c r="R204" s="15">
        <f>ABS(Tableau2[[#This Row],[Rm ]])</f>
        <v>9.3893585939317805E-4</v>
      </c>
      <c r="S204" s="15">
        <f>(Tableau2[[#This Row],[Rm ]]-Tableau2[[#Totals],[Rm ]])^2</f>
        <v>2.1691625532711868E-8</v>
      </c>
      <c r="T204" s="15">
        <f t="shared" si="6"/>
        <v>0.12376692199859331</v>
      </c>
      <c r="U204" s="15">
        <f t="shared" si="7"/>
        <v>0.29111919178328088</v>
      </c>
    </row>
    <row r="205" spans="1:21" x14ac:dyDescent="0.35">
      <c r="A205" s="10">
        <v>44642</v>
      </c>
      <c r="B205" s="2">
        <v>-4.3478329361033982E-3</v>
      </c>
      <c r="C205" s="2">
        <v>-5.267130310919234E-3</v>
      </c>
      <c r="D205" s="2">
        <v>0</v>
      </c>
      <c r="E205" s="2">
        <v>-8.7848295557328027E-3</v>
      </c>
      <c r="F205" s="2">
        <v>7.281553530237423E-3</v>
      </c>
      <c r="G205" s="2">
        <v>-3.5410801874545738E-3</v>
      </c>
      <c r="H205" s="2">
        <v>-5.2355230333928103E-2</v>
      </c>
      <c r="I205" s="2">
        <v>-4.2827703747765483E-2</v>
      </c>
      <c r="J205" s="2">
        <v>-1.138532222512535E-2</v>
      </c>
      <c r="K205" s="2">
        <v>-1.058210933053697E-2</v>
      </c>
      <c r="L205" s="2">
        <v>-9.1324835632724741E-3</v>
      </c>
      <c r="M205" s="2">
        <v>-5.5401803756153561E-3</v>
      </c>
      <c r="N205" s="2">
        <v>-6.8045276943338963E-3</v>
      </c>
      <c r="O205" s="2">
        <v>1.005033585350151E-2</v>
      </c>
      <c r="P205" s="2">
        <v>-8.1633106391610939E-3</v>
      </c>
      <c r="Q205" s="15">
        <f>AVERAGE(Tableau2[[#This Row],[AWB]:[IAM]])</f>
        <v>-1.0093323434413987E-2</v>
      </c>
      <c r="R205" s="15">
        <f>ABS(Tableau2[[#This Row],[Rm ]])</f>
        <v>1.0093323434413987E-2</v>
      </c>
      <c r="S205" s="15">
        <f>(Tableau2[[#This Row],[Rm ]]-Tableau2[[#Totals],[Rm ]])^2</f>
        <v>1.1848275744002527E-4</v>
      </c>
      <c r="T205" s="15">
        <f t="shared" si="6"/>
        <v>0.15175279852383056</v>
      </c>
      <c r="U205" s="15">
        <f t="shared" si="7"/>
        <v>0.12376692199859331</v>
      </c>
    </row>
    <row r="206" spans="1:21" x14ac:dyDescent="0.35">
      <c r="A206" s="10">
        <v>44644</v>
      </c>
      <c r="B206" s="2">
        <v>-3.7287941637199222E-2</v>
      </c>
      <c r="C206" s="2">
        <v>-3.4929668815417418E-2</v>
      </c>
      <c r="D206" s="2">
        <v>-2.020798212162633E-2</v>
      </c>
      <c r="E206" s="2">
        <v>-2.230575751429828E-2</v>
      </c>
      <c r="F206" s="2">
        <v>-1.619264588953695E-2</v>
      </c>
      <c r="G206" s="2">
        <v>-8.8592813198449472E-2</v>
      </c>
      <c r="H206" s="2">
        <v>-7.2954791168729841E-2</v>
      </c>
      <c r="I206" s="2">
        <v>-8.4557388028062994E-2</v>
      </c>
      <c r="J206" s="2">
        <v>-3.1010236742560319E-2</v>
      </c>
      <c r="K206" s="2">
        <v>2.417353653407598E-2</v>
      </c>
      <c r="L206" s="2">
        <v>-2.226437049739954E-2</v>
      </c>
      <c r="M206" s="2">
        <v>0</v>
      </c>
      <c r="N206" s="2">
        <v>-3.1477658876683072E-2</v>
      </c>
      <c r="O206" s="2">
        <v>-2.9600469776290751E-2</v>
      </c>
      <c r="P206" s="2">
        <v>1.2220111334775401E-2</v>
      </c>
      <c r="Q206" s="15">
        <f>AVERAGE(Tableau2[[#This Row],[AWB]:[IAM]])</f>
        <v>-3.033253842649352E-2</v>
      </c>
      <c r="R206" s="15">
        <f>ABS(Tableau2[[#This Row],[Rm ]])</f>
        <v>3.033253842649352E-2</v>
      </c>
      <c r="S206" s="15">
        <f>(Tableau2[[#This Row],[Rm ]]-Tableau2[[#Totals],[Rm ]])^2</f>
        <v>9.6871542194654507E-4</v>
      </c>
      <c r="T206" s="15">
        <f t="shared" si="6"/>
        <v>0.29724965251944441</v>
      </c>
      <c r="U206" s="15">
        <f t="shared" si="7"/>
        <v>0.15175279852383056</v>
      </c>
    </row>
    <row r="207" spans="1:21" x14ac:dyDescent="0.35">
      <c r="A207" s="10">
        <v>44645</v>
      </c>
      <c r="B207" s="2">
        <v>7.2104863999212969E-3</v>
      </c>
      <c r="C207" s="2">
        <v>1.5504186535965249E-2</v>
      </c>
      <c r="D207" s="2">
        <v>7.6193847506648227E-3</v>
      </c>
      <c r="E207" s="2">
        <v>2.230575751429819E-2</v>
      </c>
      <c r="F207" s="2">
        <v>5.2921509016998637E-4</v>
      </c>
      <c r="G207" s="2">
        <v>2.6770241064604829E-2</v>
      </c>
      <c r="H207" s="2">
        <v>5.8203669222720751E-2</v>
      </c>
      <c r="I207" s="2">
        <v>0</v>
      </c>
      <c r="J207" s="2">
        <v>1.5625317903080811E-2</v>
      </c>
      <c r="K207" s="2">
        <v>0</v>
      </c>
      <c r="L207" s="2">
        <v>-9.3852658226438847E-4</v>
      </c>
      <c r="M207" s="2">
        <v>0</v>
      </c>
      <c r="N207" s="2">
        <v>2.7063615977428461E-3</v>
      </c>
      <c r="O207" s="2">
        <v>1.2793351459909541E-2</v>
      </c>
      <c r="P207" s="2">
        <v>-1.222011133477533E-2</v>
      </c>
      <c r="Q207" s="15">
        <f>AVERAGE(Tableau2[[#This Row],[AWB]:[IAM]])</f>
        <v>1.0407288908135906E-2</v>
      </c>
      <c r="R207" s="15">
        <f>ABS(Tableau2[[#This Row],[Rm ]])</f>
        <v>1.0407288908135906E-2</v>
      </c>
      <c r="S207" s="15">
        <f>(Tableau2[[#This Row],[Rm ]]-Tableau2[[#Totals],[Rm ]])^2</f>
        <v>9.2460413757100934E-5</v>
      </c>
      <c r="T207" s="15">
        <f t="shared" si="6"/>
        <v>0.15639867361014403</v>
      </c>
      <c r="U207" s="15">
        <f t="shared" si="7"/>
        <v>0.29724965251944441</v>
      </c>
    </row>
    <row r="208" spans="1:21" x14ac:dyDescent="0.35">
      <c r="A208" s="10">
        <v>44650</v>
      </c>
      <c r="B208" s="2">
        <v>3.2362424405103049E-2</v>
      </c>
      <c r="C208" s="2">
        <v>1.867076526249618E-2</v>
      </c>
      <c r="D208" s="2">
        <v>7.6137205509837222E-3</v>
      </c>
      <c r="E208" s="2">
        <v>8.7848295557328114E-3</v>
      </c>
      <c r="F208" s="2">
        <v>3.8713091571486453E-2</v>
      </c>
      <c r="G208" s="2">
        <v>6.2177244951891357E-2</v>
      </c>
      <c r="H208" s="2">
        <v>0.1084366060233323</v>
      </c>
      <c r="I208" s="2">
        <v>5.0522689424550397E-2</v>
      </c>
      <c r="J208" s="2">
        <v>-7.7821404420549628E-3</v>
      </c>
      <c r="K208" s="2">
        <v>-6.1014105755146243E-2</v>
      </c>
      <c r="L208" s="2">
        <v>3.748832881519659E-3</v>
      </c>
      <c r="M208" s="2">
        <v>2.4692612590371411E-2</v>
      </c>
      <c r="N208" s="2">
        <v>5.9283385698801943E-3</v>
      </c>
      <c r="O208" s="2">
        <v>2.5105921131076261E-2</v>
      </c>
      <c r="P208" s="2">
        <v>4.0899852515250664E-3</v>
      </c>
      <c r="Q208" s="15">
        <f>AVERAGE(Tableau2[[#This Row],[AWB]:[IAM]])</f>
        <v>2.1470054398183173E-2</v>
      </c>
      <c r="R208" s="15">
        <f>ABS(Tableau2[[#This Row],[Rm ]])</f>
        <v>2.1470054398183173E-2</v>
      </c>
      <c r="S208" s="15">
        <f>(Tableau2[[#This Row],[Rm ]]-Tableau2[[#Totals],[Rm ]])^2</f>
        <v>4.2759619801882403E-4</v>
      </c>
      <c r="T208" s="15">
        <f t="shared" si="6"/>
        <v>0.36721902075084373</v>
      </c>
      <c r="U208" s="15">
        <f t="shared" si="7"/>
        <v>0.15639867361014403</v>
      </c>
    </row>
    <row r="209" spans="1:21" x14ac:dyDescent="0.35">
      <c r="A209" s="10">
        <v>44651</v>
      </c>
      <c r="B209" s="2">
        <v>-1.086897452295728E-4</v>
      </c>
      <c r="C209" s="2">
        <v>7.8962621222255398E-3</v>
      </c>
      <c r="D209" s="2">
        <v>0</v>
      </c>
      <c r="E209" s="2">
        <v>2.9112102074585352E-3</v>
      </c>
      <c r="F209" s="2">
        <v>-2.0277092811294291E-3</v>
      </c>
      <c r="G209" s="2">
        <v>-4.348511193973878E-2</v>
      </c>
      <c r="H209" s="2">
        <v>3.9689646338896739E-2</v>
      </c>
      <c r="I209" s="2">
        <v>-3.5233996909459921E-2</v>
      </c>
      <c r="J209" s="2">
        <v>-1.455858883255037E-2</v>
      </c>
      <c r="K209" s="2">
        <v>5.8102290053860667E-2</v>
      </c>
      <c r="L209" s="2">
        <v>9.350164309066464E-4</v>
      </c>
      <c r="M209" s="2">
        <v>2.7063615977428461E-3</v>
      </c>
      <c r="N209" s="2">
        <v>2.3368030918550681E-2</v>
      </c>
      <c r="O209" s="2">
        <v>4.1237171838621562E-3</v>
      </c>
      <c r="P209" s="2">
        <v>-1.232048438804062E-2</v>
      </c>
      <c r="Q209" s="15">
        <f>AVERAGE(Tableau2[[#This Row],[AWB]:[IAM]])</f>
        <v>2.1331969171570083E-3</v>
      </c>
      <c r="R209" s="15">
        <f>ABS(Tableau2[[#This Row],[Rm ]])</f>
        <v>2.1331969171570083E-3</v>
      </c>
      <c r="S209" s="15">
        <f>(Tableau2[[#This Row],[Rm ]]-Tableau2[[#Totals],[Rm ]])^2</f>
        <v>1.7997344785630851E-6</v>
      </c>
      <c r="T209" s="15">
        <f t="shared" si="6"/>
        <v>0.23424017745347842</v>
      </c>
      <c r="U209" s="15">
        <f t="shared" si="7"/>
        <v>0.36721902075084373</v>
      </c>
    </row>
    <row r="210" spans="1:21" x14ac:dyDescent="0.35">
      <c r="A210" s="10">
        <v>44658</v>
      </c>
      <c r="B210" s="2">
        <v>1.937627896313868E-2</v>
      </c>
      <c r="C210" s="2">
        <v>-6.7644000885421487E-3</v>
      </c>
      <c r="D210" s="2">
        <v>4.9748768199778283E-3</v>
      </c>
      <c r="E210" s="2">
        <v>1.1621151801772969E-3</v>
      </c>
      <c r="F210" s="2">
        <v>2.949713009043016E-2</v>
      </c>
      <c r="G210" s="2">
        <v>0.1212338648141164</v>
      </c>
      <c r="H210" s="2">
        <v>8.9768420897990114E-2</v>
      </c>
      <c r="I210" s="2">
        <v>0.18232155679395459</v>
      </c>
      <c r="J210" s="2">
        <v>3.0062775368515531E-2</v>
      </c>
      <c r="K210" s="2">
        <v>-2.1261720832790411E-2</v>
      </c>
      <c r="L210" s="2">
        <v>2.7998151747466479E-3</v>
      </c>
      <c r="M210" s="2">
        <v>-1.3057856917456701E-2</v>
      </c>
      <c r="N210" s="2">
        <v>2.0779968491745439E-2</v>
      </c>
      <c r="O210" s="2">
        <v>-2.6479186988291461E-2</v>
      </c>
      <c r="P210" s="2">
        <v>2.0450610471290841E-2</v>
      </c>
      <c r="Q210" s="15">
        <f>AVERAGE(Tableau2[[#This Row],[AWB]:[IAM]])</f>
        <v>3.0324283215933522E-2</v>
      </c>
      <c r="R210" s="15">
        <f>ABS(Tableau2[[#This Row],[Rm ]])</f>
        <v>3.0324283215933522E-2</v>
      </c>
      <c r="S210" s="15">
        <f>(Tableau2[[#This Row],[Rm ]]-Tableau2[[#Totals],[Rm ]])^2</f>
        <v>8.7217612412487228E-4</v>
      </c>
      <c r="T210" s="15">
        <f t="shared" si="6"/>
        <v>0.59548655782152116</v>
      </c>
      <c r="U210" s="15">
        <f t="shared" si="7"/>
        <v>0.23424017745347842</v>
      </c>
    </row>
    <row r="211" spans="1:21" x14ac:dyDescent="0.35">
      <c r="A211" s="10">
        <v>44664</v>
      </c>
      <c r="B211" s="2">
        <v>-1.0718216220024151E-2</v>
      </c>
      <c r="C211" s="2">
        <v>3.387919671936265E-3</v>
      </c>
      <c r="D211" s="2">
        <v>2.735979818874845E-3</v>
      </c>
      <c r="E211" s="2">
        <v>-1.1621151801772631E-3</v>
      </c>
      <c r="F211" s="2">
        <v>7.3607245505802202E-3</v>
      </c>
      <c r="G211" s="2">
        <v>-8.4866220643241647E-2</v>
      </c>
      <c r="H211" s="2">
        <v>4.1964199099032207E-2</v>
      </c>
      <c r="I211" s="2">
        <v>1.7094433359300259E-2</v>
      </c>
      <c r="J211" s="2">
        <v>3.7740327982847113E-2</v>
      </c>
      <c r="K211" s="2">
        <v>-2.0419839008742741E-2</v>
      </c>
      <c r="L211" s="2">
        <v>-2.799815174746605E-3</v>
      </c>
      <c r="M211" s="2">
        <v>-1.045977056268527E-2</v>
      </c>
      <c r="N211" s="2">
        <v>1.327905110017358E-2</v>
      </c>
      <c r="O211" s="2">
        <v>1.4056666989734221E-2</v>
      </c>
      <c r="P211" s="2">
        <v>0</v>
      </c>
      <c r="Q211" s="15">
        <f>AVERAGE(Tableau2[[#This Row],[AWB]:[IAM]])</f>
        <v>4.7955505219073518E-4</v>
      </c>
      <c r="R211" s="15">
        <f>ABS(Tableau2[[#This Row],[Rm ]])</f>
        <v>4.7955505219073518E-4</v>
      </c>
      <c r="S211" s="15">
        <f>(Tableau2[[#This Row],[Rm ]]-Tableau2[[#Totals],[Rm ]])^2</f>
        <v>9.74064325417126E-8</v>
      </c>
      <c r="T211" s="15">
        <f t="shared" si="6"/>
        <v>0.26711813959452763</v>
      </c>
      <c r="U211" s="15">
        <f t="shared" si="7"/>
        <v>0.59548655782152116</v>
      </c>
    </row>
    <row r="212" spans="1:21" x14ac:dyDescent="0.35">
      <c r="A212" s="10">
        <v>44672</v>
      </c>
      <c r="B212" s="2">
        <v>4.5156511524401359E-3</v>
      </c>
      <c r="C212" s="2">
        <v>-3.7586920194445452E-4</v>
      </c>
      <c r="D212" s="2">
        <v>-2.7359798188747492E-3</v>
      </c>
      <c r="E212" s="2">
        <v>-2.0558727021036661E-2</v>
      </c>
      <c r="F212" s="2">
        <v>5.2392000912705648E-2</v>
      </c>
      <c r="G212" s="2">
        <v>2.6433257068155431E-2</v>
      </c>
      <c r="H212" s="2">
        <v>-2.6512761206999299E-2</v>
      </c>
      <c r="I212" s="2">
        <v>-2.517295392450147E-2</v>
      </c>
      <c r="J212" s="2">
        <v>-7.4349784875180902E-3</v>
      </c>
      <c r="K212" s="2">
        <v>4.1473248206575088E-2</v>
      </c>
      <c r="L212" s="2">
        <v>7.2103293901343901E-2</v>
      </c>
      <c r="M212" s="2">
        <v>3.4270419256403922E-2</v>
      </c>
      <c r="N212" s="2">
        <v>4.5558165358606613E-3</v>
      </c>
      <c r="O212" s="2">
        <v>1.0411245084105099E-3</v>
      </c>
      <c r="P212" s="2">
        <v>8.0645598367304946E-3</v>
      </c>
      <c r="Q212" s="15">
        <f>AVERAGE(Tableau2[[#This Row],[AWB]:[IAM]])</f>
        <v>1.080387344785007E-2</v>
      </c>
      <c r="R212" s="15">
        <f>ABS(Tableau2[[#This Row],[Rm ]])</f>
        <v>1.080387344785007E-2</v>
      </c>
      <c r="S212" s="15">
        <f>(Tableau2[[#This Row],[Rm ]]-Tableau2[[#Totals],[Rm ]])^2</f>
        <v>1.0024451647923744E-4</v>
      </c>
      <c r="T212" s="15">
        <f t="shared" si="6"/>
        <v>0.34274901150815568</v>
      </c>
      <c r="U212" s="15">
        <f t="shared" si="7"/>
        <v>0.26711813959452763</v>
      </c>
    </row>
    <row r="213" spans="1:21" x14ac:dyDescent="0.35">
      <c r="A213" s="10">
        <v>44676</v>
      </c>
      <c r="B213" s="2">
        <v>4.068092538951326E-3</v>
      </c>
      <c r="C213" s="2">
        <v>7.4906717291576587E-3</v>
      </c>
      <c r="D213" s="2">
        <v>5.001686246400878E-3</v>
      </c>
      <c r="E213" s="2">
        <v>2.57776428968285E-2</v>
      </c>
      <c r="F213" s="2">
        <v>2.06677505119813E-2</v>
      </c>
      <c r="G213" s="2">
        <v>-2.6790463715997338E-2</v>
      </c>
      <c r="H213" s="2">
        <v>-2.9840175344132362E-2</v>
      </c>
      <c r="I213" s="2">
        <v>2.3148158484513179E-3</v>
      </c>
      <c r="J213" s="2">
        <v>-4.1129241003783649E-3</v>
      </c>
      <c r="K213" s="2">
        <v>-2.9600469776290751E-2</v>
      </c>
      <c r="L213" s="2">
        <v>0</v>
      </c>
      <c r="M213" s="2">
        <v>-1.6172859245600961E-2</v>
      </c>
      <c r="N213" s="2">
        <v>5.037794029957081E-3</v>
      </c>
      <c r="O213" s="2">
        <v>2.952849354749322E-2</v>
      </c>
      <c r="P213" s="2">
        <v>8.0000426670763704E-3</v>
      </c>
      <c r="Q213" s="15">
        <f>AVERAGE(Tableau2[[#This Row],[AWB]:[IAM]])</f>
        <v>9.1339855593192013E-5</v>
      </c>
      <c r="R213" s="15">
        <f>ABS(Tableau2[[#This Row],[Rm ]])</f>
        <v>9.1339855593192013E-5</v>
      </c>
      <c r="S213" s="15">
        <f>(Tableau2[[#This Row],[Rm ]]-Tableau2[[#Totals],[Rm ]])^2</f>
        <v>4.9044142516636989E-7</v>
      </c>
      <c r="T213" s="15">
        <f t="shared" si="6"/>
        <v>0.20674840667453359</v>
      </c>
      <c r="U213" s="15">
        <f t="shared" si="7"/>
        <v>0.34274901150815568</v>
      </c>
    </row>
    <row r="214" spans="1:21" x14ac:dyDescent="0.35">
      <c r="A214" s="10">
        <v>44677</v>
      </c>
      <c r="B214" s="2">
        <v>-1.2686978041425989E-2</v>
      </c>
      <c r="C214" s="2">
        <v>-1.1257154524634451E-2</v>
      </c>
      <c r="D214" s="2">
        <v>-4.7432549230863718E-3</v>
      </c>
      <c r="E214" s="2">
        <v>-2.3161562178304548E-3</v>
      </c>
      <c r="F214" s="2">
        <v>-2.2988659538291292E-2</v>
      </c>
      <c r="G214" s="2">
        <v>-1.7661298854836541E-2</v>
      </c>
      <c r="H214" s="2">
        <v>-3.0481190593365341E-3</v>
      </c>
      <c r="I214" s="2">
        <v>-2.8137846958931251E-2</v>
      </c>
      <c r="J214" s="2">
        <v>1.8928009885518859E-2</v>
      </c>
      <c r="K214" s="2">
        <v>0</v>
      </c>
      <c r="L214" s="2">
        <v>-1.740644477783989E-3</v>
      </c>
      <c r="M214" s="2">
        <v>-2.7210901143606128E-3</v>
      </c>
      <c r="N214" s="2">
        <v>1.0000083334583401E-2</v>
      </c>
      <c r="O214" s="2">
        <v>4.2343041387883848E-3</v>
      </c>
      <c r="P214" s="2">
        <v>1.1881327886752689E-2</v>
      </c>
      <c r="Q214" s="15">
        <f>AVERAGE(Tableau2[[#This Row],[AWB]:[IAM]])</f>
        <v>-4.1504984976582764E-3</v>
      </c>
      <c r="R214" s="15">
        <f>ABS(Tableau2[[#This Row],[Rm ]])</f>
        <v>4.1504984976582764E-3</v>
      </c>
      <c r="S214" s="15">
        <f>(Tableau2[[#This Row],[Rm ]]-Tableau2[[#Totals],[Rm ]])^2</f>
        <v>2.4424882067236806E-5</v>
      </c>
      <c r="T214" s="15">
        <f t="shared" si="6"/>
        <v>0.13018136575172889</v>
      </c>
      <c r="U214" s="15">
        <f t="shared" si="7"/>
        <v>0.20674840667453359</v>
      </c>
    </row>
    <row r="215" spans="1:21" x14ac:dyDescent="0.35">
      <c r="A215" s="10">
        <v>44678</v>
      </c>
      <c r="B215" s="2">
        <v>3.0250671296891771E-3</v>
      </c>
      <c r="C215" s="2">
        <v>7.518832414027319E-3</v>
      </c>
      <c r="D215" s="2">
        <v>4.7432549230864481E-3</v>
      </c>
      <c r="E215" s="2">
        <v>-2.49462679465773E-2</v>
      </c>
      <c r="F215" s="2">
        <v>4.6272470122897042E-4</v>
      </c>
      <c r="G215" s="2">
        <v>0</v>
      </c>
      <c r="H215" s="2">
        <v>5.8167418280415988E-2</v>
      </c>
      <c r="I215" s="2">
        <v>0</v>
      </c>
      <c r="J215" s="2">
        <v>-1.444202105408366E-2</v>
      </c>
      <c r="K215" s="2">
        <v>2.9392114738553889E-2</v>
      </c>
      <c r="L215" s="2">
        <v>-2.4692612590371522E-2</v>
      </c>
      <c r="M215" s="2">
        <v>0</v>
      </c>
      <c r="N215" s="2">
        <v>-3.2358738307171099E-2</v>
      </c>
      <c r="O215" s="2">
        <v>-6.0545089087062614E-3</v>
      </c>
      <c r="P215" s="2">
        <v>7.843177461026099E-3</v>
      </c>
      <c r="Q215" s="15">
        <f>AVERAGE(Tableau2[[#This Row],[AWB]:[IAM]])</f>
        <v>5.7722938940786984E-4</v>
      </c>
      <c r="R215" s="15">
        <f>ABS(Tableau2[[#This Row],[Rm ]])</f>
        <v>5.7722938940786984E-4</v>
      </c>
      <c r="S215" s="15">
        <f>(Tableau2[[#This Row],[Rm ]]-Tableau2[[#Totals],[Rm ]])^2</f>
        <v>4.5978380346964295E-8</v>
      </c>
      <c r="T215" s="15">
        <f t="shared" si="6"/>
        <v>0.20767142568719307</v>
      </c>
      <c r="U215" s="15">
        <f t="shared" si="7"/>
        <v>0.13018136575172889</v>
      </c>
    </row>
    <row r="216" spans="1:21" x14ac:dyDescent="0.35">
      <c r="A216" s="10">
        <v>44680</v>
      </c>
      <c r="B216" s="2">
        <v>3.3385416825661811E-3</v>
      </c>
      <c r="C216" s="2">
        <v>0</v>
      </c>
      <c r="D216" s="2">
        <v>-2.4719345165226838E-3</v>
      </c>
      <c r="E216" s="2">
        <v>1.0347468525424539E-2</v>
      </c>
      <c r="F216" s="2">
        <v>2.2525934837062309E-2</v>
      </c>
      <c r="G216" s="2">
        <v>-7.299302481611496E-3</v>
      </c>
      <c r="H216" s="2">
        <v>2.759542073026796E-2</v>
      </c>
      <c r="I216" s="2">
        <v>-3.7557412306463638E-2</v>
      </c>
      <c r="J216" s="2">
        <v>3.6261068448723309E-2</v>
      </c>
      <c r="K216" s="2">
        <v>-4.0179705867551263E-2</v>
      </c>
      <c r="L216" s="2">
        <v>2.207595169919983E-2</v>
      </c>
      <c r="M216" s="2">
        <v>0</v>
      </c>
      <c r="N216" s="2">
        <v>2.737119679613198E-2</v>
      </c>
      <c r="O216" s="2">
        <v>1.207258123426924E-2</v>
      </c>
      <c r="P216" s="2">
        <v>3.8986404156573229E-3</v>
      </c>
      <c r="Q216" s="15">
        <f>AVERAGE(Tableau2[[#This Row],[AWB]:[IAM]])</f>
        <v>5.198563279810239E-3</v>
      </c>
      <c r="R216" s="15">
        <f>ABS(Tableau2[[#This Row],[Rm ]])</f>
        <v>5.198563279810239E-3</v>
      </c>
      <c r="S216" s="15">
        <f>(Tableau2[[#This Row],[Rm ]]-Tableau2[[#Totals],[Rm ]])^2</f>
        <v>1.9420839808367451E-5</v>
      </c>
      <c r="T216" s="15">
        <f t="shared" si="6"/>
        <v>0.24250609728493894</v>
      </c>
      <c r="U216" s="15">
        <f t="shared" si="7"/>
        <v>0.20767142568719307</v>
      </c>
    </row>
    <row r="217" spans="1:21" x14ac:dyDescent="0.35">
      <c r="A217" s="10">
        <v>44686</v>
      </c>
      <c r="B217" s="2">
        <v>-1.0752110111965399E-4</v>
      </c>
      <c r="C217" s="2">
        <v>-3.7523496185504642E-3</v>
      </c>
      <c r="D217" s="2">
        <v>-2.5297517298782509E-3</v>
      </c>
      <c r="E217" s="2">
        <v>5.8651194523980576E-3</v>
      </c>
      <c r="F217" s="2">
        <v>9.0467585542369066E-3</v>
      </c>
      <c r="G217" s="2">
        <v>1.092907053219023E-2</v>
      </c>
      <c r="H217" s="2">
        <v>1.391211573772441E-2</v>
      </c>
      <c r="I217" s="2">
        <v>1.592195301058548E-2</v>
      </c>
      <c r="J217" s="2">
        <v>4.30725719758027E-3</v>
      </c>
      <c r="K217" s="2">
        <v>-2.171553513507795E-3</v>
      </c>
      <c r="L217" s="2">
        <v>0</v>
      </c>
      <c r="M217" s="2">
        <v>-2.728514653204062E-3</v>
      </c>
      <c r="N217" s="2">
        <v>0</v>
      </c>
      <c r="O217" s="2">
        <v>-8.0032017076904407E-4</v>
      </c>
      <c r="P217" s="2">
        <v>-1.9646997383796539E-2</v>
      </c>
      <c r="Q217" s="15">
        <f>AVERAGE(Tableau2[[#This Row],[AWB]:[IAM]])</f>
        <v>1.8830177542593027E-3</v>
      </c>
      <c r="R217" s="15">
        <f>ABS(Tableau2[[#This Row],[Rm ]])</f>
        <v>1.8830177542593027E-3</v>
      </c>
      <c r="S217" s="15">
        <f>(Tableau2[[#This Row],[Rm ]]-Tableau2[[#Totals],[Rm ]])^2</f>
        <v>1.1910724686417249E-6</v>
      </c>
      <c r="T217" s="15">
        <f t="shared" si="6"/>
        <v>7.727365512280028E-2</v>
      </c>
      <c r="U217" s="15">
        <f t="shared" si="7"/>
        <v>0.24250609728493894</v>
      </c>
    </row>
    <row r="218" spans="1:21" x14ac:dyDescent="0.35">
      <c r="A218" s="10">
        <v>44687</v>
      </c>
      <c r="B218" s="2">
        <v>-5.3908486348764233E-3</v>
      </c>
      <c r="C218" s="2">
        <v>-1.8814680997055089E-3</v>
      </c>
      <c r="D218" s="2">
        <v>0</v>
      </c>
      <c r="E218" s="2">
        <v>5.8309203107931437E-3</v>
      </c>
      <c r="F218" s="2">
        <v>8.970180993876184E-3</v>
      </c>
      <c r="G218" s="2">
        <v>6.8604710313078651E-3</v>
      </c>
      <c r="H218" s="2">
        <v>-2.6668247082161291E-2</v>
      </c>
      <c r="I218" s="2">
        <v>-1.099583467452946E-2</v>
      </c>
      <c r="J218" s="2">
        <v>8.204076691527732E-3</v>
      </c>
      <c r="K218" s="2">
        <v>0</v>
      </c>
      <c r="L218" s="2">
        <v>-2.2075951699199851E-2</v>
      </c>
      <c r="M218" s="2">
        <v>-2.7359798188747492E-3</v>
      </c>
      <c r="N218" s="2">
        <v>-1.2578782206860069E-2</v>
      </c>
      <c r="O218" s="2">
        <v>-1.2016824999040319E-3</v>
      </c>
      <c r="P218" s="2">
        <v>0</v>
      </c>
      <c r="Q218" s="15">
        <f>AVERAGE(Tableau2[[#This Row],[AWB]:[IAM]])</f>
        <v>-3.5775430459070974E-3</v>
      </c>
      <c r="R218" s="15">
        <f>ABS(Tableau2[[#This Row],[Rm ]])</f>
        <v>3.5775430459070974E-3</v>
      </c>
      <c r="S218" s="15">
        <f>(Tableau2[[#This Row],[Rm ]]-Tableau2[[#Totals],[Rm ]])^2</f>
        <v>1.9089892335991099E-5</v>
      </c>
      <c r="T218" s="15">
        <f t="shared" si="6"/>
        <v>0.11630485796000326</v>
      </c>
      <c r="U218" s="15">
        <f t="shared" si="7"/>
        <v>7.727365512280028E-2</v>
      </c>
    </row>
    <row r="219" spans="1:21" x14ac:dyDescent="0.35">
      <c r="A219" s="10">
        <v>44694</v>
      </c>
      <c r="B219" s="2">
        <v>-3.8572274786239619E-2</v>
      </c>
      <c r="C219" s="2">
        <v>-2.904292779469449E-2</v>
      </c>
      <c r="D219" s="2">
        <v>-1.1280757996452661E-2</v>
      </c>
      <c r="E219" s="2">
        <v>-2.651112554833197E-2</v>
      </c>
      <c r="F219" s="2">
        <v>-2.3946867328004811E-2</v>
      </c>
      <c r="G219" s="2">
        <v>-2.8839377750083259E-2</v>
      </c>
      <c r="H219" s="2">
        <v>-3.9274768668308258E-2</v>
      </c>
      <c r="I219" s="2">
        <v>-4.9097336649193343E-2</v>
      </c>
      <c r="J219" s="2">
        <v>-2.7004341191674872E-2</v>
      </c>
      <c r="K219" s="2">
        <v>0</v>
      </c>
      <c r="L219" s="2">
        <v>-3.6367644170874833E-2</v>
      </c>
      <c r="M219" s="2">
        <v>-4.1964199099032193E-2</v>
      </c>
      <c r="N219" s="2">
        <v>-5.9991910627975292E-2</v>
      </c>
      <c r="O219" s="2">
        <v>-2.639747185102493E-2</v>
      </c>
      <c r="P219" s="2">
        <v>-7.9681696491768449E-3</v>
      </c>
      <c r="Q219" s="15">
        <f>AVERAGE(Tableau2[[#This Row],[AWB]:[IAM]])</f>
        <v>-2.9750611540737826E-2</v>
      </c>
      <c r="R219" s="15">
        <f>ABS(Tableau2[[#This Row],[Rm ]])</f>
        <v>2.9750611540737826E-2</v>
      </c>
      <c r="S219" s="15">
        <f>(Tableau2[[#This Row],[Rm ]]-Tableau2[[#Totals],[Rm ]])^2</f>
        <v>9.3283005083946333E-4</v>
      </c>
      <c r="T219" s="15">
        <f t="shared" si="6"/>
        <v>0.15319865041560296</v>
      </c>
      <c r="U219" s="15">
        <f t="shared" si="7"/>
        <v>0.11630485796000326</v>
      </c>
    </row>
    <row r="220" spans="1:21" x14ac:dyDescent="0.35">
      <c r="A220" s="10">
        <v>44699</v>
      </c>
      <c r="B220" s="2">
        <v>2.244669853823949E-3</v>
      </c>
      <c r="C220" s="2">
        <v>-3.4958279920791879E-3</v>
      </c>
      <c r="D220" s="2">
        <v>-1.4003914034330531E-2</v>
      </c>
      <c r="E220" s="2">
        <v>-9.1461766598981108E-3</v>
      </c>
      <c r="F220" s="2">
        <v>2.8401963108694452E-2</v>
      </c>
      <c r="G220" s="2">
        <v>1.434111727065775E-2</v>
      </c>
      <c r="H220" s="2">
        <v>-1.6580837596319471E-2</v>
      </c>
      <c r="I220" s="2">
        <v>6.4308903302903323E-3</v>
      </c>
      <c r="J220" s="2">
        <v>1.052832378884583E-2</v>
      </c>
      <c r="K220" s="2">
        <v>-4.3573053689557007E-3</v>
      </c>
      <c r="L220" s="2">
        <v>-8.3682496705165792E-3</v>
      </c>
      <c r="M220" s="2">
        <v>0</v>
      </c>
      <c r="N220" s="2">
        <v>1.1758553438077919E-2</v>
      </c>
      <c r="O220" s="2">
        <v>-3.3475929196389448E-2</v>
      </c>
      <c r="P220" s="2">
        <v>-1.207258123426925E-2</v>
      </c>
      <c r="Q220" s="15">
        <f>AVERAGE(Tableau2[[#This Row],[AWB]:[IAM]])</f>
        <v>-1.8530202641578698E-3</v>
      </c>
      <c r="R220" s="15">
        <f>ABS(Tableau2[[#This Row],[Rm ]])</f>
        <v>1.8530202641578698E-3</v>
      </c>
      <c r="S220" s="15">
        <f>(Tableau2[[#This Row],[Rm ]]-Tableau2[[#Totals],[Rm ]])^2</f>
        <v>6.9943077199177177E-6</v>
      </c>
      <c r="T220" s="15">
        <f t="shared" si="6"/>
        <v>0.16381506237355337</v>
      </c>
      <c r="U220" s="15">
        <f t="shared" si="7"/>
        <v>0.15319865041560296</v>
      </c>
    </row>
    <row r="221" spans="1:21" x14ac:dyDescent="0.35">
      <c r="A221" s="10">
        <v>44701</v>
      </c>
      <c r="B221" s="2">
        <v>8.9286307443013982E-3</v>
      </c>
      <c r="C221" s="2">
        <v>-1.5686596167699511E-2</v>
      </c>
      <c r="D221" s="2">
        <v>-1.0338488034123841E-2</v>
      </c>
      <c r="E221" s="2">
        <v>-5.8917007046424249E-3</v>
      </c>
      <c r="F221" s="2">
        <v>8.8510864349406297E-3</v>
      </c>
      <c r="G221" s="2">
        <v>-1.434111727065771E-2</v>
      </c>
      <c r="H221" s="2">
        <v>-8.7549895423320798E-3</v>
      </c>
      <c r="I221" s="2">
        <v>-9.0148710962154269E-3</v>
      </c>
      <c r="J221" s="2">
        <v>-5.9136022854222682E-2</v>
      </c>
      <c r="K221" s="2">
        <v>-4.0094457201878091E-2</v>
      </c>
      <c r="L221" s="2">
        <v>6.2435470940792367E-2</v>
      </c>
      <c r="M221" s="2">
        <v>-1.7291497110060991E-2</v>
      </c>
      <c r="N221" s="2">
        <v>-9.0739880674090105E-3</v>
      </c>
      <c r="O221" s="2">
        <v>9.950330853168092E-3</v>
      </c>
      <c r="P221" s="2">
        <v>-1.632689328742867E-2</v>
      </c>
      <c r="Q221" s="15">
        <f>AVERAGE(Tableau2[[#This Row],[AWB]:[IAM]])</f>
        <v>-7.7190068242311985E-3</v>
      </c>
      <c r="R221" s="15">
        <f>ABS(Tableau2[[#This Row],[Rm ]])</f>
        <v>7.7190068242311985E-3</v>
      </c>
      <c r="S221" s="15">
        <f>(Tableau2[[#This Row],[Rm ]]-Tableau2[[#Totals],[Rm ]])^2</f>
        <v>7.2431366189472135E-5</v>
      </c>
      <c r="T221" s="15">
        <f t="shared" si="6"/>
        <v>0.23770367741378112</v>
      </c>
      <c r="U221" s="15">
        <f t="shared" si="7"/>
        <v>0.16381506237355337</v>
      </c>
    </row>
    <row r="222" spans="1:21" x14ac:dyDescent="0.35">
      <c r="A222" s="10">
        <v>44705</v>
      </c>
      <c r="B222" s="2">
        <v>-2.2472855852058628E-2</v>
      </c>
      <c r="C222" s="2">
        <v>1.9760893256687349E-4</v>
      </c>
      <c r="D222" s="2">
        <v>5.1826044994148996E-3</v>
      </c>
      <c r="E222" s="2">
        <v>-4.6520015634892817E-2</v>
      </c>
      <c r="F222" s="2">
        <v>-2.6337049847072431E-2</v>
      </c>
      <c r="G222" s="2">
        <v>-3.007745523727795E-2</v>
      </c>
      <c r="H222" s="2">
        <v>-3.6255530263027143E-2</v>
      </c>
      <c r="I222" s="2">
        <v>-3.2876070612944702E-2</v>
      </c>
      <c r="J222" s="2">
        <v>2.646657318816327E-2</v>
      </c>
      <c r="K222" s="2">
        <v>0</v>
      </c>
      <c r="L222" s="2">
        <v>-5.5920789919598618E-2</v>
      </c>
      <c r="M222" s="2">
        <v>-1.16960397631913E-2</v>
      </c>
      <c r="N222" s="2">
        <v>-3.5474388193659882E-2</v>
      </c>
      <c r="O222" s="2">
        <v>-3.5813841443087392E-2</v>
      </c>
      <c r="P222" s="2">
        <v>-2.9229638314938369E-2</v>
      </c>
      <c r="Q222" s="15">
        <f>AVERAGE(Tableau2[[#This Row],[AWB]:[IAM]])</f>
        <v>-2.205512589744028E-2</v>
      </c>
      <c r="R222" s="15">
        <f>ABS(Tableau2[[#This Row],[Rm ]])</f>
        <v>2.205512589744028E-2</v>
      </c>
      <c r="S222" s="15">
        <f>(Tableau2[[#This Row],[Rm ]]-Tableau2[[#Totals],[Rm ]])^2</f>
        <v>5.2197540141055252E-4</v>
      </c>
      <c r="T222" s="15">
        <f t="shared" si="6"/>
        <v>0.25415654109864538</v>
      </c>
      <c r="U222" s="15">
        <f t="shared" si="7"/>
        <v>0.23770367741378112</v>
      </c>
    </row>
    <row r="223" spans="1:21" x14ac:dyDescent="0.35">
      <c r="A223" s="10">
        <v>44708</v>
      </c>
      <c r="B223" s="2">
        <v>-9.1324835632724741E-3</v>
      </c>
      <c r="C223" s="2">
        <v>-8.5326442877103649E-3</v>
      </c>
      <c r="D223" s="2">
        <v>-1.557496575271876E-2</v>
      </c>
      <c r="E223" s="2">
        <v>3.7387532071620412E-2</v>
      </c>
      <c r="F223" s="2">
        <v>1.614925801078634E-2</v>
      </c>
      <c r="G223" s="2">
        <v>1.815481028037174E-2</v>
      </c>
      <c r="H223" s="2">
        <v>2.2904584600275009E-2</v>
      </c>
      <c r="I223" s="2">
        <v>6.093913667985458E-2</v>
      </c>
      <c r="J223" s="2">
        <v>-2.8768070176442631E-2</v>
      </c>
      <c r="K223" s="2">
        <v>-1.142869582362274E-2</v>
      </c>
      <c r="L223" s="2">
        <v>6.4725145056175196E-3</v>
      </c>
      <c r="M223" s="2">
        <v>-1.481508578514059E-2</v>
      </c>
      <c r="N223" s="2">
        <v>0</v>
      </c>
      <c r="O223" s="2">
        <v>-1.8066144588969608E-2</v>
      </c>
      <c r="P223" s="2">
        <v>1.6807118316381191E-2</v>
      </c>
      <c r="Q223" s="15">
        <f>AVERAGE(Tableau2[[#This Row],[AWB]:[IAM]])</f>
        <v>4.8331242991353071E-3</v>
      </c>
      <c r="R223" s="15">
        <f>ABS(Tableau2[[#This Row],[Rm ]])</f>
        <v>4.8331242991353071E-3</v>
      </c>
      <c r="S223" s="15">
        <f>(Tableau2[[#This Row],[Rm ]]-Tableau2[[#Totals],[Rm ]])^2</f>
        <v>1.6333473382099867E-5</v>
      </c>
      <c r="T223" s="15">
        <f t="shared" si="6"/>
        <v>0.27879044099248973</v>
      </c>
      <c r="U223" s="15">
        <f t="shared" si="7"/>
        <v>0.25415654109864538</v>
      </c>
    </row>
    <row r="224" spans="1:21" x14ac:dyDescent="0.35">
      <c r="A224" s="10">
        <v>44715</v>
      </c>
      <c r="B224" s="2">
        <v>3.3825096153644103E-2</v>
      </c>
      <c r="C224" s="2">
        <v>2.7905131549240781E-2</v>
      </c>
      <c r="D224" s="2">
        <v>2.0730849287427591E-2</v>
      </c>
      <c r="E224" s="2">
        <v>2.4170360927812971E-2</v>
      </c>
      <c r="F224" s="2">
        <v>9.744855654357544E-3</v>
      </c>
      <c r="G224" s="2">
        <v>-6.5838716349991319E-2</v>
      </c>
      <c r="H224" s="2">
        <v>2.2391690314900969E-2</v>
      </c>
      <c r="I224" s="2">
        <v>6.6894234830030222E-2</v>
      </c>
      <c r="J224" s="2">
        <v>-9.2593254127967123E-3</v>
      </c>
      <c r="K224" s="2">
        <v>0</v>
      </c>
      <c r="L224" s="2">
        <v>-5.5453007164252641E-3</v>
      </c>
      <c r="M224" s="2">
        <v>4.380262265839284E-2</v>
      </c>
      <c r="N224" s="2">
        <v>-1.5113637810048181E-2</v>
      </c>
      <c r="O224" s="2">
        <v>3.5597163853480072E-2</v>
      </c>
      <c r="P224" s="2">
        <v>-4.1753714104807334E-3</v>
      </c>
      <c r="Q224" s="15">
        <f>AVERAGE(Tableau2[[#This Row],[AWB]:[IAM]])</f>
        <v>1.2341976901969658E-2</v>
      </c>
      <c r="R224" s="15">
        <f>ABS(Tableau2[[#This Row],[Rm ]])</f>
        <v>1.2341976901969658E-2</v>
      </c>
      <c r="S224" s="15">
        <f>(Tableau2[[#This Row],[Rm ]]-Tableau2[[#Totals],[Rm ]])^2</f>
        <v>1.334099339992477E-4</v>
      </c>
      <c r="T224" s="15">
        <f t="shared" si="6"/>
        <v>0.3377464769600575</v>
      </c>
      <c r="U224" s="15">
        <f t="shared" si="7"/>
        <v>0.27879044099248973</v>
      </c>
    </row>
    <row r="225" spans="1:21" x14ac:dyDescent="0.35">
      <c r="A225" s="10">
        <v>44720</v>
      </c>
      <c r="B225" s="2">
        <v>9.9283771973346924E-3</v>
      </c>
      <c r="C225" s="2">
        <v>1.5384918839479461E-2</v>
      </c>
      <c r="D225" s="2">
        <v>0</v>
      </c>
      <c r="E225" s="2">
        <v>0</v>
      </c>
      <c r="F225" s="2">
        <v>2.1993258904288858E-3</v>
      </c>
      <c r="G225" s="2">
        <v>8.0032017076911573E-4</v>
      </c>
      <c r="H225" s="2">
        <v>-1.438873745209956E-2</v>
      </c>
      <c r="I225" s="2">
        <v>1.7493157447517119E-2</v>
      </c>
      <c r="J225" s="2">
        <v>-3.8767203431837571E-4</v>
      </c>
      <c r="K225" s="2">
        <v>1.142869582362285E-2</v>
      </c>
      <c r="L225" s="2">
        <v>1.9275493528327171E-2</v>
      </c>
      <c r="M225" s="2">
        <v>5.6980211146377959E-3</v>
      </c>
      <c r="N225" s="2">
        <v>3.1642939761258787E-2</v>
      </c>
      <c r="O225" s="2">
        <v>8.332491325408968E-3</v>
      </c>
      <c r="P225" s="2">
        <v>0</v>
      </c>
      <c r="Q225" s="15">
        <f>AVERAGE(Tableau2[[#This Row],[AWB]:[IAM]])</f>
        <v>7.1604887741577939E-3</v>
      </c>
      <c r="R225" s="15">
        <f>ABS(Tableau2[[#This Row],[Rm ]])</f>
        <v>7.1604887741577939E-3</v>
      </c>
      <c r="S225" s="15">
        <f>(Tableau2[[#This Row],[Rm ]]-Tableau2[[#Totals],[Rm ]])^2</f>
        <v>4.0562042518069864E-5</v>
      </c>
      <c r="T225" s="15">
        <f t="shared" si="6"/>
        <v>0.12004218215180838</v>
      </c>
      <c r="U225" s="15">
        <f t="shared" si="7"/>
        <v>0.3377464769600575</v>
      </c>
    </row>
    <row r="226" spans="1:21" x14ac:dyDescent="0.35">
      <c r="A226" s="10">
        <v>44722</v>
      </c>
      <c r="B226" s="2">
        <v>-1.2081938973132289E-3</v>
      </c>
      <c r="C226" s="2">
        <v>-7.6628727455691371E-3</v>
      </c>
      <c r="D226" s="2">
        <v>-1.0338488034123841E-2</v>
      </c>
      <c r="E226" s="2">
        <v>0</v>
      </c>
      <c r="F226" s="2">
        <v>1.137064572637235E-2</v>
      </c>
      <c r="G226" s="2">
        <v>-7.6290271644911629E-3</v>
      </c>
      <c r="H226" s="2">
        <v>0</v>
      </c>
      <c r="I226" s="2">
        <v>-1.8670320620531991E-2</v>
      </c>
      <c r="J226" s="2">
        <v>-3.4958279920791879E-3</v>
      </c>
      <c r="K226" s="2">
        <v>-7.7961541469711806E-2</v>
      </c>
      <c r="L226" s="2">
        <v>9.0498355199178562E-3</v>
      </c>
      <c r="M226" s="2">
        <v>0</v>
      </c>
      <c r="N226" s="2">
        <v>-2.770260254933582E-2</v>
      </c>
      <c r="O226" s="2">
        <v>-2.1506205220963619E-2</v>
      </c>
      <c r="P226" s="2">
        <v>-8.4034107963795041E-3</v>
      </c>
      <c r="Q226" s="15">
        <f>AVERAGE(Tableau2[[#This Row],[AWB]:[IAM]])</f>
        <v>-1.0943867282947273E-2</v>
      </c>
      <c r="R226" s="15">
        <f>ABS(Tableau2[[#This Row],[Rm ]])</f>
        <v>1.0943867282947273E-2</v>
      </c>
      <c r="S226" s="15">
        <f>(Tableau2[[#This Row],[Rm ]]-Tableau2[[#Totals],[Rm ]])^2</f>
        <v>1.3772248532613202E-4</v>
      </c>
      <c r="T226" s="15">
        <f t="shared" si="6"/>
        <v>0.20175930873671169</v>
      </c>
      <c r="U226" s="15">
        <f t="shared" si="7"/>
        <v>0.12004218215180838</v>
      </c>
    </row>
    <row r="227" spans="1:21" x14ac:dyDescent="0.35">
      <c r="A227" s="10">
        <v>44725</v>
      </c>
      <c r="B227" s="2">
        <v>-1.7628928189131001E-2</v>
      </c>
      <c r="C227" s="2">
        <v>0</v>
      </c>
      <c r="D227" s="2">
        <v>0</v>
      </c>
      <c r="E227" s="2">
        <v>-5.2375727662484096E-3</v>
      </c>
      <c r="F227" s="2">
        <v>-1.3127035434872781E-2</v>
      </c>
      <c r="G227" s="2">
        <v>1.208459361568327E-3</v>
      </c>
      <c r="H227" s="2">
        <v>-1.5187207793528159E-2</v>
      </c>
      <c r="I227" s="2">
        <v>-4.0871073070484563E-2</v>
      </c>
      <c r="J227" s="2">
        <v>-2.337359848704926E-3</v>
      </c>
      <c r="K227" s="2">
        <v>4.3275983481821871E-2</v>
      </c>
      <c r="L227" s="2">
        <v>0</v>
      </c>
      <c r="M227" s="2">
        <v>-1.7192400540372871E-2</v>
      </c>
      <c r="N227" s="2">
        <v>1.117330059812525E-2</v>
      </c>
      <c r="O227" s="2">
        <v>-8.7336799687545534E-3</v>
      </c>
      <c r="P227" s="2">
        <v>-1.273902577742983E-2</v>
      </c>
      <c r="Q227" s="15">
        <f>AVERAGE(Tableau2[[#This Row],[AWB]:[IAM]])</f>
        <v>-5.1597693298674439E-3</v>
      </c>
      <c r="R227" s="15">
        <f>ABS(Tableau2[[#This Row],[Rm ]])</f>
        <v>5.1597693298674439E-3</v>
      </c>
      <c r="S227" s="15">
        <f>(Tableau2[[#This Row],[Rm ]]-Tableau2[[#Totals],[Rm ]])^2</f>
        <v>3.5419452605203717E-5</v>
      </c>
      <c r="T227" s="15">
        <f t="shared" si="6"/>
        <v>0.17180356511937372</v>
      </c>
      <c r="U227" s="15">
        <f t="shared" si="7"/>
        <v>0.20175930873671169</v>
      </c>
    </row>
    <row r="228" spans="1:21" x14ac:dyDescent="0.35">
      <c r="A228" s="10">
        <v>44726</v>
      </c>
      <c r="B228" s="2">
        <v>-2.72125635248847E-2</v>
      </c>
      <c r="C228" s="2">
        <v>-2.7292142288007509E-2</v>
      </c>
      <c r="D228" s="2">
        <v>-4.6712748369516282E-3</v>
      </c>
      <c r="E228" s="2">
        <v>-4.2667908223908979E-2</v>
      </c>
      <c r="F228" s="2">
        <v>3.9553446417822441E-3</v>
      </c>
      <c r="G228" s="2">
        <v>-3.7740327982846968E-2</v>
      </c>
      <c r="H228" s="2">
        <v>-6.1756442189479267E-2</v>
      </c>
      <c r="I228" s="2">
        <v>-6.0701311873606632E-2</v>
      </c>
      <c r="J228" s="2">
        <v>-2.527780718426843E-2</v>
      </c>
      <c r="K228" s="2">
        <v>2.5553074424617489E-2</v>
      </c>
      <c r="L228" s="2">
        <v>0</v>
      </c>
      <c r="M228" s="2">
        <v>-2.2801338593244291E-2</v>
      </c>
      <c r="N228" s="2">
        <v>-1.6807118316381289E-2</v>
      </c>
      <c r="O228" s="2">
        <v>-6.1735435910454647E-2</v>
      </c>
      <c r="P228" s="2">
        <v>1.273902577742971E-2</v>
      </c>
      <c r="Q228" s="15">
        <f>AVERAGE(Tableau2[[#This Row],[AWB]:[IAM]])</f>
        <v>-2.3094415072013659E-2</v>
      </c>
      <c r="R228" s="15">
        <f>ABS(Tableau2[[#This Row],[Rm ]])</f>
        <v>2.3094415072013659E-2</v>
      </c>
      <c r="S228" s="15">
        <f>(Tableau2[[#This Row],[Rm ]]-Tableau2[[#Totals],[Rm ]])^2</f>
        <v>5.7054434770360319E-4</v>
      </c>
      <c r="T228" s="15">
        <f t="shared" si="6"/>
        <v>0.28581269240988189</v>
      </c>
      <c r="U228" s="15">
        <f t="shared" si="7"/>
        <v>0.17180356511937372</v>
      </c>
    </row>
    <row r="229" spans="1:21" x14ac:dyDescent="0.35">
      <c r="A229" s="10">
        <v>44727</v>
      </c>
      <c r="B229" s="2">
        <v>3.1565491878133407E-2</v>
      </c>
      <c r="C229" s="2">
        <v>0</v>
      </c>
      <c r="D229" s="2">
        <v>-5.3832903970163395E-4</v>
      </c>
      <c r="E229" s="2">
        <v>2.7733233153915422E-2</v>
      </c>
      <c r="F229" s="2">
        <v>-1.280643107672283E-2</v>
      </c>
      <c r="G229" s="2">
        <v>2.1915286838449951E-2</v>
      </c>
      <c r="H229" s="2">
        <v>-4.6288990440940689E-2</v>
      </c>
      <c r="I229" s="2">
        <v>-1.5769052118231468E-2</v>
      </c>
      <c r="J229" s="2">
        <v>-8.0321716972642666E-3</v>
      </c>
      <c r="K229" s="2">
        <v>2.9380644393219961E-2</v>
      </c>
      <c r="L229" s="2">
        <v>0</v>
      </c>
      <c r="M229" s="2">
        <v>5.3081811457272206E-3</v>
      </c>
      <c r="N229" s="2">
        <v>-5.6657375356773077E-3</v>
      </c>
      <c r="O229" s="2">
        <v>3.9561578416132649E-2</v>
      </c>
      <c r="P229" s="2">
        <v>-1.273902577742983E-2</v>
      </c>
      <c r="Q229" s="15">
        <f>AVERAGE(Tableau2[[#This Row],[AWB]:[IAM]])</f>
        <v>3.5749785426407066E-3</v>
      </c>
      <c r="R229" s="15">
        <f>ABS(Tableau2[[#This Row],[Rm ]])</f>
        <v>3.5749785426407066E-3</v>
      </c>
      <c r="S229" s="15">
        <f>(Tableau2[[#This Row],[Rm ]]-Tableau2[[#Totals],[Rm ]])^2</f>
        <v>7.7468894514624997E-6</v>
      </c>
      <c r="T229" s="15">
        <f t="shared" si="6"/>
        <v>0.25280268510740295</v>
      </c>
      <c r="U229" s="15">
        <f t="shared" si="7"/>
        <v>0.28581269240988189</v>
      </c>
    </row>
    <row r="230" spans="1:21" x14ac:dyDescent="0.35">
      <c r="A230" s="10">
        <v>44728</v>
      </c>
      <c r="B230" s="2">
        <v>-1.968235387445632E-2</v>
      </c>
      <c r="C230" s="2">
        <v>7.8740564309058656E-3</v>
      </c>
      <c r="D230" s="2">
        <v>-5.1827573766504674E-3</v>
      </c>
      <c r="E230" s="2">
        <v>-1.8413443105732591E-2</v>
      </c>
      <c r="F230" s="2">
        <v>6.6434070264287616E-3</v>
      </c>
      <c r="G230" s="2">
        <v>-1.8576385572935419E-2</v>
      </c>
      <c r="H230" s="2">
        <v>-1.6529301951210579E-2</v>
      </c>
      <c r="I230" s="2">
        <v>6.6006840313520944E-3</v>
      </c>
      <c r="J230" s="2">
        <v>1.202419296680181E-2</v>
      </c>
      <c r="K230" s="2">
        <v>-5.9650708695976287E-2</v>
      </c>
      <c r="L230" s="2">
        <v>-5.4200674693391446E-3</v>
      </c>
      <c r="M230" s="2">
        <v>5.8651194523980576E-3</v>
      </c>
      <c r="N230" s="2">
        <v>-2.8449521322312511E-3</v>
      </c>
      <c r="O230" s="2">
        <v>-3.6068735186434463E-2</v>
      </c>
      <c r="P230" s="2">
        <v>-8.5837436913914419E-3</v>
      </c>
      <c r="Q230" s="15">
        <f>AVERAGE(Tableau2[[#This Row],[AWB]:[IAM]])</f>
        <v>-1.0129665943231425E-2</v>
      </c>
      <c r="R230" s="15">
        <f>ABS(Tableau2[[#This Row],[Rm ]])</f>
        <v>1.0129665943231425E-2</v>
      </c>
      <c r="S230" s="15">
        <f>(Tableau2[[#This Row],[Rm ]]-Tableau2[[#Totals],[Rm ]])^2</f>
        <v>1.192752530738514E-4</v>
      </c>
      <c r="T230" s="15">
        <f t="shared" si="6"/>
        <v>0.21484300468633019</v>
      </c>
      <c r="U230" s="15">
        <f t="shared" si="7"/>
        <v>0.25280268510740295</v>
      </c>
    </row>
    <row r="231" spans="1:21" x14ac:dyDescent="0.35">
      <c r="A231" s="10">
        <v>44729</v>
      </c>
      <c r="B231" s="2">
        <v>-1.1883138003677129E-2</v>
      </c>
      <c r="C231" s="2">
        <v>-7.874056430905883E-3</v>
      </c>
      <c r="D231" s="2">
        <v>-1.5821388395313121E-2</v>
      </c>
      <c r="E231" s="2">
        <v>0</v>
      </c>
      <c r="F231" s="2">
        <v>-2.0068683800994681E-2</v>
      </c>
      <c r="G231" s="2">
        <v>0</v>
      </c>
      <c r="H231" s="2">
        <v>0</v>
      </c>
      <c r="I231" s="2">
        <v>1.3072081567352919E-2</v>
      </c>
      <c r="J231" s="2">
        <v>1.972450534777857E-2</v>
      </c>
      <c r="K231" s="2">
        <v>-5.5907631938295947E-2</v>
      </c>
      <c r="L231" s="2">
        <v>-3.1281299381088791E-2</v>
      </c>
      <c r="M231" s="2">
        <v>-5.8651194523981339E-3</v>
      </c>
      <c r="N231" s="2">
        <v>-4.3675063502661531E-2</v>
      </c>
      <c r="O231" s="2">
        <v>-4.6500814602158739E-4</v>
      </c>
      <c r="P231" s="2">
        <v>-4.3196611445162842E-3</v>
      </c>
      <c r="Q231" s="15">
        <f>AVERAGE(Tableau2[[#This Row],[AWB]:[IAM]])</f>
        <v>-1.0957630885382773E-2</v>
      </c>
      <c r="R231" s="15">
        <f>ABS(Tableau2[[#This Row],[Rm ]])</f>
        <v>1.0957630885382773E-2</v>
      </c>
      <c r="S231" s="15">
        <f>(Tableau2[[#This Row],[Rm ]]-Tableau2[[#Totals],[Rm ]])^2</f>
        <v>1.3804572089146566E-4</v>
      </c>
      <c r="T231" s="15">
        <f t="shared" si="6"/>
        <v>0.2195874009946604</v>
      </c>
      <c r="U231" s="15">
        <f t="shared" si="7"/>
        <v>0.21484300468633019</v>
      </c>
    </row>
    <row r="232" spans="1:21" x14ac:dyDescent="0.35">
      <c r="A232" s="10">
        <v>44734</v>
      </c>
      <c r="B232" s="2">
        <v>-1.388911216066715E-2</v>
      </c>
      <c r="C232" s="2">
        <v>-7.9365495957363034E-3</v>
      </c>
      <c r="D232" s="2">
        <v>0</v>
      </c>
      <c r="E232" s="2">
        <v>-7.7552362525983689E-3</v>
      </c>
      <c r="F232" s="2">
        <v>-1.3603333793084709E-2</v>
      </c>
      <c r="G232" s="2">
        <v>-6.2696130135953734E-3</v>
      </c>
      <c r="H232" s="2">
        <v>1.291622526654645E-2</v>
      </c>
      <c r="I232" s="2">
        <v>0</v>
      </c>
      <c r="J232" s="2">
        <v>-3.1748698314580298E-2</v>
      </c>
      <c r="K232" s="2">
        <v>2.4692612590371411E-2</v>
      </c>
      <c r="L232" s="2">
        <v>-1.8868484304382808E-2</v>
      </c>
      <c r="M232" s="2">
        <v>-1.18344576470028E-2</v>
      </c>
      <c r="N232" s="2">
        <v>8.8889474172459942E-3</v>
      </c>
      <c r="O232" s="2">
        <v>-9.345862418237658E-3</v>
      </c>
      <c r="P232" s="2">
        <v>0</v>
      </c>
      <c r="Q232" s="15">
        <f>AVERAGE(Tableau2[[#This Row],[AWB]:[IAM]])</f>
        <v>-4.9835708150481077E-3</v>
      </c>
      <c r="R232" s="15">
        <f>ABS(Tableau2[[#This Row],[Rm ]])</f>
        <v>4.9835708150481077E-3</v>
      </c>
      <c r="S232" s="15">
        <f>(Tableau2[[#This Row],[Rm ]]-Tableau2[[#Totals],[Rm ]])^2</f>
        <v>3.3353234234745678E-5</v>
      </c>
      <c r="T232" s="15">
        <f t="shared" si="6"/>
        <v>0.14814708756819342</v>
      </c>
      <c r="U232" s="15">
        <f t="shared" si="7"/>
        <v>0.2195874009946604</v>
      </c>
    </row>
    <row r="233" spans="1:21" x14ac:dyDescent="0.35">
      <c r="A233" s="10">
        <v>44735</v>
      </c>
      <c r="B233" s="2">
        <v>-9.3677500036001594E-3</v>
      </c>
      <c r="C233" s="2">
        <v>-8.0000426670762646E-3</v>
      </c>
      <c r="D233" s="2">
        <v>-5.3483434632836226E-3</v>
      </c>
      <c r="E233" s="2">
        <v>-3.3316282653495503E-2</v>
      </c>
      <c r="F233" s="2">
        <v>4.0995421144575236E-3</v>
      </c>
      <c r="G233" s="2">
        <v>5.0188311119427646E-3</v>
      </c>
      <c r="H233" s="2">
        <v>-4.3375432751254807E-2</v>
      </c>
      <c r="I233" s="2">
        <v>3.8885337396923751E-3</v>
      </c>
      <c r="J233" s="2">
        <v>-4.115807249350744E-2</v>
      </c>
      <c r="K233" s="2">
        <v>4.7628048989254657E-2</v>
      </c>
      <c r="L233" s="2">
        <v>-2.8987536873252302E-2</v>
      </c>
      <c r="M233" s="2">
        <v>1.18344576470028E-2</v>
      </c>
      <c r="N233" s="2">
        <v>-2.086513846396168E-2</v>
      </c>
      <c r="O233" s="2">
        <v>-3.8282186571016917E-2</v>
      </c>
      <c r="P233" s="2">
        <v>-1.746769304039095E-2</v>
      </c>
      <c r="Q233" s="15">
        <f>AVERAGE(Tableau2[[#This Row],[AWB]:[IAM]])</f>
        <v>-1.15799376918993E-2</v>
      </c>
      <c r="R233" s="15">
        <f>ABS(Tableau2[[#This Row],[Rm ]])</f>
        <v>1.15799376918993E-2</v>
      </c>
      <c r="S233" s="15">
        <f>(Tableau2[[#This Row],[Rm ]]-Tableau2[[#Totals],[Rm ]])^2</f>
        <v>1.5305630791917095E-4</v>
      </c>
      <c r="T233" s="15">
        <f t="shared" si="6"/>
        <v>0.27929031968191009</v>
      </c>
      <c r="U233" s="15">
        <f t="shared" si="7"/>
        <v>0.14814708756819342</v>
      </c>
    </row>
    <row r="234" spans="1:21" x14ac:dyDescent="0.35">
      <c r="A234" s="10">
        <v>44736</v>
      </c>
      <c r="B234" s="2">
        <v>2.3256862164267179E-2</v>
      </c>
      <c r="C234" s="2">
        <v>2.3810648693718611E-2</v>
      </c>
      <c r="D234" s="2">
        <v>0</v>
      </c>
      <c r="E234" s="2">
        <v>3.1751728857911207E-2</v>
      </c>
      <c r="F234" s="2">
        <v>-2.346244581474562E-2</v>
      </c>
      <c r="G234" s="2">
        <v>-7.1174677688638777E-3</v>
      </c>
      <c r="H234" s="2">
        <v>-3.4423441909729019E-3</v>
      </c>
      <c r="I234" s="2">
        <v>-1.040321476088615E-2</v>
      </c>
      <c r="J234" s="2">
        <v>-6.0624621816434847E-2</v>
      </c>
      <c r="K234" s="2">
        <v>0</v>
      </c>
      <c r="L234" s="2">
        <v>5.808391136089152E-2</v>
      </c>
      <c r="M234" s="2">
        <v>-2.3810648693718559E-2</v>
      </c>
      <c r="N234" s="2">
        <v>2.3810648693718611E-2</v>
      </c>
      <c r="O234" s="2">
        <v>3.593200922606337E-2</v>
      </c>
      <c r="P234" s="2">
        <v>4.3956114730381293E-3</v>
      </c>
      <c r="Q234" s="15">
        <f>AVERAGE(Tableau2[[#This Row],[AWB]:[IAM]])</f>
        <v>4.8120451615991117E-3</v>
      </c>
      <c r="R234" s="15">
        <f>ABS(Tableau2[[#This Row],[Rm ]])</f>
        <v>4.8120451615991117E-3</v>
      </c>
      <c r="S234" s="15">
        <f>(Tableau2[[#This Row],[Rm ]]-Tableau2[[#Totals],[Rm ]])^2</f>
        <v>1.61635363414523E-5</v>
      </c>
      <c r="T234" s="15">
        <f t="shared" si="6"/>
        <v>0.33515840461129476</v>
      </c>
      <c r="U234" s="15">
        <f t="shared" si="7"/>
        <v>0.27929031968191009</v>
      </c>
    </row>
    <row r="235" spans="1:21" x14ac:dyDescent="0.35">
      <c r="A235" s="10">
        <v>44742</v>
      </c>
      <c r="B235" s="2">
        <v>-1.505529305084961E-2</v>
      </c>
      <c r="C235" s="2">
        <v>-3.9223377635636442E-4</v>
      </c>
      <c r="D235" s="2">
        <v>0</v>
      </c>
      <c r="E235" s="2">
        <v>-6.2828089685036679E-3</v>
      </c>
      <c r="F235" s="2">
        <v>-5.2079059852982112E-2</v>
      </c>
      <c r="G235" s="2">
        <v>-5.4771571515364256E-3</v>
      </c>
      <c r="H235" s="2">
        <v>1.709443335930004E-2</v>
      </c>
      <c r="I235" s="2">
        <v>6.5146810211936723E-3</v>
      </c>
      <c r="J235" s="2">
        <v>0.1217434368724805</v>
      </c>
      <c r="K235" s="2">
        <v>-2.3530497410194161E-2</v>
      </c>
      <c r="L235" s="2">
        <v>-9.2549752094292124E-4</v>
      </c>
      <c r="M235" s="2">
        <v>2.3810648693718611E-2</v>
      </c>
      <c r="N235" s="2">
        <v>0</v>
      </c>
      <c r="O235" s="2">
        <v>3.4685557987890109E-2</v>
      </c>
      <c r="P235" s="2">
        <v>-1.324522675002068E-2</v>
      </c>
      <c r="Q235" s="15">
        <f>AVERAGE(Tableau2[[#This Row],[AWB]:[IAM]])</f>
        <v>5.790732230213134E-3</v>
      </c>
      <c r="R235" s="15">
        <f>ABS(Tableau2[[#This Row],[Rm ]])</f>
        <v>5.790732230213134E-3</v>
      </c>
      <c r="S235" s="15">
        <f>(Tableau2[[#This Row],[Rm ]]-Tableau2[[#Totals],[Rm ]])^2</f>
        <v>2.4990772270761415E-5</v>
      </c>
      <c r="T235" s="15">
        <f t="shared" si="6"/>
        <v>0.33202329851881635</v>
      </c>
      <c r="U235" s="15">
        <f t="shared" si="7"/>
        <v>0.33515840461129476</v>
      </c>
    </row>
    <row r="236" spans="1:21" x14ac:dyDescent="0.35">
      <c r="A236" s="10">
        <v>44743</v>
      </c>
      <c r="B236" s="2">
        <v>-8.2015691134176335E-3</v>
      </c>
      <c r="C236" s="2">
        <v>-3.961310083734277E-2</v>
      </c>
      <c r="D236" s="2">
        <v>-1.078327385026448E-2</v>
      </c>
      <c r="E236" s="2">
        <v>-2.546891988940753E-2</v>
      </c>
      <c r="F236" s="2">
        <v>-6.1698050908535161E-2</v>
      </c>
      <c r="G236" s="2">
        <v>2.585631948818852E-2</v>
      </c>
      <c r="H236" s="2">
        <v>-6.1695109838576283E-2</v>
      </c>
      <c r="I236" s="2">
        <v>-3.0325329714912291E-2</v>
      </c>
      <c r="J236" s="2">
        <v>-2.8057952795157381E-2</v>
      </c>
      <c r="K236" s="2">
        <v>-4.8790164169432063E-2</v>
      </c>
      <c r="L236" s="2">
        <v>-3.7740327982847093E-2</v>
      </c>
      <c r="M236" s="2">
        <v>-4.204823624349939E-2</v>
      </c>
      <c r="N236" s="2">
        <v>-4.204823624349939E-2</v>
      </c>
      <c r="O236" s="2">
        <v>-6.1633653444941067E-2</v>
      </c>
      <c r="P236" s="2">
        <v>1.324522675002072E-2</v>
      </c>
      <c r="Q236" s="15">
        <f>AVERAGE(Tableau2[[#This Row],[AWB]:[IAM]])</f>
        <v>-3.0600158586241551E-2</v>
      </c>
      <c r="R236" s="15">
        <f>ABS(Tableau2[[#This Row],[Rm ]])</f>
        <v>3.0600158586241551E-2</v>
      </c>
      <c r="S236" s="15">
        <f>(Tableau2[[#This Row],[Rm ]]-Tableau2[[#Totals],[Rm ]])^2</f>
        <v>9.8544596577736622E-4</v>
      </c>
      <c r="T236" s="15">
        <f t="shared" si="6"/>
        <v>0.2600088623103034</v>
      </c>
      <c r="U236" s="15">
        <f t="shared" si="7"/>
        <v>0.33202329851881635</v>
      </c>
    </row>
    <row r="237" spans="1:21" x14ac:dyDescent="0.35">
      <c r="A237" s="10">
        <v>44747</v>
      </c>
      <c r="B237" s="2">
        <v>-3.5932009226063329E-2</v>
      </c>
      <c r="C237" s="2">
        <v>4.0733253876358688E-3</v>
      </c>
      <c r="D237" s="2">
        <v>0</v>
      </c>
      <c r="E237" s="2">
        <v>-1.6262110668675781E-2</v>
      </c>
      <c r="F237" s="2">
        <v>-7.0224001510752393E-2</v>
      </c>
      <c r="G237" s="2">
        <v>-4.5388978274344674E-3</v>
      </c>
      <c r="H237" s="2">
        <v>-4.5550420515021263E-2</v>
      </c>
      <c r="I237" s="2">
        <v>-1.2121360532344741E-2</v>
      </c>
      <c r="J237" s="2">
        <v>-2.4692612590371522E-2</v>
      </c>
      <c r="K237" s="2">
        <v>-5.1293294387550578E-2</v>
      </c>
      <c r="L237" s="2">
        <v>9.5694510161506725E-3</v>
      </c>
      <c r="M237" s="2">
        <v>-4.5819121966809651E-2</v>
      </c>
      <c r="N237" s="2">
        <v>-1.2345835822299381E-2</v>
      </c>
      <c r="O237" s="2">
        <v>-1.338382309162142E-2</v>
      </c>
      <c r="P237" s="2">
        <v>4.3763745997987824E-3</v>
      </c>
      <c r="Q237" s="15">
        <f>AVERAGE(Tableau2[[#This Row],[AWB]:[IAM]])</f>
        <v>-2.0942955809023944E-2</v>
      </c>
      <c r="R237" s="15">
        <f>ABS(Tableau2[[#This Row],[Rm ]])</f>
        <v>2.0942955809023944E-2</v>
      </c>
      <c r="S237" s="15">
        <f>(Tableau2[[#This Row],[Rm ]]-Tableau2[[#Totals],[Rm ]])^2</f>
        <v>4.7239331085823346E-4</v>
      </c>
      <c r="T237" s="15">
        <f t="shared" si="6"/>
        <v>0.27207607563661562</v>
      </c>
      <c r="U237" s="15">
        <f t="shared" si="7"/>
        <v>0.2600088623103034</v>
      </c>
    </row>
    <row r="238" spans="1:21" x14ac:dyDescent="0.35">
      <c r="A238" s="10">
        <v>44748</v>
      </c>
      <c r="B238" s="2">
        <v>1.212136053234482E-2</v>
      </c>
      <c r="C238" s="2">
        <v>2.409755157906052E-2</v>
      </c>
      <c r="D238" s="2">
        <v>2.0083107005968898E-2</v>
      </c>
      <c r="E238" s="2">
        <v>6.5496697330707336E-3</v>
      </c>
      <c r="F238" s="2">
        <v>-4.8149140053979023E-2</v>
      </c>
      <c r="G238" s="2">
        <v>-4.5693227658898737E-2</v>
      </c>
      <c r="H238" s="2">
        <v>1.850693067807381E-2</v>
      </c>
      <c r="I238" s="2">
        <v>9.4403937790871265E-3</v>
      </c>
      <c r="J238" s="2">
        <v>0</v>
      </c>
      <c r="K238" s="2">
        <v>2.597548640326074E-2</v>
      </c>
      <c r="L238" s="2">
        <v>6.6445427186685108E-3</v>
      </c>
      <c r="M238" s="2">
        <v>-1.097847642632351E-2</v>
      </c>
      <c r="N238" s="2">
        <v>4.5531384807953337E-2</v>
      </c>
      <c r="O238" s="2">
        <v>4.3999093226092037E-3</v>
      </c>
      <c r="P238" s="2">
        <v>0</v>
      </c>
      <c r="Q238" s="15">
        <f>AVERAGE(Tableau2[[#This Row],[AWB]:[IAM]])</f>
        <v>4.5686328280597618E-3</v>
      </c>
      <c r="R238" s="15">
        <f>ABS(Tableau2[[#This Row],[Rm ]])</f>
        <v>4.5686328280597618E-3</v>
      </c>
      <c r="S238" s="15">
        <f>(Tableau2[[#This Row],[Rm ]]-Tableau2[[#Totals],[Rm ]])^2</f>
        <v>1.4265560846612826E-5</v>
      </c>
      <c r="T238" s="15">
        <f t="shared" si="6"/>
        <v>0.2514014062637121</v>
      </c>
      <c r="U238" s="15">
        <f t="shared" si="7"/>
        <v>0.27207607563661562</v>
      </c>
    </row>
    <row r="239" spans="1:21" x14ac:dyDescent="0.35">
      <c r="A239" s="10">
        <v>44750</v>
      </c>
      <c r="B239" s="2">
        <v>2.4045915134046251E-2</v>
      </c>
      <c r="C239" s="2">
        <v>1.18344576470028E-2</v>
      </c>
      <c r="D239" s="2">
        <v>-2.0083107005968909E-2</v>
      </c>
      <c r="E239" s="2">
        <v>9.7124409356051187E-3</v>
      </c>
      <c r="F239" s="2">
        <v>7.7378544535925742E-2</v>
      </c>
      <c r="G239" s="2">
        <v>4.3280675854152082E-4</v>
      </c>
      <c r="H239" s="2">
        <v>2.0353416222401101E-3</v>
      </c>
      <c r="I239" s="2">
        <v>-2.033968423712279E-2</v>
      </c>
      <c r="J239" s="2">
        <v>4.08219945202552E-2</v>
      </c>
      <c r="K239" s="2">
        <v>-5.2643733485422027E-2</v>
      </c>
      <c r="L239" s="2">
        <v>-6.6445427186686131E-3</v>
      </c>
      <c r="M239" s="2">
        <v>1.2903404835907781E-2</v>
      </c>
      <c r="N239" s="2">
        <v>-4.9888690176909091E-2</v>
      </c>
      <c r="O239" s="2">
        <v>4.7628048989254657E-2</v>
      </c>
      <c r="P239" s="2">
        <v>8.695706967553913E-3</v>
      </c>
      <c r="Q239" s="15">
        <f>AVERAGE(Tableau2[[#This Row],[AWB]:[IAM]])</f>
        <v>5.72592695481611E-3</v>
      </c>
      <c r="R239" s="15">
        <f>ABS(Tableau2[[#This Row],[Rm ]])</f>
        <v>5.72592695481611E-3</v>
      </c>
      <c r="S239" s="15">
        <f>(Tableau2[[#This Row],[Rm ]]-Tableau2[[#Totals],[Rm ]])^2</f>
        <v>2.434703885265588E-5</v>
      </c>
      <c r="T239" s="15">
        <f t="shared" si="6"/>
        <v>0.37165440117548987</v>
      </c>
      <c r="U239" s="15">
        <f t="shared" si="7"/>
        <v>0.2514014062637121</v>
      </c>
    </row>
    <row r="240" spans="1:21" x14ac:dyDescent="0.35">
      <c r="A240" s="10">
        <v>44756</v>
      </c>
      <c r="B240" s="2">
        <v>4.459577863880129E-3</v>
      </c>
      <c r="C240" s="2">
        <v>-2.7834798993443991E-2</v>
      </c>
      <c r="D240" s="2">
        <v>-1.6339312176559311E-2</v>
      </c>
      <c r="E240" s="2">
        <v>-1.8564667522956161E-2</v>
      </c>
      <c r="F240" s="2">
        <v>-1.093088980612405E-2</v>
      </c>
      <c r="G240" s="2">
        <v>-4.7712083571396094E-3</v>
      </c>
      <c r="H240" s="2">
        <v>3.9860349293208718E-2</v>
      </c>
      <c r="I240" s="2">
        <v>2.569444937478272E-2</v>
      </c>
      <c r="J240" s="2">
        <v>1.980262729617973E-2</v>
      </c>
      <c r="K240" s="2">
        <v>2.7023375384027128E-4</v>
      </c>
      <c r="L240" s="2">
        <v>-1.149437942573513E-2</v>
      </c>
      <c r="M240" s="2">
        <v>2.4692612590371411E-2</v>
      </c>
      <c r="N240" s="2">
        <v>2.889841428507324E-2</v>
      </c>
      <c r="O240" s="2">
        <v>9.2593254127967262E-3</v>
      </c>
      <c r="P240" s="2">
        <v>1.2903404835907781E-2</v>
      </c>
      <c r="Q240" s="15">
        <f>AVERAGE(Tableau2[[#This Row],[AWB]:[IAM]])</f>
        <v>5.0603825616054978E-3</v>
      </c>
      <c r="R240" s="15">
        <f>ABS(Tableau2[[#This Row],[Rm ]])</f>
        <v>5.0603825616054978E-3</v>
      </c>
      <c r="S240" s="15">
        <f>(Tableau2[[#This Row],[Rm ]]-Tableau2[[#Totals],[Rm ]])^2</f>
        <v>1.8222034241321566E-5</v>
      </c>
      <c r="T240" s="15">
        <f t="shared" si="6"/>
        <v>0.24405685619148154</v>
      </c>
      <c r="U240" s="15">
        <f t="shared" si="7"/>
        <v>0.37165440117548987</v>
      </c>
    </row>
    <row r="241" spans="1:21" x14ac:dyDescent="0.35">
      <c r="A241" s="10">
        <v>44757</v>
      </c>
      <c r="B241" s="2">
        <v>1.6260520871780329E-2</v>
      </c>
      <c r="C241" s="2">
        <v>1.202419296680181E-2</v>
      </c>
      <c r="D241" s="2">
        <v>0</v>
      </c>
      <c r="E241" s="2">
        <v>1.8564667522956109E-2</v>
      </c>
      <c r="F241" s="2">
        <v>-5.5105805260611471E-3</v>
      </c>
      <c r="G241" s="2">
        <v>0</v>
      </c>
      <c r="H241" s="2">
        <v>-1.9188251232548491E-2</v>
      </c>
      <c r="I241" s="2">
        <v>-5.3547651376599156E-3</v>
      </c>
      <c r="J241" s="2">
        <v>1.941808585710152E-2</v>
      </c>
      <c r="K241" s="2">
        <v>8.1026337991398707E-4</v>
      </c>
      <c r="L241" s="2">
        <v>2.191607488814928E-2</v>
      </c>
      <c r="M241" s="2">
        <v>-1.7666074578333048E-2</v>
      </c>
      <c r="N241" s="2">
        <v>6.6445427186685108E-3</v>
      </c>
      <c r="O241" s="2">
        <v>1.3730192811902041E-2</v>
      </c>
      <c r="P241" s="2">
        <v>-8.5837436913914419E-3</v>
      </c>
      <c r="Q241" s="15">
        <f>AVERAGE(Tableau2[[#This Row],[AWB]:[IAM]])</f>
        <v>3.5376750567519687E-3</v>
      </c>
      <c r="R241" s="15">
        <f>ABS(Tableau2[[#This Row],[Rm ]])</f>
        <v>3.5376750567519687E-3</v>
      </c>
      <c r="S241" s="15">
        <f>(Tableau2[[#This Row],[Rm ]]-Tableau2[[#Totals],[Rm ]])^2</f>
        <v>7.5406256671166427E-6</v>
      </c>
      <c r="T241" s="15">
        <f t="shared" si="6"/>
        <v>0.15627578031525777</v>
      </c>
      <c r="U241" s="15">
        <f t="shared" si="7"/>
        <v>0.24405685619148154</v>
      </c>
    </row>
    <row r="242" spans="1:21" x14ac:dyDescent="0.35">
      <c r="A242" s="10">
        <v>44760</v>
      </c>
      <c r="B242" s="2">
        <v>-8.6780990087560374E-3</v>
      </c>
      <c r="C242" s="2">
        <v>0</v>
      </c>
      <c r="D242" s="2">
        <v>0</v>
      </c>
      <c r="E242" s="2">
        <v>0</v>
      </c>
      <c r="F242" s="2">
        <v>8.2517431129637379E-3</v>
      </c>
      <c r="G242" s="2">
        <v>-3.0481190593366451E-3</v>
      </c>
      <c r="H242" s="2">
        <v>1.384540682205313E-2</v>
      </c>
      <c r="I242" s="2">
        <v>1.9934214900817111E-2</v>
      </c>
      <c r="J242" s="2">
        <v>0</v>
      </c>
      <c r="K242" s="2">
        <v>5.6535350475898248E-3</v>
      </c>
      <c r="L242" s="2">
        <v>1.5895612854959228E-2</v>
      </c>
      <c r="M242" s="2">
        <v>1.9077907217274191E-3</v>
      </c>
      <c r="N242" s="2">
        <v>5.4037957975060259E-3</v>
      </c>
      <c r="O242" s="2">
        <v>0</v>
      </c>
      <c r="P242" s="2">
        <v>-4.3196611445162842E-3</v>
      </c>
      <c r="Q242" s="15">
        <f>AVERAGE(Tableau2[[#This Row],[AWB]:[IAM]])</f>
        <v>3.656414669667167E-3</v>
      </c>
      <c r="R242" s="15">
        <f>ABS(Tableau2[[#This Row],[Rm ]])</f>
        <v>3.656414669667167E-3</v>
      </c>
      <c r="S242" s="15">
        <f>(Tableau2[[#This Row],[Rm ]]-Tableau2[[#Totals],[Rm ]])^2</f>
        <v>8.2068474590137993E-6</v>
      </c>
      <c r="T242" s="15">
        <f t="shared" si="6"/>
        <v>8.6647303609200865E-2</v>
      </c>
      <c r="U242" s="15">
        <f t="shared" si="7"/>
        <v>0.15627578031525777</v>
      </c>
    </row>
    <row r="243" spans="1:21" x14ac:dyDescent="0.35">
      <c r="A243" s="10">
        <v>44761</v>
      </c>
      <c r="B243" s="2">
        <v>1.1439260450084039E-2</v>
      </c>
      <c r="C243" s="2">
        <v>3.9761483796394168E-3</v>
      </c>
      <c r="D243" s="2">
        <v>0</v>
      </c>
      <c r="E243" s="2">
        <v>-6.4536229567513344E-3</v>
      </c>
      <c r="F243" s="2">
        <v>2.7033197633802429E-2</v>
      </c>
      <c r="G243" s="2">
        <v>2.24243980224752E-2</v>
      </c>
      <c r="H243" s="2">
        <v>2.6433257068155431E-2</v>
      </c>
      <c r="I243" s="2">
        <v>0</v>
      </c>
      <c r="J243" s="2">
        <v>-1.5504186535965201E-2</v>
      </c>
      <c r="K243" s="2">
        <v>0</v>
      </c>
      <c r="L243" s="2">
        <v>2.0202707317519469E-2</v>
      </c>
      <c r="M243" s="2">
        <v>1.904157985689794E-3</v>
      </c>
      <c r="N243" s="2">
        <v>1.780462463350669E-2</v>
      </c>
      <c r="O243" s="2">
        <v>2.272469047388926E-4</v>
      </c>
      <c r="P243" s="2">
        <v>8.6207430439069546E-3</v>
      </c>
      <c r="Q243" s="15">
        <f>AVERAGE(Tableau2[[#This Row],[AWB]:[IAM]])</f>
        <v>7.8738621297867843E-3</v>
      </c>
      <c r="R243" s="15">
        <f>ABS(Tableau2[[#This Row],[Rm ]])</f>
        <v>7.8738621297867843E-3</v>
      </c>
      <c r="S243" s="15">
        <f>(Tableau2[[#This Row],[Rm ]]-Tableau2[[#Totals],[Rm ]])^2</f>
        <v>5.0157656578432608E-5</v>
      </c>
      <c r="T243" s="15">
        <f t="shared" si="6"/>
        <v>0.15698521766870663</v>
      </c>
      <c r="U243" s="15">
        <f t="shared" si="7"/>
        <v>8.6647303609200865E-2</v>
      </c>
    </row>
    <row r="244" spans="1:21" x14ac:dyDescent="0.35">
      <c r="A244" s="10">
        <v>44762</v>
      </c>
      <c r="B244" s="2">
        <v>4.1274995538572922E-3</v>
      </c>
      <c r="C244" s="2">
        <v>1.983930172165418E-4</v>
      </c>
      <c r="D244" s="2">
        <v>5.6789143442282481E-4</v>
      </c>
      <c r="E244" s="2">
        <v>0</v>
      </c>
      <c r="F244" s="2">
        <v>-1.018945137822783E-2</v>
      </c>
      <c r="G244" s="2">
        <v>-1.4172451088111611E-2</v>
      </c>
      <c r="H244" s="2">
        <v>-6.1690406955003163E-2</v>
      </c>
      <c r="I244" s="2">
        <v>0</v>
      </c>
      <c r="J244" s="2">
        <v>0</v>
      </c>
      <c r="K244" s="2">
        <v>2.6842034787378198E-4</v>
      </c>
      <c r="L244" s="2">
        <v>-3.7041271680349097E-2</v>
      </c>
      <c r="M244" s="2">
        <v>5.6908152317550163E-3</v>
      </c>
      <c r="N244" s="2">
        <v>2.9368596733097062E-3</v>
      </c>
      <c r="O244" s="2">
        <v>-9.3597304680114301E-3</v>
      </c>
      <c r="P244" s="2">
        <v>-8.6207430439069754E-3</v>
      </c>
      <c r="Q244" s="15">
        <f>AVERAGE(Tableau2[[#This Row],[AWB]:[IAM]])</f>
        <v>-8.485611690344997E-3</v>
      </c>
      <c r="R244" s="15">
        <f>ABS(Tableau2[[#This Row],[Rm ]])</f>
        <v>8.485611690344997E-3</v>
      </c>
      <c r="S244" s="15">
        <f>(Tableau2[[#This Row],[Rm ]]-Tableau2[[#Totals],[Rm ]])^2</f>
        <v>8.6067678882218739E-5</v>
      </c>
      <c r="T244" s="15">
        <f t="shared" si="6"/>
        <v>0.18019464634642238</v>
      </c>
      <c r="U244" s="15">
        <f t="shared" si="7"/>
        <v>0.15698521766870663</v>
      </c>
    </row>
    <row r="245" spans="1:21" x14ac:dyDescent="0.35">
      <c r="A245" s="10">
        <v>44763</v>
      </c>
      <c r="B245" s="2">
        <v>-4.5871640069060429E-3</v>
      </c>
      <c r="C245" s="2">
        <v>1.9835366523427261E-4</v>
      </c>
      <c r="D245" s="2">
        <v>-5.6789143442274078E-4</v>
      </c>
      <c r="E245" s="2">
        <v>-1.9349190291269448E-2</v>
      </c>
      <c r="F245" s="2">
        <v>1.077188587537076E-3</v>
      </c>
      <c r="G245" s="2">
        <v>3.318041513328817E-2</v>
      </c>
      <c r="H245" s="2">
        <v>8.2896302278878363E-3</v>
      </c>
      <c r="I245" s="2">
        <v>-3.3447934067540132E-2</v>
      </c>
      <c r="J245" s="2">
        <v>1.5504186535965249E-2</v>
      </c>
      <c r="K245" s="2">
        <v>0</v>
      </c>
      <c r="L245" s="2">
        <v>9.3897403498391374E-3</v>
      </c>
      <c r="M245" s="2">
        <v>-1.8933423137811991E-3</v>
      </c>
      <c r="N245" s="2">
        <v>0</v>
      </c>
      <c r="O245" s="2">
        <v>4.5766670274118926E-3</v>
      </c>
      <c r="P245" s="2">
        <v>1.716780362236528E-2</v>
      </c>
      <c r="Q245" s="15">
        <f>AVERAGE(Tableau2[[#This Row],[AWB]:[IAM]])</f>
        <v>1.9692308690406235E-3</v>
      </c>
      <c r="R245" s="15">
        <f>ABS(Tableau2[[#This Row],[Rm ]])</f>
        <v>1.9692308690406235E-3</v>
      </c>
      <c r="S245" s="15">
        <f>(Tableau2[[#This Row],[Rm ]]-Tableau2[[#Totals],[Rm ]])^2</f>
        <v>1.3866847193781802E-6</v>
      </c>
      <c r="T245" s="15">
        <f t="shared" si="6"/>
        <v>0.13840078079525797</v>
      </c>
      <c r="U245" s="15">
        <f t="shared" si="7"/>
        <v>0.18019464634642238</v>
      </c>
    </row>
    <row r="246" spans="1:21" x14ac:dyDescent="0.35">
      <c r="A246" s="10">
        <v>44764</v>
      </c>
      <c r="B246" s="2">
        <v>0</v>
      </c>
      <c r="C246" s="2">
        <v>-3.9674668245080009E-4</v>
      </c>
      <c r="D246" s="2">
        <v>-1.1023958564383429E-2</v>
      </c>
      <c r="E246" s="2">
        <v>2.5802813248020799E-2</v>
      </c>
      <c r="F246" s="2">
        <v>-1.0771885875370481E-3</v>
      </c>
      <c r="G246" s="2">
        <v>-3.404584140971699E-2</v>
      </c>
      <c r="H246" s="2">
        <v>2.051819597905279E-2</v>
      </c>
      <c r="I246" s="2">
        <v>9.4787439545437387E-3</v>
      </c>
      <c r="J246" s="2">
        <v>-7.7220460939102778E-3</v>
      </c>
      <c r="K246" s="2">
        <v>-8.0547728881686861E-4</v>
      </c>
      <c r="L246" s="2">
        <v>5.45589842504344E-2</v>
      </c>
      <c r="M246" s="2">
        <v>1.262626430368789E-3</v>
      </c>
      <c r="N246" s="2">
        <v>-2.936859673309714E-3</v>
      </c>
      <c r="O246" s="2">
        <v>-9.1743762760412694E-3</v>
      </c>
      <c r="P246" s="2">
        <v>8.4746269909722356E-3</v>
      </c>
      <c r="Q246" s="15">
        <f>AVERAGE(Tableau2[[#This Row],[AWB]:[IAM]])</f>
        <v>3.5275664184817573E-3</v>
      </c>
      <c r="R246" s="15">
        <f>ABS(Tableau2[[#This Row],[Rm ]])</f>
        <v>3.5275664184817573E-3</v>
      </c>
      <c r="S246" s="15">
        <f>(Tableau2[[#This Row],[Rm ]]-Tableau2[[#Totals],[Rm ]])^2</f>
        <v>7.4852108065966792E-6</v>
      </c>
      <c r="T246" s="15">
        <f t="shared" si="6"/>
        <v>0.1977738081269059</v>
      </c>
      <c r="U246" s="15">
        <f t="shared" si="7"/>
        <v>0.13840078079525797</v>
      </c>
    </row>
    <row r="247" spans="1:21" x14ac:dyDescent="0.35">
      <c r="A247" s="10">
        <v>44769</v>
      </c>
      <c r="B247" s="2">
        <v>-2.0202707317519469E-2</v>
      </c>
      <c r="C247" s="2">
        <v>0</v>
      </c>
      <c r="D247" s="2">
        <v>0</v>
      </c>
      <c r="E247" s="2">
        <v>0</v>
      </c>
      <c r="F247" s="2">
        <v>-5.3629280682964374E-4</v>
      </c>
      <c r="G247" s="2">
        <v>-4.3384015985982417E-3</v>
      </c>
      <c r="H247" s="2">
        <v>-2.991832049096782E-2</v>
      </c>
      <c r="I247" s="2">
        <v>4.0349752121790821E-3</v>
      </c>
      <c r="J247" s="2">
        <v>-3.8767203431837571E-4</v>
      </c>
      <c r="K247" s="2">
        <v>3.2180236942007932E-3</v>
      </c>
      <c r="L247" s="2">
        <v>-2.6907452919924382E-2</v>
      </c>
      <c r="M247" s="2">
        <v>-1.8465981573044032E-2</v>
      </c>
      <c r="N247" s="2">
        <v>-1.18344576470028E-2</v>
      </c>
      <c r="O247" s="2">
        <v>-3.2789822822990838E-2</v>
      </c>
      <c r="P247" s="2">
        <v>-4.7525141862845177E-2</v>
      </c>
      <c r="Q247" s="15">
        <f>AVERAGE(Tableau2[[#This Row],[AWB]:[IAM]])</f>
        <v>-1.2376883477844059E-2</v>
      </c>
      <c r="R247" s="15">
        <f>ABS(Tableau2[[#This Row],[Rm ]])</f>
        <v>1.2376883477844059E-2</v>
      </c>
      <c r="S247" s="15">
        <f>(Tableau2[[#This Row],[Rm ]]-Tableau2[[#Totals],[Rm ]])^2</f>
        <v>1.7341040796812083E-4</v>
      </c>
      <c r="T247" s="15">
        <f t="shared" si="6"/>
        <v>0.17029121108112036</v>
      </c>
      <c r="U247" s="15">
        <f t="shared" si="7"/>
        <v>0.1977738081269059</v>
      </c>
    </row>
    <row r="248" spans="1:21" x14ac:dyDescent="0.35">
      <c r="A248" s="10">
        <v>44771</v>
      </c>
      <c r="B248" s="2">
        <v>8.6418849164433733E-3</v>
      </c>
      <c r="C248" s="2">
        <v>-7.9681696491768449E-3</v>
      </c>
      <c r="D248" s="2">
        <v>0</v>
      </c>
      <c r="E248" s="2">
        <v>1.6001880671185301E-2</v>
      </c>
      <c r="F248" s="2">
        <v>8.0523590273683492E-3</v>
      </c>
      <c r="G248" s="2">
        <v>0</v>
      </c>
      <c r="H248" s="2">
        <v>8.6660448313086707E-3</v>
      </c>
      <c r="I248" s="2">
        <v>1.9934214900817111E-2</v>
      </c>
      <c r="J248" s="2">
        <v>8.1097181282288287E-3</v>
      </c>
      <c r="K248" s="2">
        <v>-1.3395849290564719E-3</v>
      </c>
      <c r="L248" s="2">
        <v>0</v>
      </c>
      <c r="M248" s="2">
        <v>1.5939132471135129E-2</v>
      </c>
      <c r="N248" s="2">
        <v>4.7506027585977988E-3</v>
      </c>
      <c r="O248" s="2">
        <v>2.28325795035354E-2</v>
      </c>
      <c r="P248" s="2">
        <v>1.318700428195368E-2</v>
      </c>
      <c r="Q248" s="15">
        <f>AVERAGE(Tableau2[[#This Row],[AWB]:[IAM]])</f>
        <v>7.7871777941560224E-3</v>
      </c>
      <c r="R248" s="15">
        <f>ABS(Tableau2[[#This Row],[Rm ]])</f>
        <v>7.7871777941560224E-3</v>
      </c>
      <c r="S248" s="15">
        <f>(Tableau2[[#This Row],[Rm ]]-Tableau2[[#Totals],[Rm ]])^2</f>
        <v>4.8937337928095421E-5</v>
      </c>
      <c r="T248" s="15">
        <f t="shared" si="6"/>
        <v>9.7520599113865486E-2</v>
      </c>
      <c r="U248" s="15">
        <f t="shared" si="7"/>
        <v>0.17029121108112036</v>
      </c>
    </row>
    <row r="249" spans="1:21" x14ac:dyDescent="0.35">
      <c r="A249" s="10">
        <v>44778</v>
      </c>
      <c r="B249" s="2">
        <v>5.8122640404064882E-4</v>
      </c>
      <c r="C249" s="2">
        <v>1.980262729617973E-2</v>
      </c>
      <c r="D249" s="2">
        <v>0</v>
      </c>
      <c r="E249" s="2">
        <v>-2.2455503627936729E-2</v>
      </c>
      <c r="F249" s="2">
        <v>0.10354254826369</v>
      </c>
      <c r="G249" s="2">
        <v>1.937627896313868E-2</v>
      </c>
      <c r="H249" s="2">
        <v>2.4123777991682121E-2</v>
      </c>
      <c r="I249" s="2">
        <v>-5.2770571008437812E-3</v>
      </c>
      <c r="J249" s="2">
        <v>0</v>
      </c>
      <c r="K249" s="2">
        <v>3.4791952665677662E-3</v>
      </c>
      <c r="L249" s="2">
        <v>6.1693569005339961E-2</v>
      </c>
      <c r="M249" s="2">
        <v>5.6764580048051221E-3</v>
      </c>
      <c r="N249" s="2">
        <v>8.2596339774170784E-3</v>
      </c>
      <c r="O249" s="2">
        <v>2.368743613135749E-2</v>
      </c>
      <c r="P249" s="2">
        <v>-1.318700428195369E-2</v>
      </c>
      <c r="Q249" s="15">
        <f>AVERAGE(Tableau2[[#This Row],[AWB]:[IAM]])</f>
        <v>1.5286879086232292E-2</v>
      </c>
      <c r="R249" s="15">
        <f>ABS(Tableau2[[#This Row],[Rm ]])</f>
        <v>1.5286879086232292E-2</v>
      </c>
      <c r="S249" s="15">
        <f>(Tableau2[[#This Row],[Rm ]]-Tableau2[[#Totals],[Rm ]])^2</f>
        <v>2.1011151875012499E-4</v>
      </c>
      <c r="T249" s="15">
        <f t="shared" si="6"/>
        <v>0.29443430179101493</v>
      </c>
      <c r="U249" s="15">
        <f t="shared" si="7"/>
        <v>9.7520599113865486E-2</v>
      </c>
    </row>
    <row r="250" spans="1:21" x14ac:dyDescent="0.35">
      <c r="A250" s="10">
        <v>44782</v>
      </c>
      <c r="B250" s="2">
        <v>1.327580825738542E-2</v>
      </c>
      <c r="C250" s="2">
        <v>0</v>
      </c>
      <c r="D250" s="2">
        <v>0</v>
      </c>
      <c r="E250" s="2">
        <v>1.9269163945094349E-2</v>
      </c>
      <c r="F250" s="2">
        <v>-2.6381021557678672E-2</v>
      </c>
      <c r="G250" s="2">
        <v>1.7043037785330079E-3</v>
      </c>
      <c r="H250" s="2">
        <v>3.577821347884124E-3</v>
      </c>
      <c r="I250" s="2">
        <v>1.5748356968139109E-2</v>
      </c>
      <c r="J250" s="2">
        <v>-7.7220460939102778E-3</v>
      </c>
      <c r="K250" s="2">
        <v>2.5845320441475771E-2</v>
      </c>
      <c r="L250" s="2">
        <v>0</v>
      </c>
      <c r="M250" s="2">
        <v>6.269613013595395E-3</v>
      </c>
      <c r="N250" s="2">
        <v>8.774551764156131E-3</v>
      </c>
      <c r="O250" s="2">
        <v>-2.7651531330510008E-2</v>
      </c>
      <c r="P250" s="2">
        <v>1.318700428195368E-2</v>
      </c>
      <c r="Q250" s="15">
        <f>AVERAGE(Tableau2[[#This Row],[AWB]:[IAM]])</f>
        <v>3.059822987741202E-3</v>
      </c>
      <c r="R250" s="15">
        <f>ABS(Tableau2[[#This Row],[Rm ]])</f>
        <v>3.059822987741202E-3</v>
      </c>
      <c r="S250" s="15">
        <f>(Tableau2[[#This Row],[Rm ]]-Tableau2[[#Totals],[Rm ]])^2</f>
        <v>5.1445856200387405E-6</v>
      </c>
      <c r="T250" s="15">
        <f t="shared" si="6"/>
        <v>0.15348607636091041</v>
      </c>
      <c r="U250" s="15">
        <f t="shared" si="7"/>
        <v>0.29443430179101493</v>
      </c>
    </row>
    <row r="251" spans="1:21" x14ac:dyDescent="0.35">
      <c r="A251" s="10">
        <v>44785</v>
      </c>
      <c r="B251" s="2">
        <v>2.2900898785184729E-2</v>
      </c>
      <c r="C251" s="2">
        <v>1.9225759671298519E-2</v>
      </c>
      <c r="D251" s="2">
        <v>0</v>
      </c>
      <c r="E251" s="2">
        <v>2.868162200760054E-3</v>
      </c>
      <c r="F251" s="2">
        <v>-1.4890162669471301E-3</v>
      </c>
      <c r="G251" s="2">
        <v>8.9527012450970805E-2</v>
      </c>
      <c r="H251" s="2">
        <v>8.8958884127829277E-2</v>
      </c>
      <c r="I251" s="2">
        <v>6.5514607110626566E-2</v>
      </c>
      <c r="J251" s="2">
        <v>7.7220460939103194E-3</v>
      </c>
      <c r="K251" s="2">
        <v>1.6268919187078359E-2</v>
      </c>
      <c r="L251" s="2">
        <v>1.6949558313773209E-2</v>
      </c>
      <c r="M251" s="2">
        <v>6.2305497506361628E-3</v>
      </c>
      <c r="N251" s="2">
        <v>3.0400964670399402E-2</v>
      </c>
      <c r="O251" s="2">
        <v>2.8787249794437478E-2</v>
      </c>
      <c r="P251" s="2">
        <v>0</v>
      </c>
      <c r="Q251" s="15">
        <f>AVERAGE(Tableau2[[#This Row],[AWB]:[IAM]])</f>
        <v>2.6257706392663845E-2</v>
      </c>
      <c r="R251" s="15">
        <f>ABS(Tableau2[[#This Row],[Rm ]])</f>
        <v>2.6257706392663845E-2</v>
      </c>
      <c r="S251" s="15">
        <f>(Tableau2[[#This Row],[Rm ]]-Tableau2[[#Totals],[Rm ]])^2</f>
        <v>6.4851976903630324E-4</v>
      </c>
      <c r="T251" s="15">
        <f t="shared" si="6"/>
        <v>0.31929317974873561</v>
      </c>
      <c r="U251" s="15">
        <f t="shared" si="7"/>
        <v>0.15348607636091041</v>
      </c>
    </row>
    <row r="252" spans="1:21" x14ac:dyDescent="0.35">
      <c r="A252" s="10">
        <v>44788</v>
      </c>
      <c r="B252" s="2">
        <v>4.2500902807660378E-3</v>
      </c>
      <c r="C252" s="2">
        <v>-1.732602223781402E-3</v>
      </c>
      <c r="D252" s="2">
        <v>1.102395856438354E-2</v>
      </c>
      <c r="E252" s="2">
        <v>3.181774820821742E-4</v>
      </c>
      <c r="F252" s="2">
        <v>2.4787895289160298E-3</v>
      </c>
      <c r="G252" s="2">
        <v>1.468341682361809E-2</v>
      </c>
      <c r="H252" s="2">
        <v>1.8934136316678851E-2</v>
      </c>
      <c r="I252" s="2">
        <v>1.2121360532345041E-2</v>
      </c>
      <c r="J252" s="2">
        <v>2.6567027384721709E-2</v>
      </c>
      <c r="K252" s="2">
        <v>3.8348506666484451E-3</v>
      </c>
      <c r="L252" s="2">
        <v>-2.3810648693718559E-2</v>
      </c>
      <c r="M252" s="2">
        <v>0</v>
      </c>
      <c r="N252" s="2">
        <v>-5.0977170716687177E-3</v>
      </c>
      <c r="O252" s="2">
        <v>-1.13571846392738E-3</v>
      </c>
      <c r="P252" s="2">
        <v>4.3573053689558473E-3</v>
      </c>
      <c r="Q252" s="15">
        <f>AVERAGE(Tableau2[[#This Row],[AWB]:[IAM]])</f>
        <v>4.4528284330679806E-3</v>
      </c>
      <c r="R252" s="15">
        <f>ABS(Tableau2[[#This Row],[Rm ]])</f>
        <v>4.4528284330679806E-3</v>
      </c>
      <c r="S252" s="15">
        <f>(Tableau2[[#This Row],[Rm ]]-Tableau2[[#Totals],[Rm ]])^2</f>
        <v>1.3404190260412486E-5</v>
      </c>
      <c r="T252" s="15">
        <f t="shared" si="6"/>
        <v>0.12204236005297668</v>
      </c>
      <c r="U252" s="15">
        <f t="shared" si="7"/>
        <v>0.31929317974873561</v>
      </c>
    </row>
    <row r="253" spans="1:21" x14ac:dyDescent="0.35">
      <c r="A253" s="10">
        <v>44789</v>
      </c>
      <c r="B253" s="2">
        <v>4.676547883901803E-3</v>
      </c>
      <c r="C253" s="2">
        <v>1.924928409584418E-3</v>
      </c>
      <c r="D253" s="2">
        <v>-1.073682501659861E-2</v>
      </c>
      <c r="E253" s="2">
        <v>-9.557521329722183E-3</v>
      </c>
      <c r="F253" s="2">
        <v>1.5699629169732669E-2</v>
      </c>
      <c r="G253" s="2">
        <v>-1.0410736017838569E-2</v>
      </c>
      <c r="H253" s="2">
        <v>-4.6597658028557261E-3</v>
      </c>
      <c r="I253" s="2">
        <v>-1.8237587549780901E-2</v>
      </c>
      <c r="J253" s="2">
        <v>-3.7523496185504642E-3</v>
      </c>
      <c r="K253" s="2">
        <v>-2.8207330078884828E-2</v>
      </c>
      <c r="L253" s="2">
        <v>-1.722653311446182E-3</v>
      </c>
      <c r="M253" s="2">
        <v>-3.1104224143923909E-3</v>
      </c>
      <c r="N253" s="2">
        <v>-9.1272738596786095E-3</v>
      </c>
      <c r="O253" s="2">
        <v>0</v>
      </c>
      <c r="P253" s="2">
        <v>8.6580627431145311E-3</v>
      </c>
      <c r="Q253" s="15">
        <f>AVERAGE(Tableau2[[#This Row],[AWB]:[IAM]])</f>
        <v>-4.5708864528943354E-3</v>
      </c>
      <c r="R253" s="15">
        <f>ABS(Tableau2[[#This Row],[Rm ]])</f>
        <v>4.5708864528943354E-3</v>
      </c>
      <c r="S253" s="15">
        <f>(Tableau2[[#This Row],[Rm ]]-Tableau2[[#Totals],[Rm ]])^2</f>
        <v>2.8756851781074581E-5</v>
      </c>
      <c r="T253" s="15">
        <f t="shared" si="6"/>
        <v>0.10553464972058985</v>
      </c>
      <c r="U253" s="15">
        <f t="shared" si="7"/>
        <v>0.12204236005297668</v>
      </c>
    </row>
    <row r="254" spans="1:21" x14ac:dyDescent="0.35">
      <c r="A254" s="10">
        <v>44790</v>
      </c>
      <c r="B254" s="2">
        <v>-4.6765478839019036E-3</v>
      </c>
      <c r="C254" s="2">
        <v>0</v>
      </c>
      <c r="D254" s="2">
        <v>-2.8713354778483021E-4</v>
      </c>
      <c r="E254" s="2">
        <v>9.5575213297222975E-3</v>
      </c>
      <c r="F254" s="2">
        <v>-9.2923670686359608E-3</v>
      </c>
      <c r="G254" s="2">
        <v>-2.71083187580781E-2</v>
      </c>
      <c r="H254" s="2">
        <v>-3.2263296255313581E-3</v>
      </c>
      <c r="I254" s="2">
        <v>2.4509816191401611E-3</v>
      </c>
      <c r="J254" s="2">
        <v>-2.2814677766171399E-2</v>
      </c>
      <c r="K254" s="2">
        <v>2.3347363996991111E-2</v>
      </c>
      <c r="L254" s="2">
        <v>-3.5091319811270061E-2</v>
      </c>
      <c r="M254" s="2">
        <v>3.1104224143923302E-3</v>
      </c>
      <c r="N254" s="2">
        <v>8.5592533956699111E-3</v>
      </c>
      <c r="O254" s="2">
        <v>0</v>
      </c>
      <c r="P254" s="2">
        <v>-1.3015368112070359E-2</v>
      </c>
      <c r="Q254" s="15">
        <f>AVERAGE(Tableau2[[#This Row],[AWB]:[IAM]])</f>
        <v>-4.5657679878352113E-3</v>
      </c>
      <c r="R254" s="15">
        <f>ABS(Tableau2[[#This Row],[Rm ]])</f>
        <v>4.5657679878352113E-3</v>
      </c>
      <c r="S254" s="15">
        <f>(Tableau2[[#This Row],[Rm ]]-Tableau2[[#Totals],[Rm ]])^2</f>
        <v>2.8701982016745694E-5</v>
      </c>
      <c r="T254" s="15">
        <f t="shared" si="6"/>
        <v>0.16132168949694686</v>
      </c>
      <c r="U254" s="15">
        <f t="shared" si="7"/>
        <v>0.10553464972058985</v>
      </c>
    </row>
    <row r="255" spans="1:21" x14ac:dyDescent="0.35">
      <c r="A255" s="10">
        <v>44792</v>
      </c>
      <c r="B255" s="2">
        <v>-6.7189502487449808E-3</v>
      </c>
      <c r="C255" s="2">
        <v>-3.8468936808319718E-4</v>
      </c>
      <c r="D255" s="2">
        <v>0</v>
      </c>
      <c r="E255" s="2">
        <v>0</v>
      </c>
      <c r="F255" s="2">
        <v>-6.9045383935258499E-3</v>
      </c>
      <c r="G255" s="2">
        <v>2.5168453940251429E-2</v>
      </c>
      <c r="H255" s="2">
        <v>4.594698760695886E-2</v>
      </c>
      <c r="I255" s="2">
        <v>4.8840145924253587E-3</v>
      </c>
      <c r="J255" s="2">
        <v>1.147240116223678E-2</v>
      </c>
      <c r="K255" s="2">
        <v>1.273902577742971E-2</v>
      </c>
      <c r="L255" s="2">
        <v>5.5569851154810793E-2</v>
      </c>
      <c r="M255" s="2">
        <v>-6.2305497506360864E-3</v>
      </c>
      <c r="N255" s="2">
        <v>0</v>
      </c>
      <c r="O255" s="2">
        <v>2.247285585205858E-2</v>
      </c>
      <c r="P255" s="2">
        <v>1.7316450011460961E-2</v>
      </c>
      <c r="Q255" s="15">
        <f>AVERAGE(Tableau2[[#This Row],[AWB]:[IAM]])</f>
        <v>1.1688754155776157E-2</v>
      </c>
      <c r="R255" s="15">
        <f>ABS(Tableau2[[#This Row],[Rm ]])</f>
        <v>1.1688754155776157E-2</v>
      </c>
      <c r="S255" s="15">
        <f>(Tableau2[[#This Row],[Rm ]]-Tableau2[[#Totals],[Rm ]])^2</f>
        <v>1.1874676808630913E-4</v>
      </c>
      <c r="T255" s="15">
        <f t="shared" si="6"/>
        <v>0.21290968268465429</v>
      </c>
      <c r="U255" s="15">
        <f t="shared" si="7"/>
        <v>0.16132168949694686</v>
      </c>
    </row>
    <row r="256" spans="1:21" x14ac:dyDescent="0.35">
      <c r="A256" s="10">
        <v>44798</v>
      </c>
      <c r="B256" s="2">
        <v>-1.1299555253933389E-2</v>
      </c>
      <c r="C256" s="2">
        <v>-7.3373567258270796E-3</v>
      </c>
      <c r="D256" s="2">
        <v>0</v>
      </c>
      <c r="E256" s="2">
        <v>6.1843116087847436E-3</v>
      </c>
      <c r="F256" s="2">
        <v>9.8490947150636568E-3</v>
      </c>
      <c r="G256" s="2">
        <v>-3.1160083608518178E-2</v>
      </c>
      <c r="H256" s="2">
        <v>-1.24225199985571E-2</v>
      </c>
      <c r="I256" s="2">
        <v>-1.8439366945799941E-2</v>
      </c>
      <c r="J256" s="2">
        <v>-2.268891790592064E-2</v>
      </c>
      <c r="K256" s="2">
        <v>-1.145779562138116E-2</v>
      </c>
      <c r="L256" s="2">
        <v>1.3423020332140771E-2</v>
      </c>
      <c r="M256" s="2">
        <v>6.2305497506361628E-3</v>
      </c>
      <c r="N256" s="2">
        <v>6.062462181643484E-2</v>
      </c>
      <c r="O256" s="2">
        <v>0</v>
      </c>
      <c r="P256" s="2">
        <v>-8.6207430439069754E-3</v>
      </c>
      <c r="Q256" s="15">
        <f>AVERAGE(Tableau2[[#This Row],[AWB]:[IAM]])</f>
        <v>-1.807649392052286E-3</v>
      </c>
      <c r="R256" s="15">
        <f>ABS(Tableau2[[#This Row],[Rm ]])</f>
        <v>1.807649392052286E-3</v>
      </c>
      <c r="S256" s="15">
        <f>(Tableau2[[#This Row],[Rm ]]-Tableau2[[#Totals],[Rm ]])^2</f>
        <v>6.7563837815986919E-6</v>
      </c>
      <c r="T256" s="15">
        <f t="shared" si="6"/>
        <v>0.21157140052645465</v>
      </c>
      <c r="U256" s="15">
        <f t="shared" si="7"/>
        <v>0.21290968268465429</v>
      </c>
    </row>
    <row r="257" spans="1:21" x14ac:dyDescent="0.35">
      <c r="A257" s="10">
        <v>44799</v>
      </c>
      <c r="B257" s="2">
        <v>0</v>
      </c>
      <c r="C257" s="2">
        <v>0</v>
      </c>
      <c r="D257" s="2">
        <v>0</v>
      </c>
      <c r="E257" s="2">
        <v>-3.0080924476324749E-3</v>
      </c>
      <c r="F257" s="2">
        <v>1.958231657265041E-3</v>
      </c>
      <c r="G257" s="2">
        <v>1.601281366973828E-3</v>
      </c>
      <c r="H257" s="2">
        <v>1.5504186535965249E-2</v>
      </c>
      <c r="I257" s="2">
        <v>1.3555352353374449E-2</v>
      </c>
      <c r="J257" s="2">
        <v>3.2526303330435033E-2</v>
      </c>
      <c r="K257" s="2">
        <v>1.1457795621381141E-2</v>
      </c>
      <c r="L257" s="2">
        <v>-2.1904835388049861E-2</v>
      </c>
      <c r="M257" s="2">
        <v>-6.2305497506360864E-3</v>
      </c>
      <c r="N257" s="2">
        <v>-1.9984462008927281E-2</v>
      </c>
      <c r="O257" s="2">
        <v>-1.049937043670867E-2</v>
      </c>
      <c r="P257" s="2">
        <v>-4.3384015985982417E-3</v>
      </c>
      <c r="Q257" s="15">
        <f>AVERAGE(Tableau2[[#This Row],[AWB]:[IAM]])</f>
        <v>7.0916261565614114E-4</v>
      </c>
      <c r="R257" s="15">
        <f>ABS(Tableau2[[#This Row],[Rm ]])</f>
        <v>7.0916261565614114E-4</v>
      </c>
      <c r="S257" s="15">
        <f>(Tableau2[[#This Row],[Rm ]]-Tableau2[[#Totals],[Rm ]])^2</f>
        <v>6.8050080435078916E-9</v>
      </c>
      <c r="T257" s="15">
        <f t="shared" si="6"/>
        <v>0.13998529040961166</v>
      </c>
      <c r="U257" s="15">
        <f t="shared" si="7"/>
        <v>0.21157140052645465</v>
      </c>
    </row>
    <row r="258" spans="1:21" x14ac:dyDescent="0.35">
      <c r="A258" s="10">
        <v>44806</v>
      </c>
      <c r="B258" s="2">
        <v>-1.142869582362274E-2</v>
      </c>
      <c r="C258" s="2">
        <v>1.5491869868293189E-3</v>
      </c>
      <c r="D258" s="2">
        <v>0</v>
      </c>
      <c r="E258" s="2">
        <v>1.2573629025573419E-2</v>
      </c>
      <c r="F258" s="2">
        <v>1.4636823396411271E-3</v>
      </c>
      <c r="G258" s="2">
        <v>-2.429269256904459E-2</v>
      </c>
      <c r="H258" s="2">
        <v>1.5267472130788381E-2</v>
      </c>
      <c r="I258" s="2">
        <v>2.776279697735648E-2</v>
      </c>
      <c r="J258" s="2">
        <v>-6.0423144559626982E-3</v>
      </c>
      <c r="K258" s="2">
        <v>-3.8714512180690393E-2</v>
      </c>
      <c r="L258" s="2">
        <v>-1.63163774321478E-2</v>
      </c>
      <c r="M258" s="2">
        <v>-9.4192219164916397E-3</v>
      </c>
      <c r="N258" s="2">
        <v>-3.9504441343580193E-2</v>
      </c>
      <c r="O258" s="2">
        <v>8.2746754145975061E-3</v>
      </c>
      <c r="P258" s="2">
        <v>4.3384015985981411E-3</v>
      </c>
      <c r="Q258" s="15">
        <f>AVERAGE(Tableau2[[#This Row],[AWB]:[IAM]])</f>
        <v>-4.9658940832103798E-3</v>
      </c>
      <c r="R258" s="15">
        <f>ABS(Tableau2[[#This Row],[Rm ]])</f>
        <v>4.9658940832103798E-3</v>
      </c>
      <c r="S258" s="15">
        <f>(Tableau2[[#This Row],[Rm ]]-Tableau2[[#Totals],[Rm ]])^2</f>
        <v>3.3149372462402443E-5</v>
      </c>
      <c r="T258" s="15">
        <f t="shared" si="6"/>
        <v>0.2132299849751135</v>
      </c>
      <c r="U258" s="15">
        <f t="shared" si="7"/>
        <v>0.13998529040961166</v>
      </c>
    </row>
    <row r="259" spans="1:21" x14ac:dyDescent="0.35">
      <c r="A259" s="10">
        <v>44810</v>
      </c>
      <c r="B259" s="2">
        <v>0</v>
      </c>
      <c r="C259" s="2">
        <v>-9.3313274288841924E-3</v>
      </c>
      <c r="D259" s="2">
        <v>0</v>
      </c>
      <c r="E259" s="2">
        <v>-1.5431771909353289E-2</v>
      </c>
      <c r="F259" s="2">
        <v>4.0198678143614178E-2</v>
      </c>
      <c r="G259" s="2">
        <v>2.8284713838582099E-2</v>
      </c>
      <c r="H259" s="2">
        <v>1.189862671111905E-2</v>
      </c>
      <c r="I259" s="2">
        <v>0</v>
      </c>
      <c r="J259" s="2">
        <v>-1.5267472130788421E-2</v>
      </c>
      <c r="K259" s="2">
        <v>1.8253440309350302E-2</v>
      </c>
      <c r="L259" s="2">
        <v>2.056627758147702E-2</v>
      </c>
      <c r="M259" s="2">
        <v>9.4192219164915582E-3</v>
      </c>
      <c r="N259" s="2">
        <v>-2.2727282510025672E-3</v>
      </c>
      <c r="O259" s="2">
        <v>-1.119832531002956E-2</v>
      </c>
      <c r="P259" s="2">
        <v>-3.5245939061674829E-2</v>
      </c>
      <c r="Q259" s="15">
        <f>AVERAGE(Tableau2[[#This Row],[AWB]:[IAM]])</f>
        <v>2.6582262939267563E-3</v>
      </c>
      <c r="R259" s="15">
        <f>ABS(Tableau2[[#This Row],[Rm ]])</f>
        <v>2.6582262939267563E-3</v>
      </c>
      <c r="S259" s="15">
        <f>(Tableau2[[#This Row],[Rm ]]-Tableau2[[#Totals],[Rm ]])^2</f>
        <v>3.4840880656611181E-6</v>
      </c>
      <c r="T259" s="15">
        <f t="shared" ref="T259:T322" si="8">(ABS(B259-$Q259)+ABS(C259-$Q259)+ABS(D259-$Q259)+ABS(E259-$Q259)+ABS(F259-$Q259)+ABS(G259-$Q259)+ABS(H259-$Q259)+ABS(I259-$Q259)+ABS(J259-$Q259)+ABS(K259-$Q259)+ABS(L259-$Q259)+ABS(M259-$Q259)+ABS(N259-$Q259)+ABS(O259-$Q259)+ABS(P259-$Q259)/15)</f>
        <v>0.18996598047558583</v>
      </c>
      <c r="U259" s="15">
        <f t="shared" si="7"/>
        <v>0.2132299849751135</v>
      </c>
    </row>
    <row r="260" spans="1:21" x14ac:dyDescent="0.35">
      <c r="A260" s="10">
        <v>44811</v>
      </c>
      <c r="B260" s="2">
        <v>1.148765203873358E-3</v>
      </c>
      <c r="C260" s="2">
        <v>-3.7178401106268701E-3</v>
      </c>
      <c r="D260" s="2">
        <v>0</v>
      </c>
      <c r="E260" s="2">
        <v>1.511856719619417E-2</v>
      </c>
      <c r="F260" s="2">
        <v>3.1397390941431583E-2</v>
      </c>
      <c r="G260" s="2">
        <v>-3.984857594073486E-4</v>
      </c>
      <c r="H260" s="2">
        <v>-4.3514210757362492E-3</v>
      </c>
      <c r="I260" s="2">
        <v>-9.5694510161506725E-3</v>
      </c>
      <c r="J260" s="2">
        <v>1.5267472130788381E-2</v>
      </c>
      <c r="K260" s="2">
        <v>3.0536723860081699E-2</v>
      </c>
      <c r="L260" s="2">
        <v>-3.3984739591116208E-3</v>
      </c>
      <c r="M260" s="2">
        <v>6.2305497506361628E-3</v>
      </c>
      <c r="N260" s="2">
        <v>2.360986563913367E-2</v>
      </c>
      <c r="O260" s="2">
        <v>1.2311291479450251E-2</v>
      </c>
      <c r="P260" s="2">
        <v>-1.354422510775726E-2</v>
      </c>
      <c r="Q260" s="15">
        <f>AVERAGE(Tableau2[[#This Row],[AWB]:[IAM]])</f>
        <v>6.7093819448532837E-3</v>
      </c>
      <c r="R260" s="15">
        <f>ABS(Tableau2[[#This Row],[Rm ]])</f>
        <v>6.7093819448532837E-3</v>
      </c>
      <c r="S260" s="15">
        <f>(Tableau2[[#This Row],[Rm ]]-Tableau2[[#Totals],[Rm ]])^2</f>
        <v>3.5019491148728239E-5</v>
      </c>
      <c r="T260" s="15">
        <f t="shared" si="8"/>
        <v>0.15706667257348358</v>
      </c>
      <c r="U260" s="15">
        <f t="shared" ref="U260:U323" si="9">T259</f>
        <v>0.18996598047558583</v>
      </c>
    </row>
    <row r="261" spans="1:21" x14ac:dyDescent="0.35">
      <c r="A261" s="10">
        <v>44813</v>
      </c>
      <c r="B261" s="2">
        <v>3.438398803032709E-3</v>
      </c>
      <c r="C261" s="2">
        <v>3.7178401106268159E-3</v>
      </c>
      <c r="D261" s="2">
        <v>0</v>
      </c>
      <c r="E261" s="2">
        <v>-5.96960425534457E-3</v>
      </c>
      <c r="F261" s="2">
        <v>-2.2988659538291292E-2</v>
      </c>
      <c r="G261" s="2">
        <v>-2.3388162838309658E-2</v>
      </c>
      <c r="H261" s="2">
        <v>2.230575751429819E-2</v>
      </c>
      <c r="I261" s="2">
        <v>2.726902811555169E-2</v>
      </c>
      <c r="J261" s="2">
        <v>0</v>
      </c>
      <c r="K261" s="2">
        <v>-2.2814677766171399E-2</v>
      </c>
      <c r="L261" s="2">
        <v>1.700680682017472E-3</v>
      </c>
      <c r="M261" s="2">
        <v>-1.880933195749623E-2</v>
      </c>
      <c r="N261" s="2">
        <v>-1.9069562720350691E-2</v>
      </c>
      <c r="O261" s="2">
        <v>-2.1361126999368159E-2</v>
      </c>
      <c r="P261" s="2">
        <v>3.1322471129041067E-2</v>
      </c>
      <c r="Q261" s="15">
        <f>AVERAGE(Tableau2[[#This Row],[AWB]:[IAM]])</f>
        <v>-2.9764633147176039E-3</v>
      </c>
      <c r="R261" s="15">
        <f>ABS(Tableau2[[#This Row],[Rm ]])</f>
        <v>2.9764633147176039E-3</v>
      </c>
      <c r="S261" s="15">
        <f>(Tableau2[[#This Row],[Rm ]]-Tableau2[[#Totals],[Rm ]])^2</f>
        <v>1.4198716299187804E-5</v>
      </c>
      <c r="T261" s="15">
        <f t="shared" si="8"/>
        <v>0.19511942693044279</v>
      </c>
      <c r="U261" s="15">
        <f t="shared" si="9"/>
        <v>0.15706667257348358</v>
      </c>
    </row>
    <row r="262" spans="1:21" x14ac:dyDescent="0.35">
      <c r="A262" s="10">
        <v>44817</v>
      </c>
      <c r="B262" s="2">
        <v>2.285715280856083E-3</v>
      </c>
      <c r="C262" s="2">
        <v>0</v>
      </c>
      <c r="D262" s="2">
        <v>-1.504570943451761E-2</v>
      </c>
      <c r="E262" s="2">
        <v>3.1463386872030972E-3</v>
      </c>
      <c r="F262" s="2">
        <v>4.636443904413594E-3</v>
      </c>
      <c r="G262" s="2">
        <v>-1.025229402411716E-2</v>
      </c>
      <c r="H262" s="2">
        <v>-1.9302752254528599E-2</v>
      </c>
      <c r="I262" s="2">
        <v>-2.2472855852058739E-2</v>
      </c>
      <c r="J262" s="2">
        <v>-1.5267472130788421E-2</v>
      </c>
      <c r="K262" s="2">
        <v>1.273902577742971E-2</v>
      </c>
      <c r="L262" s="2">
        <v>2.5456101994338178E-3</v>
      </c>
      <c r="M262" s="2">
        <v>1.2578782206860191E-2</v>
      </c>
      <c r="N262" s="2">
        <v>7.8962621222255398E-3</v>
      </c>
      <c r="O262" s="2">
        <v>7.2464085207672533E-3</v>
      </c>
      <c r="P262" s="2">
        <v>1.31292914417928E-2</v>
      </c>
      <c r="Q262" s="15">
        <f>AVERAGE(Tableau2[[#This Row],[AWB]:[IAM]])</f>
        <v>-1.0758137036685632E-3</v>
      </c>
      <c r="R262" s="15">
        <f>ABS(Tableau2[[#This Row],[Rm ]])</f>
        <v>1.0758137036685632E-3</v>
      </c>
      <c r="S262" s="15">
        <f>(Tableau2[[#This Row],[Rm ]]-Tableau2[[#Totals],[Rm ]])^2</f>
        <v>3.4874396889903355E-6</v>
      </c>
      <c r="T262" s="15">
        <f t="shared" si="8"/>
        <v>0.14066593221957152</v>
      </c>
      <c r="U262" s="15">
        <f t="shared" si="9"/>
        <v>0.19511942693044279</v>
      </c>
    </row>
    <row r="263" spans="1:21" x14ac:dyDescent="0.35">
      <c r="A263" s="10">
        <v>44820</v>
      </c>
      <c r="B263" s="2">
        <v>6.8259650703998906E-3</v>
      </c>
      <c r="C263" s="2">
        <v>1.95122013126175E-3</v>
      </c>
      <c r="D263" s="2">
        <v>1.1071939594403219E-3</v>
      </c>
      <c r="E263" s="2">
        <v>3.1364702813004631E-3</v>
      </c>
      <c r="F263" s="2">
        <v>-9.7690795341812513E-3</v>
      </c>
      <c r="G263" s="2">
        <v>1.4730217240403409E-2</v>
      </c>
      <c r="H263" s="2">
        <v>-7.3734439848234757E-3</v>
      </c>
      <c r="I263" s="2">
        <v>-1.6888218028521512E-2</v>
      </c>
      <c r="J263" s="2">
        <v>3.7740327982847113E-2</v>
      </c>
      <c r="K263" s="2">
        <v>3.6539419651703459E-2</v>
      </c>
      <c r="L263" s="2">
        <v>1.430398809826275E-2</v>
      </c>
      <c r="M263" s="2">
        <v>-3.129893008927704E-3</v>
      </c>
      <c r="N263" s="2">
        <v>0</v>
      </c>
      <c r="O263" s="2">
        <v>1.522644733129138E-2</v>
      </c>
      <c r="P263" s="2">
        <v>-4.445176257083381E-2</v>
      </c>
      <c r="Q263" s="15">
        <f>AVERAGE(Tableau2[[#This Row],[AWB]:[IAM]])</f>
        <v>3.3299235079748521E-3</v>
      </c>
      <c r="R263" s="15">
        <f>ABS(Tableau2[[#This Row],[Rm ]])</f>
        <v>3.3299235079748521E-3</v>
      </c>
      <c r="S263" s="15">
        <f>(Tableau2[[#This Row],[Rm ]]-Tableau2[[#Totals],[Rm ]])^2</f>
        <v>6.4428065702998991E-6</v>
      </c>
      <c r="T263" s="15">
        <f t="shared" si="8"/>
        <v>0.16617740831389635</v>
      </c>
      <c r="U263" s="15">
        <f t="shared" si="9"/>
        <v>0.14066593221957152</v>
      </c>
    </row>
    <row r="264" spans="1:21" x14ac:dyDescent="0.35">
      <c r="A264" s="10">
        <v>44823</v>
      </c>
      <c r="B264" s="2">
        <v>-6.8259650703998706E-3</v>
      </c>
      <c r="C264" s="2">
        <v>0</v>
      </c>
      <c r="D264" s="2">
        <v>1.6294230793206779E-3</v>
      </c>
      <c r="E264" s="2">
        <v>0</v>
      </c>
      <c r="F264" s="2">
        <v>4.6985010747839598E-4</v>
      </c>
      <c r="G264" s="2">
        <v>1.491662409055345E-2</v>
      </c>
      <c r="H264" s="2">
        <v>-1.8136594060995392E-2</v>
      </c>
      <c r="I264" s="2">
        <v>3.6429912785010091E-3</v>
      </c>
      <c r="J264" s="2">
        <v>3.6968618813262031E-3</v>
      </c>
      <c r="K264" s="2">
        <v>5.8080072891366089E-2</v>
      </c>
      <c r="L264" s="2">
        <v>-2.19603419602558E-2</v>
      </c>
      <c r="M264" s="2">
        <v>-1.5798116876591179E-2</v>
      </c>
      <c r="N264" s="2">
        <v>1.117330059812525E-2</v>
      </c>
      <c r="O264" s="2">
        <v>-1.342302033214066E-2</v>
      </c>
      <c r="P264" s="2">
        <v>4.5351551653913628E-3</v>
      </c>
      <c r="Q264" s="15">
        <f>AVERAGE(Tableau2[[#This Row],[AWB]:[IAM]])</f>
        <v>1.4666827194453026E-3</v>
      </c>
      <c r="R264" s="15">
        <f>ABS(Tableau2[[#This Row],[Rm ]])</f>
        <v>1.4666827194453026E-3</v>
      </c>
      <c r="S264" s="15">
        <f>(Tableau2[[#This Row],[Rm ]]-Tableau2[[#Totals],[Rm ]])^2</f>
        <v>4.5566230280464634E-7</v>
      </c>
      <c r="T264" s="15">
        <f t="shared" si="8"/>
        <v>0.17195139228071751</v>
      </c>
      <c r="U264" s="15">
        <f t="shared" si="9"/>
        <v>0.16617740831389635</v>
      </c>
    </row>
    <row r="265" spans="1:21" x14ac:dyDescent="0.35">
      <c r="A265" s="10">
        <v>44824</v>
      </c>
      <c r="B265" s="2">
        <v>4.1011677442146068E-3</v>
      </c>
      <c r="C265" s="2">
        <v>0</v>
      </c>
      <c r="D265" s="2">
        <v>5.8129397672438559E-4</v>
      </c>
      <c r="E265" s="2">
        <v>1.179872042024838E-2</v>
      </c>
      <c r="F265" s="2">
        <v>4.195121636548501E-3</v>
      </c>
      <c r="G265" s="2">
        <v>-8.8425013455927289E-3</v>
      </c>
      <c r="H265" s="2">
        <v>1.14688924375003E-2</v>
      </c>
      <c r="I265" s="2">
        <v>-6.0790460763822263E-3</v>
      </c>
      <c r="J265" s="2">
        <v>7.377351865395941E-4</v>
      </c>
      <c r="K265" s="2">
        <v>1.3269469468115301E-2</v>
      </c>
      <c r="L265" s="2">
        <v>5.1107436625593312E-3</v>
      </c>
      <c r="M265" s="2">
        <v>1.5798116876591311E-2</v>
      </c>
      <c r="N265" s="2">
        <v>5.5401803756153509E-3</v>
      </c>
      <c r="O265" s="2">
        <v>0</v>
      </c>
      <c r="P265" s="2">
        <v>1.348335033728699E-2</v>
      </c>
      <c r="Q265" s="15">
        <f>AVERAGE(Tableau2[[#This Row],[AWB]:[IAM]])</f>
        <v>4.7442163133312731E-3</v>
      </c>
      <c r="R265" s="15">
        <f>ABS(Tableau2[[#This Row],[Rm ]])</f>
        <v>4.7442163133312731E-3</v>
      </c>
      <c r="S265" s="15">
        <f>(Tableau2[[#This Row],[Rm ]]-Tableau2[[#Totals],[Rm ]])^2</f>
        <v>1.5622740237591483E-5</v>
      </c>
      <c r="T265" s="15">
        <f t="shared" si="8"/>
        <v>7.836339368017077E-2</v>
      </c>
      <c r="U265" s="15">
        <f t="shared" si="9"/>
        <v>0.17195139228071751</v>
      </c>
    </row>
    <row r="266" spans="1:21" x14ac:dyDescent="0.35">
      <c r="A266" s="10">
        <v>44825</v>
      </c>
      <c r="B266" s="2">
        <v>-1.8206650454894711E-3</v>
      </c>
      <c r="C266" s="2">
        <v>5.6371030798345852E-3</v>
      </c>
      <c r="D266" s="2">
        <v>-2.9060475052684388E-4</v>
      </c>
      <c r="E266" s="2">
        <v>-1.1798720420248481E-2</v>
      </c>
      <c r="F266" s="2">
        <v>-4.63155515103893E-4</v>
      </c>
      <c r="G266" s="2">
        <v>-6.8868005629510124E-3</v>
      </c>
      <c r="H266" s="2">
        <v>-3.6699945870079409E-2</v>
      </c>
      <c r="I266" s="2">
        <v>-6.1162270174359816E-3</v>
      </c>
      <c r="J266" s="2">
        <v>-2.6907452919924271E-2</v>
      </c>
      <c r="K266" s="2">
        <v>1.1299555253933471E-2</v>
      </c>
      <c r="L266" s="2">
        <v>1.0984478845298301E-2</v>
      </c>
      <c r="M266" s="2">
        <v>3.1298930089275661E-3</v>
      </c>
      <c r="N266" s="2">
        <v>2.7586224390796612E-3</v>
      </c>
      <c r="O266" s="2">
        <v>0</v>
      </c>
      <c r="P266" s="2">
        <v>-1.801850550267825E-2</v>
      </c>
      <c r="Q266" s="15">
        <f>AVERAGE(Tableau2[[#This Row],[AWB]:[IAM]])</f>
        <v>-5.012828331824269E-3</v>
      </c>
      <c r="R266" s="15">
        <f>ABS(Tableau2[[#This Row],[Rm ]])</f>
        <v>5.012828331824269E-3</v>
      </c>
      <c r="S266" s="15">
        <f>(Tableau2[[#This Row],[Rm ]]-Tableau2[[#Totals],[Rm ]])^2</f>
        <v>3.3692027774540462E-5</v>
      </c>
      <c r="T266" s="15">
        <f t="shared" si="8"/>
        <v>0.14056273257861324</v>
      </c>
      <c r="U266" s="15">
        <f t="shared" si="9"/>
        <v>7.836339368017077E-2</v>
      </c>
    </row>
    <row r="267" spans="1:21" x14ac:dyDescent="0.35">
      <c r="A267" s="10">
        <v>44826</v>
      </c>
      <c r="B267" s="2">
        <v>6.6973404317855903E-3</v>
      </c>
      <c r="C267" s="2">
        <v>-7.5883232110963584E-3</v>
      </c>
      <c r="D267" s="2">
        <v>-2.2113603052467188E-3</v>
      </c>
      <c r="E267" s="2">
        <v>9.3197900481827613E-3</v>
      </c>
      <c r="F267" s="2">
        <v>4.5054808866593202E-2</v>
      </c>
      <c r="G267" s="2">
        <v>-3.0124002587578379E-2</v>
      </c>
      <c r="H267" s="2">
        <v>-1.4205668871450051E-3</v>
      </c>
      <c r="I267" s="2">
        <v>-1.234583582229927E-2</v>
      </c>
      <c r="J267" s="2">
        <v>0</v>
      </c>
      <c r="K267" s="2">
        <v>6.7189502487450094E-3</v>
      </c>
      <c r="L267" s="2">
        <v>0</v>
      </c>
      <c r="M267" s="2">
        <v>-1.250781901652602E-3</v>
      </c>
      <c r="N267" s="2">
        <v>0</v>
      </c>
      <c r="O267" s="2">
        <v>-1.841170318787794E-2</v>
      </c>
      <c r="P267" s="2">
        <v>1.8018505502678209E-2</v>
      </c>
      <c r="Q267" s="15">
        <f>AVERAGE(Tableau2[[#This Row],[AWB]:[IAM]])</f>
        <v>8.3045474633923336E-4</v>
      </c>
      <c r="R267" s="15">
        <f>ABS(Tableau2[[#This Row],[Rm ]])</f>
        <v>8.3045474633923336E-4</v>
      </c>
      <c r="S267" s="15">
        <f>(Tableau2[[#This Row],[Rm ]]-Tableau2[[#Totals],[Rm ]])^2</f>
        <v>1.5054134636744959E-9</v>
      </c>
      <c r="T267" s="15">
        <f t="shared" si="8"/>
        <v>0.14727206202666085</v>
      </c>
      <c r="U267" s="15">
        <f t="shared" si="9"/>
        <v>0.14056273257861324</v>
      </c>
    </row>
    <row r="268" spans="1:21" x14ac:dyDescent="0.35">
      <c r="A268" s="10">
        <v>44827</v>
      </c>
      <c r="B268" s="2">
        <v>-3.2863081307227641E-3</v>
      </c>
      <c r="C268" s="2">
        <v>0</v>
      </c>
      <c r="D268" s="2">
        <v>1.920671079049411E-3</v>
      </c>
      <c r="E268" s="2">
        <v>0</v>
      </c>
      <c r="F268" s="2">
        <v>5.7925582089557157E-2</v>
      </c>
      <c r="G268" s="2">
        <v>2.400777557014222E-2</v>
      </c>
      <c r="H268" s="2">
        <v>-2.090890951094369E-2</v>
      </c>
      <c r="I268" s="2">
        <v>-4.9813303502042484E-3</v>
      </c>
      <c r="J268" s="2">
        <v>2.247285585205858E-2</v>
      </c>
      <c r="K268" s="2">
        <v>-4.1008023727377017E-2</v>
      </c>
      <c r="L268" s="2">
        <v>8.3682496705165792E-3</v>
      </c>
      <c r="M268" s="2">
        <v>6.2558650773416767E-4</v>
      </c>
      <c r="N268" s="2">
        <v>-5.5111602386922511E-4</v>
      </c>
      <c r="O268" s="2">
        <v>9.3618676679599749E-3</v>
      </c>
      <c r="P268" s="2">
        <v>-2.2574322038539069E-2</v>
      </c>
      <c r="Q268" s="15">
        <f>AVERAGE(Tableau2[[#This Row],[AWB]:[IAM]])</f>
        <v>2.091505243690805E-3</v>
      </c>
      <c r="R268" s="15">
        <f>ABS(Tableau2[[#This Row],[Rm ]])</f>
        <v>2.091505243690805E-3</v>
      </c>
      <c r="S268" s="15">
        <f>(Tableau2[[#This Row],[Rm ]]-Tableau2[[#Totals],[Rm ]])^2</f>
        <v>1.6896104264598868E-6</v>
      </c>
      <c r="T268" s="15">
        <f t="shared" si="8"/>
        <v>0.20033617046681312</v>
      </c>
      <c r="U268" s="15">
        <f t="shared" si="9"/>
        <v>0.14727206202666085</v>
      </c>
    </row>
    <row r="269" spans="1:21" x14ac:dyDescent="0.35">
      <c r="A269" s="10">
        <v>44830</v>
      </c>
      <c r="B269" s="2">
        <v>0</v>
      </c>
      <c r="C269" s="2">
        <v>-3.9070131381932781E-4</v>
      </c>
      <c r="D269" s="2">
        <v>-2.7366170387608641E-3</v>
      </c>
      <c r="E269" s="2">
        <v>0</v>
      </c>
      <c r="F269" s="2">
        <v>5.7929533825677663E-2</v>
      </c>
      <c r="G269" s="2">
        <v>-3.6231320811656177E-2</v>
      </c>
      <c r="H269" s="2">
        <v>4.8270407483159443E-3</v>
      </c>
      <c r="I269" s="2">
        <v>-1.249219400431928E-3</v>
      </c>
      <c r="J269" s="2">
        <v>-3.3901551675681339E-2</v>
      </c>
      <c r="K269" s="2">
        <v>3.4289073478632158E-2</v>
      </c>
      <c r="L269" s="2">
        <v>0</v>
      </c>
      <c r="M269" s="2">
        <v>-3.112350292066194E-2</v>
      </c>
      <c r="N269" s="2">
        <v>-4.4526938294122298E-2</v>
      </c>
      <c r="O269" s="2">
        <v>-2.2989518224698718E-2</v>
      </c>
      <c r="P269" s="2">
        <v>4.5558165358608816E-3</v>
      </c>
      <c r="Q269" s="15">
        <f>AVERAGE(Tableau2[[#This Row],[AWB]:[IAM]])</f>
        <v>-4.7698603394230625E-3</v>
      </c>
      <c r="R269" s="15">
        <f>ABS(Tableau2[[#This Row],[Rm ]])</f>
        <v>4.7698603394230625E-3</v>
      </c>
      <c r="S269" s="15">
        <f>(Tableau2[[#This Row],[Rm ]]-Tableau2[[#Totals],[Rm ]])^2</f>
        <v>3.0930453852842776E-5</v>
      </c>
      <c r="T269" s="15">
        <f t="shared" si="8"/>
        <v>0.28114309537581189</v>
      </c>
      <c r="U269" s="15">
        <f t="shared" si="9"/>
        <v>0.20033617046681312</v>
      </c>
    </row>
    <row r="270" spans="1:21" x14ac:dyDescent="0.35">
      <c r="A270" s="10">
        <v>44831</v>
      </c>
      <c r="B270" s="2">
        <v>-5.6915349997880968E-3</v>
      </c>
      <c r="C270" s="2">
        <v>-7.6493459184891937E-3</v>
      </c>
      <c r="D270" s="2">
        <v>0</v>
      </c>
      <c r="E270" s="2">
        <v>-9.3197900481827578E-3</v>
      </c>
      <c r="F270" s="2">
        <v>-7.9599917646042736E-3</v>
      </c>
      <c r="G270" s="2">
        <v>0</v>
      </c>
      <c r="H270" s="2">
        <v>-3.2629322060267682E-2</v>
      </c>
      <c r="I270" s="2">
        <v>-1.765493523872071E-2</v>
      </c>
      <c r="J270" s="2">
        <v>3.2418971715458739E-2</v>
      </c>
      <c r="K270" s="2">
        <v>-3.4289073478632068E-2</v>
      </c>
      <c r="L270" s="2">
        <v>0</v>
      </c>
      <c r="M270" s="2">
        <v>-3.345671181069465E-2</v>
      </c>
      <c r="N270" s="2">
        <v>-2.0379162336652139E-2</v>
      </c>
      <c r="O270" s="2">
        <v>-4.8956852648369903E-3</v>
      </c>
      <c r="P270" s="2">
        <v>1.3544225107757249E-2</v>
      </c>
      <c r="Q270" s="15">
        <f>AVERAGE(Tableau2[[#This Row],[AWB]:[IAM]])</f>
        <v>-8.5308237398435058E-3</v>
      </c>
      <c r="R270" s="15">
        <f>ABS(Tableau2[[#This Row],[Rm ]])</f>
        <v>8.5308237398435058E-3</v>
      </c>
      <c r="S270" s="15">
        <f>(Tableau2[[#This Row],[Rm ]]-Tableau2[[#Totals],[Rm ]])^2</f>
        <v>8.6908611501252861E-5</v>
      </c>
      <c r="T270" s="15">
        <f t="shared" si="8"/>
        <v>0.1724847261437506</v>
      </c>
      <c r="U270" s="15">
        <f t="shared" si="9"/>
        <v>0.28114309537581189</v>
      </c>
    </row>
    <row r="271" spans="1:21" x14ac:dyDescent="0.35">
      <c r="A271" s="10">
        <v>44832</v>
      </c>
      <c r="B271" s="2">
        <v>-3.012974145202927E-2</v>
      </c>
      <c r="C271" s="2">
        <v>-3.5879186702526968E-2</v>
      </c>
      <c r="D271" s="2">
        <v>-1.865583016055955E-2</v>
      </c>
      <c r="E271" s="2">
        <v>-2.1492589849753801E-2</v>
      </c>
      <c r="F271" s="2">
        <v>-3.4960498848697619E-2</v>
      </c>
      <c r="G271" s="2">
        <v>-5.1020518838953994E-3</v>
      </c>
      <c r="H271" s="2">
        <v>5.6264334520724213E-2</v>
      </c>
      <c r="I271" s="2">
        <v>0</v>
      </c>
      <c r="J271" s="2">
        <v>-5.4500054790713869E-2</v>
      </c>
      <c r="K271" s="2">
        <v>-2.376862099746049E-2</v>
      </c>
      <c r="L271" s="2">
        <v>-4.3429557927335979E-2</v>
      </c>
      <c r="M271" s="2">
        <v>-6.022099163092833E-3</v>
      </c>
      <c r="N271" s="2">
        <v>-5.8840837237544483E-4</v>
      </c>
      <c r="O271" s="2">
        <v>-1.9111116036238409E-2</v>
      </c>
      <c r="P271" s="2">
        <v>-1.354422510775726E-2</v>
      </c>
      <c r="Q271" s="15">
        <f>AVERAGE(Tableau2[[#This Row],[AWB]:[IAM]])</f>
        <v>-1.6727976451447513E-2</v>
      </c>
      <c r="R271" s="15">
        <f>ABS(Tableau2[[#This Row],[Rm ]])</f>
        <v>1.6727976451447513E-2</v>
      </c>
      <c r="S271" s="15">
        <f>(Tableau2[[#This Row],[Rm ]]-Tableau2[[#Totals],[Rm ]])^2</f>
        <v>3.0693748928864537E-4</v>
      </c>
      <c r="T271" s="15">
        <f t="shared" si="8"/>
        <v>0.25977931615046579</v>
      </c>
      <c r="U271" s="15">
        <f t="shared" si="9"/>
        <v>0.1724847261437506</v>
      </c>
    </row>
    <row r="272" spans="1:21" x14ac:dyDescent="0.35">
      <c r="A272" s="10">
        <v>44833</v>
      </c>
      <c r="B272" s="2">
        <v>-9.4563352420354001E-3</v>
      </c>
      <c r="C272" s="2">
        <v>-1.232048438804062E-2</v>
      </c>
      <c r="D272" s="2">
        <v>-2.3257561030252422E-2</v>
      </c>
      <c r="E272" s="2">
        <v>-1.025913900815735E-2</v>
      </c>
      <c r="F272" s="2">
        <v>1.238546231191546E-3</v>
      </c>
      <c r="G272" s="2">
        <v>-1.7197328384416549E-2</v>
      </c>
      <c r="H272" s="2">
        <v>-1.24617118623312E-2</v>
      </c>
      <c r="I272" s="2">
        <v>-1.409376307585959E-2</v>
      </c>
      <c r="J272" s="2">
        <v>-5.1050572289016594E-3</v>
      </c>
      <c r="K272" s="2">
        <v>1.676742553847687E-2</v>
      </c>
      <c r="L272" s="2">
        <v>-7.8637364602145762E-3</v>
      </c>
      <c r="M272" s="2">
        <v>-2.9283672308021001E-2</v>
      </c>
      <c r="N272" s="2">
        <v>-2.9264554777305739E-2</v>
      </c>
      <c r="O272" s="2">
        <v>-2.3621247688179119E-2</v>
      </c>
      <c r="P272" s="2">
        <v>-1.834913866819643E-2</v>
      </c>
      <c r="Q272" s="15">
        <f>AVERAGE(Tableau2[[#This Row],[AWB]:[IAM]])</f>
        <v>-1.2968517223482882E-2</v>
      </c>
      <c r="R272" s="15">
        <f>ABS(Tableau2[[#This Row],[Rm ]])</f>
        <v>1.2968517223482882E-2</v>
      </c>
      <c r="S272" s="15">
        <f>(Tableau2[[#This Row],[Rm ]]-Tableau2[[#Totals],[Rm ]])^2</f>
        <v>1.8934234205005804E-4</v>
      </c>
      <c r="T272" s="15">
        <f t="shared" si="8"/>
        <v>0.12355337738730204</v>
      </c>
      <c r="U272" s="15">
        <f t="shared" si="9"/>
        <v>0.25977931615046579</v>
      </c>
    </row>
    <row r="273" spans="1:21" x14ac:dyDescent="0.35">
      <c r="A273" s="10">
        <v>44834</v>
      </c>
      <c r="B273" s="2">
        <v>9.4563352420354435E-3</v>
      </c>
      <c r="C273" s="2">
        <v>4.1237171838621562E-3</v>
      </c>
      <c r="D273" s="2">
        <v>-5.4411821689233468E-2</v>
      </c>
      <c r="E273" s="2">
        <v>0</v>
      </c>
      <c r="F273" s="2">
        <v>-8.3002014366329938E-3</v>
      </c>
      <c r="G273" s="2">
        <v>-5.389859329931368E-2</v>
      </c>
      <c r="H273" s="2">
        <v>1.559209475983628E-2</v>
      </c>
      <c r="I273" s="2">
        <v>-3.9478810973787463E-2</v>
      </c>
      <c r="J273" s="2">
        <v>0</v>
      </c>
      <c r="K273" s="2">
        <v>-6.1825576866386789E-2</v>
      </c>
      <c r="L273" s="2">
        <v>0</v>
      </c>
      <c r="M273" s="2">
        <v>1.5769953141298039E-2</v>
      </c>
      <c r="N273" s="2">
        <v>-2.7651531330510008E-2</v>
      </c>
      <c r="O273" s="2">
        <v>1.9324272826402838E-2</v>
      </c>
      <c r="P273" s="2">
        <v>2.288429383358781E-2</v>
      </c>
      <c r="Q273" s="15">
        <f>AVERAGE(Tableau2[[#This Row],[AWB]:[IAM]])</f>
        <v>-1.0561057907256123E-2</v>
      </c>
      <c r="R273" s="15">
        <f>ABS(Tableau2[[#This Row],[Rm ]])</f>
        <v>1.0561057907256123E-2</v>
      </c>
      <c r="S273" s="15">
        <f>(Tableau2[[#This Row],[Rm ]]-Tableau2[[#Totals],[Rm ]])^2</f>
        <v>1.2888409235955285E-4</v>
      </c>
      <c r="T273" s="15">
        <f t="shared" si="8"/>
        <v>0.33770642762111397</v>
      </c>
      <c r="U273" s="15">
        <f t="shared" si="9"/>
        <v>0.12355337738730204</v>
      </c>
    </row>
    <row r="274" spans="1:21" x14ac:dyDescent="0.35">
      <c r="A274" s="10">
        <v>44846</v>
      </c>
      <c r="B274" s="2">
        <v>-2.355713692459036E-3</v>
      </c>
      <c r="C274" s="2">
        <v>-1.2422519998557211E-2</v>
      </c>
      <c r="D274" s="2">
        <v>8.341499307619625E-2</v>
      </c>
      <c r="E274" s="2">
        <v>0</v>
      </c>
      <c r="F274" s="2">
        <v>2.0622740939074111E-2</v>
      </c>
      <c r="G274" s="2">
        <v>3.5517331793382893E-2</v>
      </c>
      <c r="H274" s="2">
        <v>-1.5592094759836269E-2</v>
      </c>
      <c r="I274" s="2">
        <v>2.910258298769659E-2</v>
      </c>
      <c r="J274" s="2">
        <v>-1.5873349156290122E-2</v>
      </c>
      <c r="K274" s="2">
        <v>-9.970090556686332E-4</v>
      </c>
      <c r="L274" s="2">
        <v>-3.5149421074444969E-3</v>
      </c>
      <c r="M274" s="2">
        <v>-2.6888900216331061E-2</v>
      </c>
      <c r="N274" s="2">
        <v>2.1572485254127759E-2</v>
      </c>
      <c r="O274" s="2">
        <v>-1.1065785277088449E-2</v>
      </c>
      <c r="P274" s="2">
        <v>-4.1576426845740443E-2</v>
      </c>
      <c r="Q274" s="15">
        <f>AVERAGE(Tableau2[[#This Row],[AWB]:[IAM]])</f>
        <v>3.9962261960707944E-3</v>
      </c>
      <c r="R274" s="15">
        <f>ABS(Tableau2[[#This Row],[Rm ]])</f>
        <v>3.9962261960707944E-3</v>
      </c>
      <c r="S274" s="15">
        <f>(Tableau2[[#This Row],[Rm ]]-Tableau2[[#Totals],[Rm ]])^2</f>
        <v>1.0269275984735637E-5</v>
      </c>
      <c r="T274" s="15">
        <f t="shared" si="8"/>
        <v>0.29796352996789011</v>
      </c>
      <c r="U274" s="15">
        <f t="shared" si="9"/>
        <v>0.33770642762111397</v>
      </c>
    </row>
    <row r="275" spans="1:21" x14ac:dyDescent="0.35">
      <c r="A275" s="10">
        <v>44847</v>
      </c>
      <c r="B275" s="2">
        <v>-1.1862535309820061E-2</v>
      </c>
      <c r="C275" s="2">
        <v>0</v>
      </c>
      <c r="D275" s="2">
        <v>-1.2062299019762321E-2</v>
      </c>
      <c r="E275" s="2">
        <v>-3.212520885897667E-2</v>
      </c>
      <c r="F275" s="2">
        <v>-1.8539111882544659E-2</v>
      </c>
      <c r="G275" s="2">
        <v>-2.8675799976666309E-2</v>
      </c>
      <c r="H275" s="2">
        <v>-4.0491361354736882E-2</v>
      </c>
      <c r="I275" s="2">
        <v>-6.5402456806098776E-3</v>
      </c>
      <c r="J275" s="2">
        <v>1.9980026626730579E-3</v>
      </c>
      <c r="K275" s="2">
        <v>1.246106080247156E-3</v>
      </c>
      <c r="L275" s="2">
        <v>-5.2956875747104549E-3</v>
      </c>
      <c r="M275" s="2">
        <v>-2.1901263953100891E-2</v>
      </c>
      <c r="N275" s="2">
        <v>-5.257781607990724E-2</v>
      </c>
      <c r="O275" s="2">
        <v>-8.5024197373759561E-3</v>
      </c>
      <c r="P275" s="2">
        <v>0</v>
      </c>
      <c r="Q275" s="15">
        <f>AVERAGE(Tableau2[[#This Row],[AWB]:[IAM]])</f>
        <v>-1.5688642712352742E-2</v>
      </c>
      <c r="R275" s="15">
        <f>ABS(Tableau2[[#This Row],[Rm ]])</f>
        <v>1.5688642712352742E-2</v>
      </c>
      <c r="S275" s="15">
        <f>(Tableau2[[#This Row],[Rm ]]-Tableau2[[#Totals],[Rm ]])^2</f>
        <v>2.7160021559832146E-4</v>
      </c>
      <c r="T275" s="15">
        <f t="shared" si="8"/>
        <v>0.18571467846543649</v>
      </c>
      <c r="U275" s="15">
        <f t="shared" si="9"/>
        <v>0.29796352996789011</v>
      </c>
    </row>
    <row r="276" spans="1:21" x14ac:dyDescent="0.35">
      <c r="A276" s="10">
        <v>44848</v>
      </c>
      <c r="B276" s="2">
        <v>-1.9156058323995272E-2</v>
      </c>
      <c r="C276" s="2">
        <v>-1.3000812177251551E-2</v>
      </c>
      <c r="D276" s="2">
        <v>-1.106046380031381E-2</v>
      </c>
      <c r="E276" s="2">
        <v>-6.6784655369032714E-4</v>
      </c>
      <c r="F276" s="2">
        <v>5.3896455831609459E-3</v>
      </c>
      <c r="G276" s="2">
        <v>0</v>
      </c>
      <c r="H276" s="2">
        <v>-7.9655250245746819E-3</v>
      </c>
      <c r="I276" s="2">
        <v>-1.8543577712168961E-2</v>
      </c>
      <c r="J276" s="2">
        <v>2.1718523954642899E-2</v>
      </c>
      <c r="K276" s="2">
        <v>-2.9060794263124259E-2</v>
      </c>
      <c r="L276" s="2">
        <v>-8.8889474172460393E-3</v>
      </c>
      <c r="M276" s="2">
        <v>-1.077209698191107E-2</v>
      </c>
      <c r="N276" s="2">
        <v>-3.8634948250445898E-3</v>
      </c>
      <c r="O276" s="2">
        <v>-4.4009850985317232E-3</v>
      </c>
      <c r="P276" s="2">
        <v>2.331107886844715E-2</v>
      </c>
      <c r="Q276" s="15">
        <f>AVERAGE(Tableau2[[#This Row],[AWB]:[IAM]])</f>
        <v>-5.1307569181067532E-3</v>
      </c>
      <c r="R276" s="15">
        <f>ABS(Tableau2[[#This Row],[Rm ]])</f>
        <v>5.1307569181067532E-3</v>
      </c>
      <c r="S276" s="15">
        <f>(Tableau2[[#This Row],[Rm ]]-Tableau2[[#Totals],[Rm ]])^2</f>
        <v>3.507496397367467E-5</v>
      </c>
      <c r="T276" s="15">
        <f t="shared" si="8"/>
        <v>0.12825872731067958</v>
      </c>
      <c r="U276" s="15">
        <f t="shared" si="9"/>
        <v>0.18571467846543649</v>
      </c>
    </row>
    <row r="277" spans="1:21" x14ac:dyDescent="0.35">
      <c r="A277" s="10">
        <v>44851</v>
      </c>
      <c r="B277" s="2">
        <v>2.4298396112502159E-3</v>
      </c>
      <c r="C277" s="2">
        <v>-8.0525970205808459E-3</v>
      </c>
      <c r="D277" s="2">
        <v>-5.8804085668865899E-3</v>
      </c>
      <c r="E277" s="2">
        <v>-3.3459394818563699E-3</v>
      </c>
      <c r="F277" s="2">
        <v>0</v>
      </c>
      <c r="G277" s="2">
        <v>-9.1324835632724741E-3</v>
      </c>
      <c r="H277" s="2">
        <v>-1.7140396106501692E-2</v>
      </c>
      <c r="I277" s="2">
        <v>-9.4023526783903934E-3</v>
      </c>
      <c r="J277" s="2">
        <v>0</v>
      </c>
      <c r="K277" s="2">
        <v>-2.571236312848901E-2</v>
      </c>
      <c r="L277" s="2">
        <v>-3.6367644170874833E-2</v>
      </c>
      <c r="M277" s="2">
        <v>0</v>
      </c>
      <c r="N277" s="2">
        <v>-9.7245498919947444E-3</v>
      </c>
      <c r="O277" s="2">
        <v>-1.506015379273898E-2</v>
      </c>
      <c r="P277" s="2">
        <v>-1.392133851860812E-2</v>
      </c>
      <c r="Q277" s="15">
        <f>AVERAGE(Tableau2[[#This Row],[AWB]:[IAM]])</f>
        <v>-1.008735915392959E-2</v>
      </c>
      <c r="R277" s="15">
        <f>ABS(Tableau2[[#This Row],[Rm ]])</f>
        <v>1.008735915392959E-2</v>
      </c>
      <c r="S277" s="15">
        <f>(Tableau2[[#This Row],[Rm ]]-Tableau2[[#Totals],[Rm ]])^2</f>
        <v>1.1835295088271473E-4</v>
      </c>
      <c r="T277" s="15">
        <f t="shared" si="8"/>
        <v>0.11195181915476277</v>
      </c>
      <c r="U277" s="15">
        <f t="shared" si="9"/>
        <v>0.12825872731067958</v>
      </c>
    </row>
    <row r="278" spans="1:21" x14ac:dyDescent="0.35">
      <c r="A278" s="10">
        <v>44853</v>
      </c>
      <c r="B278" s="2">
        <v>-9.8775268052309333E-3</v>
      </c>
      <c r="C278" s="2">
        <v>0</v>
      </c>
      <c r="D278" s="2">
        <v>-1.180405742811891E-2</v>
      </c>
      <c r="E278" s="2">
        <v>-6.6919123204421671E-3</v>
      </c>
      <c r="F278" s="2">
        <v>-1.4159139360631449E-2</v>
      </c>
      <c r="G278" s="2">
        <v>-1.3857034661426239E-2</v>
      </c>
      <c r="H278" s="2">
        <v>0</v>
      </c>
      <c r="I278" s="2">
        <v>-1.6326893287428781E-2</v>
      </c>
      <c r="J278" s="2">
        <v>-5.0471263926135657E-2</v>
      </c>
      <c r="K278" s="2">
        <v>0</v>
      </c>
      <c r="L278" s="2">
        <v>0</v>
      </c>
      <c r="M278" s="2">
        <v>1.077209698191104E-2</v>
      </c>
      <c r="N278" s="2">
        <v>9.7245498919947809E-3</v>
      </c>
      <c r="O278" s="2">
        <v>-1.0000083334583311E-2</v>
      </c>
      <c r="P278" s="2">
        <v>-4.6838493124263143E-3</v>
      </c>
      <c r="Q278" s="15">
        <f>AVERAGE(Tableau2[[#This Row],[AWB]:[IAM]])</f>
        <v>-7.8250075708345291E-3</v>
      </c>
      <c r="R278" s="15">
        <f>ABS(Tableau2[[#This Row],[Rm ]])</f>
        <v>7.8250075708345291E-3</v>
      </c>
      <c r="S278" s="15">
        <f>(Tableau2[[#This Row],[Rm ]]-Tableau2[[#Totals],[Rm ]])^2</f>
        <v>7.4246875381387068E-5</v>
      </c>
      <c r="T278" s="15">
        <f t="shared" si="8"/>
        <v>0.14051014390757949</v>
      </c>
      <c r="U278" s="15">
        <f t="shared" si="9"/>
        <v>0.11195181915476277</v>
      </c>
    </row>
    <row r="279" spans="1:21" x14ac:dyDescent="0.35">
      <c r="A279" s="10">
        <v>44854</v>
      </c>
      <c r="B279" s="2">
        <v>-2.230575751429828E-2</v>
      </c>
      <c r="C279" s="2">
        <v>-4.7939462289119057E-2</v>
      </c>
      <c r="D279" s="2">
        <v>-2.4412720669885059E-2</v>
      </c>
      <c r="E279" s="2">
        <v>-2.386715541183361E-2</v>
      </c>
      <c r="F279" s="2">
        <v>-1.8631943263348529E-2</v>
      </c>
      <c r="G279" s="2">
        <v>-2.0202707317519469E-2</v>
      </c>
      <c r="H279" s="2">
        <v>-6.1695109838576283E-2</v>
      </c>
      <c r="I279" s="2">
        <v>-6.0796104282772843E-2</v>
      </c>
      <c r="J279" s="2">
        <v>-3.9385065195725363E-2</v>
      </c>
      <c r="K279" s="2">
        <v>-1.350835002479219E-2</v>
      </c>
      <c r="L279" s="2">
        <v>-3.7740327982847093E-2</v>
      </c>
      <c r="M279" s="2">
        <v>-2.825251295188385E-2</v>
      </c>
      <c r="N279" s="2">
        <v>-2.2839491969822791E-2</v>
      </c>
      <c r="O279" s="2">
        <v>0</v>
      </c>
      <c r="P279" s="2">
        <v>1.8605187831034271E-2</v>
      </c>
      <c r="Q279" s="15">
        <f>AVERAGE(Tableau2[[#This Row],[AWB]:[IAM]])</f>
        <v>-2.6864768058759345E-2</v>
      </c>
      <c r="R279" s="15">
        <f>ABS(Tableau2[[#This Row],[Rm ]])</f>
        <v>2.6864768058759345E-2</v>
      </c>
      <c r="S279" s="15">
        <f>(Tableau2[[#This Row],[Rm ]]-Tableau2[[#Totals],[Rm ]])^2</f>
        <v>7.6487774128940439E-4</v>
      </c>
      <c r="T279" s="15">
        <f t="shared" si="8"/>
        <v>0.18680132287959614</v>
      </c>
      <c r="U279" s="15">
        <f t="shared" si="9"/>
        <v>0.14051014390757949</v>
      </c>
    </row>
    <row r="280" spans="1:21" x14ac:dyDescent="0.35">
      <c r="A280" s="10">
        <v>44855</v>
      </c>
      <c r="B280" s="2">
        <v>-2.5094116054258072E-3</v>
      </c>
      <c r="C280" s="2">
        <v>-4.46528250330652E-4</v>
      </c>
      <c r="D280" s="2">
        <v>-5.81691068618092E-3</v>
      </c>
      <c r="E280" s="2">
        <v>-6.9002857052743718E-3</v>
      </c>
      <c r="F280" s="2">
        <v>-3.2575049684427392E-2</v>
      </c>
      <c r="G280" s="2">
        <v>-3.327790092674691E-3</v>
      </c>
      <c r="H280" s="2">
        <v>-1.7641632397944741E-2</v>
      </c>
      <c r="I280" s="2">
        <v>2.4479264084779628E-2</v>
      </c>
      <c r="J280" s="2">
        <v>8.5106896679086105E-3</v>
      </c>
      <c r="K280" s="2">
        <v>-1.342302033214066E-2</v>
      </c>
      <c r="L280" s="2">
        <v>2.843793532053341E-2</v>
      </c>
      <c r="M280" s="2">
        <v>2.8252512951883951E-2</v>
      </c>
      <c r="N280" s="2">
        <v>-5.6343370422878562E-2</v>
      </c>
      <c r="O280" s="2">
        <v>-4.0769650831583321E-2</v>
      </c>
      <c r="P280" s="2">
        <v>-3.2789822822990838E-2</v>
      </c>
      <c r="Q280" s="15">
        <f>AVERAGE(Tableau2[[#This Row],[AWB]:[IAM]])</f>
        <v>-8.1908713871164229E-3</v>
      </c>
      <c r="R280" s="15">
        <f>ABS(Tableau2[[#This Row],[Rm ]])</f>
        <v>8.1908713871164229E-3</v>
      </c>
      <c r="S280" s="15">
        <f>(Tableau2[[#This Row],[Rm ]]-Tableau2[[#Totals],[Rm ]])^2</f>
        <v>8.0685781881623429E-5</v>
      </c>
      <c r="T280" s="15">
        <f t="shared" si="8"/>
        <v>0.26583561499838443</v>
      </c>
      <c r="U280" s="15">
        <f t="shared" si="9"/>
        <v>0.18680132287959614</v>
      </c>
    </row>
    <row r="281" spans="1:21" x14ac:dyDescent="0.35">
      <c r="A281" s="10">
        <v>44862</v>
      </c>
      <c r="B281" s="2">
        <v>-2.0048888771826791E-2</v>
      </c>
      <c r="C281" s="2">
        <v>-1.75719772523476E-2</v>
      </c>
      <c r="D281" s="2">
        <v>-1.2378132905048401E-2</v>
      </c>
      <c r="E281" s="2">
        <v>3.4135808624152657E-2</v>
      </c>
      <c r="F281" s="2">
        <v>6.5995632811667454E-3</v>
      </c>
      <c r="G281" s="2">
        <v>4.1507473811348602E-2</v>
      </c>
      <c r="H281" s="2">
        <v>5.0623345251092883E-2</v>
      </c>
      <c r="I281" s="2">
        <v>-4.2765567672603047E-3</v>
      </c>
      <c r="J281" s="2">
        <v>1.55563364147285E-2</v>
      </c>
      <c r="K281" s="2">
        <v>1.3156318103596191E-2</v>
      </c>
      <c r="L281" s="2">
        <v>0</v>
      </c>
      <c r="M281" s="2">
        <v>-1.8018505502678361E-2</v>
      </c>
      <c r="N281" s="2">
        <v>4.8763593667769346E-3</v>
      </c>
      <c r="O281" s="2">
        <v>-2.6788500179707759E-2</v>
      </c>
      <c r="P281" s="2">
        <v>-3.3901551675681339E-2</v>
      </c>
      <c r="Q281" s="15">
        <f>AVERAGE(Tableau2[[#This Row],[AWB]:[IAM]])</f>
        <v>2.231406119887465E-3</v>
      </c>
      <c r="R281" s="15">
        <f>ABS(Tableau2[[#This Row],[Rm ]])</f>
        <v>2.231406119887465E-3</v>
      </c>
      <c r="S281" s="15">
        <f>(Tableau2[[#This Row],[Rm ]]-Tableau2[[#Totals],[Rm ]])^2</f>
        <v>2.072883032946522E-6</v>
      </c>
      <c r="T281" s="15">
        <f t="shared" si="8"/>
        <v>0.2679466300847696</v>
      </c>
      <c r="U281" s="15">
        <f t="shared" si="9"/>
        <v>0.26583561499838443</v>
      </c>
    </row>
    <row r="282" spans="1:21" x14ac:dyDescent="0.35">
      <c r="A282" s="10">
        <v>44865</v>
      </c>
      <c r="B282" s="2">
        <v>-1.315978222482663E-2</v>
      </c>
      <c r="C282" s="2">
        <v>0</v>
      </c>
      <c r="D282" s="2">
        <v>-6.1823999083174281E-3</v>
      </c>
      <c r="E282" s="2">
        <v>-2.7235522918878419E-2</v>
      </c>
      <c r="F282" s="2">
        <v>-1.3242970307595459E-2</v>
      </c>
      <c r="G282" s="2">
        <v>-1.8442200880352571E-2</v>
      </c>
      <c r="H282" s="2">
        <v>2.9609008830133528E-3</v>
      </c>
      <c r="I282" s="2">
        <v>-2.0202707317519351E-2</v>
      </c>
      <c r="J282" s="2">
        <v>-3.0497916412927591E-2</v>
      </c>
      <c r="K282" s="2">
        <v>2.667022285444728E-4</v>
      </c>
      <c r="L282" s="2">
        <v>0</v>
      </c>
      <c r="M282" s="2">
        <v>-1.8349138668196541E-2</v>
      </c>
      <c r="N282" s="2">
        <v>2.8093659870793E-2</v>
      </c>
      <c r="O282" s="2">
        <v>0</v>
      </c>
      <c r="P282" s="2">
        <v>0</v>
      </c>
      <c r="Q282" s="15">
        <f>AVERAGE(Tableau2[[#This Row],[AWB]:[IAM]])</f>
        <v>-7.7327583770842121E-3</v>
      </c>
      <c r="R282" s="15">
        <f>ABS(Tableau2[[#This Row],[Rm ]])</f>
        <v>7.7327583770842121E-3</v>
      </c>
      <c r="S282" s="15">
        <f>(Tableau2[[#This Row],[Rm ]]-Tableau2[[#Totals],[Rm ]])^2</f>
        <v>7.2665624928886725E-5</v>
      </c>
      <c r="T282" s="15">
        <f t="shared" si="8"/>
        <v>0.16678461902946889</v>
      </c>
      <c r="U282" s="15">
        <f t="shared" si="9"/>
        <v>0.2679466300847696</v>
      </c>
    </row>
    <row r="283" spans="1:21" x14ac:dyDescent="0.35">
      <c r="A283" s="10">
        <v>44867</v>
      </c>
      <c r="B283" s="2">
        <v>1.2903404835907781E-2</v>
      </c>
      <c r="C283" s="2">
        <v>0</v>
      </c>
      <c r="D283" s="2">
        <v>-6.4620357660649002E-4</v>
      </c>
      <c r="E283" s="2">
        <v>3.390500721413197E-2</v>
      </c>
      <c r="F283" s="2">
        <v>4.435335901889677E-3</v>
      </c>
      <c r="G283" s="2">
        <v>-1.8630652803930661E-3</v>
      </c>
      <c r="H283" s="2">
        <v>-1.7392816810519779E-4</v>
      </c>
      <c r="I283" s="2">
        <v>5.8139698654198161E-3</v>
      </c>
      <c r="J283" s="2">
        <v>-2.1528533611010901E-3</v>
      </c>
      <c r="K283" s="2">
        <v>-5.3476063265952417E-3</v>
      </c>
      <c r="L283" s="2">
        <v>-1.8868484304382808E-2</v>
      </c>
      <c r="M283" s="2">
        <v>1.324522675002072E-2</v>
      </c>
      <c r="N283" s="2">
        <v>6.7340321813441186E-3</v>
      </c>
      <c r="O283" s="2">
        <v>1.5735756082296739E-2</v>
      </c>
      <c r="P283" s="2">
        <v>-7.2517725330387112E-2</v>
      </c>
      <c r="Q283" s="15">
        <f>AVERAGE(Tableau2[[#This Row],[AWB]:[IAM]])</f>
        <v>-5.8647556777067882E-4</v>
      </c>
      <c r="R283" s="15">
        <f>ABS(Tableau2[[#This Row],[Rm ]])</f>
        <v>5.8647556777067882E-4</v>
      </c>
      <c r="S283" s="15">
        <f>(Tableau2[[#This Row],[Rm ]]-Tableau2[[#Totals],[Rm ]])^2</f>
        <v>1.8992441052119918E-6</v>
      </c>
      <c r="T283" s="15">
        <f t="shared" si="8"/>
        <v>0.12861833643390813</v>
      </c>
      <c r="U283" s="15">
        <f t="shared" si="9"/>
        <v>0.16678461902946889</v>
      </c>
    </row>
    <row r="284" spans="1:21" x14ac:dyDescent="0.35">
      <c r="A284" s="10">
        <v>44868</v>
      </c>
      <c r="B284" s="2">
        <v>0</v>
      </c>
      <c r="C284" s="2">
        <v>0</v>
      </c>
      <c r="D284" s="2">
        <v>6.462035766065233E-4</v>
      </c>
      <c r="E284" s="2">
        <v>-3.3559512462215467E-2</v>
      </c>
      <c r="F284" s="2">
        <v>3.9728143511226577E-3</v>
      </c>
      <c r="G284" s="2">
        <v>-3.2687397771267888E-3</v>
      </c>
      <c r="H284" s="2">
        <v>7.1063649437499848E-3</v>
      </c>
      <c r="I284" s="2">
        <v>-2.9027596579614631E-3</v>
      </c>
      <c r="J284" s="2">
        <v>0</v>
      </c>
      <c r="K284" s="2">
        <v>-8.0754140055454178E-3</v>
      </c>
      <c r="L284" s="2">
        <v>0</v>
      </c>
      <c r="M284" s="2">
        <v>5.103911918175821E-3</v>
      </c>
      <c r="N284" s="2">
        <v>-3.4133006369458471E-2</v>
      </c>
      <c r="O284" s="2">
        <v>-1.0373812940911289E-2</v>
      </c>
      <c r="P284" s="2">
        <v>-1.0649727916658041E-2</v>
      </c>
      <c r="Q284" s="15">
        <f>AVERAGE(Tableau2[[#This Row],[AWB]:[IAM]])</f>
        <v>-5.7422452226814635E-3</v>
      </c>
      <c r="R284" s="15">
        <f>ABS(Tableau2[[#This Row],[Rm ]])</f>
        <v>5.7422452226814635E-3</v>
      </c>
      <c r="S284" s="15">
        <f>(Tableau2[[#This Row],[Rm ]]-Tableau2[[#Totals],[Rm ]])^2</f>
        <v>4.2691853273891995E-5</v>
      </c>
      <c r="T284" s="15">
        <f t="shared" si="8"/>
        <v>0.13158017798171789</v>
      </c>
      <c r="U284" s="15">
        <f t="shared" si="9"/>
        <v>0.12861833643390813</v>
      </c>
    </row>
    <row r="285" spans="1:21" x14ac:dyDescent="0.35">
      <c r="A285" s="10">
        <v>44869</v>
      </c>
      <c r="B285" s="2">
        <v>-5.1413995004186523E-3</v>
      </c>
      <c r="C285" s="2">
        <v>-9.0950438284049986E-4</v>
      </c>
      <c r="D285" s="2">
        <v>-3.1703950725133711E-3</v>
      </c>
      <c r="E285" s="2">
        <v>5.664012693927744E-2</v>
      </c>
      <c r="F285" s="2">
        <v>-8.8550251828664137E-3</v>
      </c>
      <c r="G285" s="2">
        <v>-1.872659723291777E-3</v>
      </c>
      <c r="H285" s="2">
        <v>-1.5666116744399348E-2</v>
      </c>
      <c r="I285" s="2">
        <v>-4.369999671118379E-3</v>
      </c>
      <c r="J285" s="2">
        <v>3.3901551675681423E-2</v>
      </c>
      <c r="K285" s="2">
        <v>-2.7398974188114392E-2</v>
      </c>
      <c r="L285" s="2">
        <v>4.7506027585977988E-3</v>
      </c>
      <c r="M285" s="2">
        <v>-1.8349138668196541E-2</v>
      </c>
      <c r="N285" s="2">
        <v>-1.3986241974739839E-2</v>
      </c>
      <c r="O285" s="2">
        <v>-5.3619431413853991E-3</v>
      </c>
      <c r="P285" s="2">
        <v>0</v>
      </c>
      <c r="Q285" s="15">
        <f>AVERAGE(Tableau2[[#This Row],[AWB]:[IAM]])</f>
        <v>-6.5260779175519725E-4</v>
      </c>
      <c r="R285" s="15">
        <f>ABS(Tableau2[[#This Row],[Rm ]])</f>
        <v>6.5260779175519725E-4</v>
      </c>
      <c r="S285" s="15">
        <f>(Tableau2[[#This Row],[Rm ]]-Tableau2[[#Totals],[Rm ]])^2</f>
        <v>2.0858952667160145E-6</v>
      </c>
      <c r="T285" s="15">
        <f t="shared" si="8"/>
        <v>0.19519632447551671</v>
      </c>
      <c r="U285" s="15">
        <f t="shared" si="9"/>
        <v>0.13158017798171789</v>
      </c>
    </row>
    <row r="286" spans="1:21" x14ac:dyDescent="0.35">
      <c r="A286" s="10">
        <v>44874</v>
      </c>
      <c r="B286" s="2">
        <v>-2.580646593491625E-3</v>
      </c>
      <c r="C286" s="2">
        <v>-8.2229791804319923E-3</v>
      </c>
      <c r="D286" s="2">
        <v>-9.4410962683752833E-3</v>
      </c>
      <c r="E286" s="2">
        <v>-2.3080614477061921E-2</v>
      </c>
      <c r="F286" s="2">
        <v>-2.8870156443143839E-2</v>
      </c>
      <c r="G286" s="2">
        <v>-3.1416196233378928E-2</v>
      </c>
      <c r="H286" s="2">
        <v>-3.5718082602079232E-2</v>
      </c>
      <c r="I286" s="2">
        <v>-5.3986121558135147E-2</v>
      </c>
      <c r="J286" s="2">
        <v>-4.2559614418795889E-2</v>
      </c>
      <c r="K286" s="2">
        <v>0</v>
      </c>
      <c r="L286" s="2">
        <v>-2.3981964686485439E-2</v>
      </c>
      <c r="M286" s="2">
        <v>-7.4349784875180902E-3</v>
      </c>
      <c r="N286" s="2">
        <v>7.0175726586465398E-3</v>
      </c>
      <c r="O286" s="2">
        <v>-1.6260520871780291E-2</v>
      </c>
      <c r="P286" s="2">
        <v>-4.2918520815409204E-3</v>
      </c>
      <c r="Q286" s="15">
        <f>AVERAGE(Tableau2[[#This Row],[AWB]:[IAM]])</f>
        <v>-1.8721816749571473E-2</v>
      </c>
      <c r="R286" s="15">
        <f>ABS(Tableau2[[#This Row],[Rm ]])</f>
        <v>1.8721816749571473E-2</v>
      </c>
      <c r="S286" s="15">
        <f>(Tableau2[[#This Row],[Rm ]]-Tableau2[[#Totals],[Rm ]])^2</f>
        <v>3.8077558316754737E-4</v>
      </c>
      <c r="T286" s="15">
        <f t="shared" si="8"/>
        <v>0.20365209932066497</v>
      </c>
      <c r="U286" s="15">
        <f t="shared" si="9"/>
        <v>0.19519632447551671</v>
      </c>
    </row>
    <row r="287" spans="1:21" x14ac:dyDescent="0.35">
      <c r="A287" s="10">
        <v>44875</v>
      </c>
      <c r="B287" s="2">
        <v>-3.9530838756635198E-2</v>
      </c>
      <c r="C287" s="2">
        <v>-1.3857034661426239E-2</v>
      </c>
      <c r="D287" s="2">
        <v>-1.2706316643401249E-2</v>
      </c>
      <c r="E287" s="2">
        <v>-4.0805292919406357E-2</v>
      </c>
      <c r="F287" s="2">
        <v>2.0386903080031969E-2</v>
      </c>
      <c r="G287" s="2">
        <v>-2.7452704408689861E-2</v>
      </c>
      <c r="H287" s="2">
        <v>-1.8183471274757111E-4</v>
      </c>
      <c r="I287" s="2">
        <v>-4.5713238664952811E-2</v>
      </c>
      <c r="J287" s="2">
        <v>1.638674011477274E-2</v>
      </c>
      <c r="K287" s="2">
        <v>0</v>
      </c>
      <c r="L287" s="2">
        <v>-9.7561749453646852E-3</v>
      </c>
      <c r="M287" s="2">
        <v>-3.8027395589239253E-2</v>
      </c>
      <c r="N287" s="2">
        <v>-2.120220765060294E-2</v>
      </c>
      <c r="O287" s="2">
        <v>-8.5060191823416436E-3</v>
      </c>
      <c r="P287" s="2">
        <v>0</v>
      </c>
      <c r="Q287" s="15">
        <f>AVERAGE(Tableau2[[#This Row],[AWB]:[IAM]])</f>
        <v>-1.4731027662666873E-2</v>
      </c>
      <c r="R287" s="15">
        <f>ABS(Tableau2[[#This Row],[Rm ]])</f>
        <v>1.4731027662666873E-2</v>
      </c>
      <c r="S287" s="15">
        <f>(Tableau2[[#This Row],[Rm ]]-Tableau2[[#Totals],[Rm ]])^2</f>
        <v>2.4095367978727931E-4</v>
      </c>
      <c r="T287" s="15">
        <f t="shared" si="8"/>
        <v>0.23494206487522792</v>
      </c>
      <c r="U287" s="15">
        <f t="shared" si="9"/>
        <v>0.20365209932066497</v>
      </c>
    </row>
    <row r="288" spans="1:21" x14ac:dyDescent="0.35">
      <c r="A288" s="10">
        <v>44876</v>
      </c>
      <c r="B288" s="2">
        <v>2.6845653706689828E-3</v>
      </c>
      <c r="C288" s="2">
        <v>-2.3530497410194161E-2</v>
      </c>
      <c r="D288" s="2">
        <v>0</v>
      </c>
      <c r="E288" s="2">
        <v>3.6788820003099458E-2</v>
      </c>
      <c r="F288" s="2">
        <v>1.7781214727906822E-2</v>
      </c>
      <c r="G288" s="2">
        <v>9.9354205887773562E-4</v>
      </c>
      <c r="H288" s="2">
        <v>-1.8167303955448941E-2</v>
      </c>
      <c r="I288" s="2">
        <v>4.7252884850545511E-2</v>
      </c>
      <c r="J288" s="2">
        <v>1.780462463350669E-2</v>
      </c>
      <c r="K288" s="2">
        <v>-2.8170876966696339E-2</v>
      </c>
      <c r="L288" s="2">
        <v>4.8899852941917711E-3</v>
      </c>
      <c r="M288" s="2">
        <v>0</v>
      </c>
      <c r="N288" s="2">
        <v>0</v>
      </c>
      <c r="O288" s="2">
        <v>-2.200952474360875E-2</v>
      </c>
      <c r="P288" s="2">
        <v>-2.3940207546008351E-2</v>
      </c>
      <c r="Q288" s="15">
        <f>AVERAGE(Tableau2[[#This Row],[AWB]:[IAM]])</f>
        <v>8.2514842112269492E-4</v>
      </c>
      <c r="R288" s="15">
        <f>ABS(Tableau2[[#This Row],[Rm ]])</f>
        <v>8.2514842112269492E-4</v>
      </c>
      <c r="S288" s="15">
        <f>(Tableau2[[#This Row],[Rm ]]-Tableau2[[#Totals],[Rm ]])^2</f>
        <v>1.1218033433241068E-9</v>
      </c>
      <c r="T288" s="15">
        <f t="shared" si="8"/>
        <v>0.22172486374588721</v>
      </c>
      <c r="U288" s="15">
        <f t="shared" si="9"/>
        <v>0.23494206487522792</v>
      </c>
    </row>
    <row r="289" spans="1:21" x14ac:dyDescent="0.35">
      <c r="A289" s="10">
        <v>44880</v>
      </c>
      <c r="B289" s="2">
        <v>2.6717632062787711E-2</v>
      </c>
      <c r="C289" s="2">
        <v>4.6520015634892907E-2</v>
      </c>
      <c r="D289" s="2">
        <v>2.5317807984290001E-2</v>
      </c>
      <c r="E289" s="2">
        <v>-4.7282095718938197E-2</v>
      </c>
      <c r="F289" s="2">
        <v>2.608834009476289E-2</v>
      </c>
      <c r="G289" s="2">
        <v>1.7716998853946241E-2</v>
      </c>
      <c r="H289" s="2">
        <v>2.5595547188963719E-2</v>
      </c>
      <c r="I289" s="2">
        <v>7.6628727455690972E-3</v>
      </c>
      <c r="J289" s="2">
        <v>-2.8987536873252302E-2</v>
      </c>
      <c r="K289" s="2">
        <v>1.980262729617973E-2</v>
      </c>
      <c r="L289" s="2">
        <v>-3.9100734078430007E-3</v>
      </c>
      <c r="M289" s="2">
        <v>9.2593254127967262E-3</v>
      </c>
      <c r="N289" s="2">
        <v>2.7476191284017779E-2</v>
      </c>
      <c r="O289" s="2">
        <v>1.9250141094280891E-2</v>
      </c>
      <c r="P289" s="2">
        <v>-6.6298585386696876E-3</v>
      </c>
      <c r="Q289" s="15">
        <f>AVERAGE(Tableau2[[#This Row],[AWB]:[IAM]])</f>
        <v>1.0973195674252301E-2</v>
      </c>
      <c r="R289" s="15">
        <f>ABS(Tableau2[[#This Row],[Rm ]])</f>
        <v>1.0973195674252301E-2</v>
      </c>
      <c r="S289" s="15">
        <f>(Tableau2[[#This Row],[Rm ]]-Tableau2[[#Totals],[Rm ]])^2</f>
        <v>1.0366376870331862E-4</v>
      </c>
      <c r="T289" s="15">
        <f t="shared" si="8"/>
        <v>0.25502356358630845</v>
      </c>
      <c r="U289" s="15">
        <f t="shared" si="9"/>
        <v>0.22172486374588721</v>
      </c>
    </row>
    <row r="290" spans="1:21" x14ac:dyDescent="0.35">
      <c r="A290" s="10">
        <v>44881</v>
      </c>
      <c r="B290" s="2">
        <v>1.785068741708885E-2</v>
      </c>
      <c r="C290" s="2">
        <v>2.272469047388926E-4</v>
      </c>
      <c r="D290" s="2">
        <v>0</v>
      </c>
      <c r="E290" s="2">
        <v>-3.522370672505781E-3</v>
      </c>
      <c r="F290" s="2">
        <v>-2.7852301136139051E-2</v>
      </c>
      <c r="G290" s="2">
        <v>-4.8792389355421919E-4</v>
      </c>
      <c r="H290" s="2">
        <v>-2.1898685307637569E-2</v>
      </c>
      <c r="I290" s="2">
        <v>-7.6628727455691371E-3</v>
      </c>
      <c r="J290" s="2">
        <v>2.8987536873252409E-2</v>
      </c>
      <c r="K290" s="2">
        <v>-1.9802627296179751E-2</v>
      </c>
      <c r="L290" s="2">
        <v>-9.7991188634880119E-4</v>
      </c>
      <c r="M290" s="2">
        <v>6.1255934266825768E-3</v>
      </c>
      <c r="N290" s="2">
        <v>0</v>
      </c>
      <c r="O290" s="2">
        <v>-3.1436773423564358E-2</v>
      </c>
      <c r="P290" s="2">
        <v>1.5401844611506701E-2</v>
      </c>
      <c r="Q290" s="15">
        <f>AVERAGE(Tableau2[[#This Row],[AWB]:[IAM]])</f>
        <v>-3.0033704752152825E-3</v>
      </c>
      <c r="R290" s="15">
        <f>ABS(Tableau2[[#This Row],[Rm ]])</f>
        <v>3.0033704752152825E-3</v>
      </c>
      <c r="S290" s="15">
        <f>(Tableau2[[#This Row],[Rm ]]-Tableau2[[#Totals],[Rm ]])^2</f>
        <v>1.4402219027762553E-5</v>
      </c>
      <c r="T290" s="15">
        <f t="shared" si="8"/>
        <v>0.1711326147130007</v>
      </c>
      <c r="U290" s="15">
        <f t="shared" si="9"/>
        <v>0.25502356358630845</v>
      </c>
    </row>
    <row r="291" spans="1:21" x14ac:dyDescent="0.35">
      <c r="A291" s="10">
        <v>44882</v>
      </c>
      <c r="B291" s="2">
        <v>3.7740327982847113E-2</v>
      </c>
      <c r="C291" s="2">
        <v>3.1095224224302258E-2</v>
      </c>
      <c r="D291" s="2">
        <v>1.8560532813365921E-2</v>
      </c>
      <c r="E291" s="2">
        <v>0</v>
      </c>
      <c r="F291" s="2">
        <v>1.489099647624904E-2</v>
      </c>
      <c r="G291" s="2">
        <v>0</v>
      </c>
      <c r="H291" s="2">
        <v>1.465227678687041E-2</v>
      </c>
      <c r="I291" s="2">
        <v>-1.5396461855927499E-3</v>
      </c>
      <c r="J291" s="2">
        <v>2.8987536873252191E-2</v>
      </c>
      <c r="K291" s="2">
        <v>2.8567347716056471E-4</v>
      </c>
      <c r="L291" s="2">
        <v>-1.481508578514059E-2</v>
      </c>
      <c r="M291" s="2">
        <v>5.5673002426241583E-2</v>
      </c>
      <c r="N291" s="2">
        <v>7.6151285272523421E-3</v>
      </c>
      <c r="O291" s="2">
        <v>2.5895057938852498E-2</v>
      </c>
      <c r="P291" s="2">
        <v>1.3015368112070229E-2</v>
      </c>
      <c r="Q291" s="15">
        <f>AVERAGE(Tableau2[[#This Row],[AWB]:[IAM]])</f>
        <v>1.547042624451539E-2</v>
      </c>
      <c r="R291" s="15">
        <f>ABS(Tableau2[[#This Row],[Rm ]])</f>
        <v>1.547042624451539E-2</v>
      </c>
      <c r="S291" s="15">
        <f>(Tableau2[[#This Row],[Rm ]]-Tableau2[[#Totals],[Rm ]])^2</f>
        <v>2.1546632265643232E-4</v>
      </c>
      <c r="T291" s="15">
        <f t="shared" si="8"/>
        <v>0.20796686199325631</v>
      </c>
      <c r="U291" s="15">
        <f t="shared" si="9"/>
        <v>0.1711326147130007</v>
      </c>
    </row>
    <row r="292" spans="1:21" x14ac:dyDescent="0.35">
      <c r="A292" s="10">
        <v>44886</v>
      </c>
      <c r="B292" s="2">
        <v>-9.9256397999699306E-3</v>
      </c>
      <c r="C292" s="2">
        <v>-4.4062569560656832E-4</v>
      </c>
      <c r="D292" s="2">
        <v>0</v>
      </c>
      <c r="E292" s="2">
        <v>2.7974825443728459E-2</v>
      </c>
      <c r="F292" s="2">
        <v>1.2102424682429429E-2</v>
      </c>
      <c r="G292" s="2">
        <v>-4.8816207950121241E-4</v>
      </c>
      <c r="H292" s="2">
        <v>0</v>
      </c>
      <c r="I292" s="2">
        <v>3.076925504479099E-3</v>
      </c>
      <c r="J292" s="2">
        <v>-2.06192872027357E-2</v>
      </c>
      <c r="K292" s="2">
        <v>1.389896151479573E-2</v>
      </c>
      <c r="L292" s="2">
        <v>5.4224318120807073E-2</v>
      </c>
      <c r="M292" s="2">
        <v>-1.3081581897489279E-2</v>
      </c>
      <c r="N292" s="2">
        <v>-1.3190055858169181E-2</v>
      </c>
      <c r="O292" s="2">
        <v>-2.7789356855214382E-4</v>
      </c>
      <c r="P292" s="2">
        <v>-8.6580627431145415E-3</v>
      </c>
      <c r="Q292" s="15">
        <f>AVERAGE(Tableau2[[#This Row],[AWB]:[IAM]])</f>
        <v>2.973076428073416E-3</v>
      </c>
      <c r="R292" s="15">
        <f>ABS(Tableau2[[#This Row],[Rm ]])</f>
        <v>2.973076428073416E-3</v>
      </c>
      <c r="S292" s="15">
        <f>(Tableau2[[#This Row],[Rm ]]-Tableau2[[#Totals],[Rm ]])^2</f>
        <v>4.7585990616027126E-6</v>
      </c>
      <c r="T292" s="15">
        <f t="shared" si="8"/>
        <v>0.18196841635863667</v>
      </c>
      <c r="U292" s="15">
        <f t="shared" si="9"/>
        <v>0.20796686199325631</v>
      </c>
    </row>
    <row r="293" spans="1:21" x14ac:dyDescent="0.35">
      <c r="A293" s="10">
        <v>44895</v>
      </c>
      <c r="B293" s="2">
        <v>4.9751346401137077E-3</v>
      </c>
      <c r="C293" s="2">
        <v>4.406256956066254E-4</v>
      </c>
      <c r="D293" s="2">
        <v>1.2164143307394921E-2</v>
      </c>
      <c r="E293" s="2">
        <v>1.680826206172395E-2</v>
      </c>
      <c r="F293" s="2">
        <v>-3.4080546552242769E-2</v>
      </c>
      <c r="G293" s="2">
        <v>-4.8009219186360613E-2</v>
      </c>
      <c r="H293" s="2">
        <v>3.5718082602079253E-2</v>
      </c>
      <c r="I293" s="2">
        <v>1.524419764311712E-2</v>
      </c>
      <c r="J293" s="2">
        <v>-8.7885060330792353E-3</v>
      </c>
      <c r="K293" s="2">
        <v>6.8053463245015572E-2</v>
      </c>
      <c r="L293" s="2">
        <v>3.6098320172478868E-2</v>
      </c>
      <c r="M293" s="2">
        <v>-6.4197199243334252E-2</v>
      </c>
      <c r="N293" s="2">
        <v>-1.3986016265834891E-3</v>
      </c>
      <c r="O293" s="2">
        <v>0.1059162255915493</v>
      </c>
      <c r="P293" s="2">
        <v>1.510276818575665E-2</v>
      </c>
      <c r="Q293" s="15">
        <f>AVERAGE(Tableau2[[#This Row],[AWB]:[IAM]])</f>
        <v>1.0269810033549041E-2</v>
      </c>
      <c r="R293" s="15">
        <f>ABS(Tableau2[[#This Row],[Rm ]])</f>
        <v>1.0269810033549041E-2</v>
      </c>
      <c r="S293" s="15">
        <f>(Tableau2[[#This Row],[Rm ]]-Tableau2[[#Totals],[Rm ]])^2</f>
        <v>8.9835421166078747E-5</v>
      </c>
      <c r="T293" s="15">
        <f t="shared" si="8"/>
        <v>0.4413832041393862</v>
      </c>
      <c r="U293" s="15">
        <f t="shared" si="9"/>
        <v>0.18196841635863667</v>
      </c>
    </row>
    <row r="294" spans="1:21" x14ac:dyDescent="0.35">
      <c r="A294" s="10">
        <v>44897</v>
      </c>
      <c r="B294" s="2">
        <v>1.722059775167056E-2</v>
      </c>
      <c r="C294" s="2">
        <v>1.269441428773313E-2</v>
      </c>
      <c r="D294" s="2">
        <v>1.806548804867104E-2</v>
      </c>
      <c r="E294" s="2">
        <v>0</v>
      </c>
      <c r="F294" s="2">
        <v>1.3242970307595499E-2</v>
      </c>
      <c r="G294" s="2">
        <v>4.4095319865224157E-2</v>
      </c>
      <c r="H294" s="2">
        <v>8.7336799687546315E-3</v>
      </c>
      <c r="I294" s="2">
        <v>-2.2954336069084431E-2</v>
      </c>
      <c r="J294" s="2">
        <v>7.9548252845019537E-3</v>
      </c>
      <c r="K294" s="2">
        <v>-2.6668247082161291E-2</v>
      </c>
      <c r="L294" s="2">
        <v>-1.8349138668196541E-2</v>
      </c>
      <c r="M294" s="2">
        <v>1.3942905969012671E-2</v>
      </c>
      <c r="N294" s="2">
        <v>1.4588657484752691E-2</v>
      </c>
      <c r="O294" s="2">
        <v>2.4204688696817359E-2</v>
      </c>
      <c r="P294" s="2">
        <v>6.403437035207008E-3</v>
      </c>
      <c r="Q294" s="15">
        <f>AVERAGE(Tableau2[[#This Row],[AWB]:[IAM]])</f>
        <v>7.5450175253665612E-3</v>
      </c>
      <c r="R294" s="15">
        <f>ABS(Tableau2[[#This Row],[Rm ]])</f>
        <v>7.5450175253665612E-3</v>
      </c>
      <c r="S294" s="15">
        <f>(Tableau2[[#This Row],[Rm ]]-Tableau2[[#Totals],[Rm ]])^2</f>
        <v>4.5607904206331654E-5</v>
      </c>
      <c r="T294" s="15">
        <f t="shared" si="8"/>
        <v>0.19752126969798725</v>
      </c>
      <c r="U294" s="15">
        <f t="shared" si="9"/>
        <v>0.4413832041393862</v>
      </c>
    </row>
    <row r="295" spans="1:21" x14ac:dyDescent="0.35">
      <c r="A295" s="10">
        <v>44900</v>
      </c>
      <c r="B295" s="2">
        <v>0</v>
      </c>
      <c r="C295" s="2">
        <v>6.9354417571527967E-3</v>
      </c>
      <c r="D295" s="2">
        <v>1.7684465995005651E-2</v>
      </c>
      <c r="E295" s="2">
        <v>0</v>
      </c>
      <c r="F295" s="2">
        <v>4.3771136098874628E-3</v>
      </c>
      <c r="G295" s="2">
        <v>-4.9140148024289293E-3</v>
      </c>
      <c r="H295" s="2">
        <v>-2.6433257068155479E-2</v>
      </c>
      <c r="I295" s="2">
        <v>-9.3313274288841924E-3</v>
      </c>
      <c r="J295" s="2">
        <v>-8.3752583367323833E-3</v>
      </c>
      <c r="K295" s="2">
        <v>3.0345687528048469E-2</v>
      </c>
      <c r="L295" s="2">
        <v>1.7439634285356002E-2</v>
      </c>
      <c r="M295" s="2">
        <v>2.8811697238545601E-2</v>
      </c>
      <c r="N295" s="2">
        <v>5.3704178971861173E-2</v>
      </c>
      <c r="O295" s="2">
        <v>5.8066303735976738E-2</v>
      </c>
      <c r="P295" s="2">
        <v>0</v>
      </c>
      <c r="Q295" s="15">
        <f>AVERAGE(Tableau2[[#This Row],[AWB]:[IAM]])</f>
        <v>1.1220711032375525E-2</v>
      </c>
      <c r="R295" s="15">
        <f>ABS(Tableau2[[#This Row],[Rm ]])</f>
        <v>1.1220711032375525E-2</v>
      </c>
      <c r="S295" s="15">
        <f>(Tableau2[[#This Row],[Rm ]]-Tableau2[[#Totals],[Rm ]])^2</f>
        <v>1.0876520788457992E-4</v>
      </c>
      <c r="T295" s="15">
        <f t="shared" si="8"/>
        <v>0.26698273949086382</v>
      </c>
      <c r="U295" s="15">
        <f t="shared" si="9"/>
        <v>0.19752126969798725</v>
      </c>
    </row>
    <row r="296" spans="1:21" x14ac:dyDescent="0.35">
      <c r="A296" s="10">
        <v>44903</v>
      </c>
      <c r="B296" s="2">
        <v>-1.2195865616677771E-4</v>
      </c>
      <c r="C296" s="2">
        <v>6.2439647365168738E-3</v>
      </c>
      <c r="D296" s="2">
        <v>-5.5764479578409481E-3</v>
      </c>
      <c r="E296" s="2">
        <v>1.0037851802298371E-2</v>
      </c>
      <c r="F296" s="2">
        <v>4.4832440812981343E-2</v>
      </c>
      <c r="G296" s="2">
        <v>-9.2850153963462523E-2</v>
      </c>
      <c r="H296" s="2">
        <v>2.5389234004819381E-2</v>
      </c>
      <c r="I296" s="2">
        <v>1.561280566952411E-3</v>
      </c>
      <c r="J296" s="2">
        <v>7.9581571836570813E-3</v>
      </c>
      <c r="K296" s="2">
        <v>-3.6774404458871941E-3</v>
      </c>
      <c r="L296" s="2">
        <v>-8.2229791804319923E-3</v>
      </c>
      <c r="M296" s="2">
        <v>-7.4766358623062066E-4</v>
      </c>
      <c r="N296" s="2">
        <v>3.9138993211363157E-3</v>
      </c>
      <c r="O296" s="2">
        <v>2.6583412479287759E-2</v>
      </c>
      <c r="P296" s="2">
        <v>7.1825734571255392E-2</v>
      </c>
      <c r="Q296" s="15">
        <f>AVERAGE(Tableau2[[#This Row],[AWB]:[IAM]])</f>
        <v>5.8099554459256587E-3</v>
      </c>
      <c r="R296" s="15">
        <f>ABS(Tableau2[[#This Row],[Rm ]])</f>
        <v>5.8099554459256587E-3</v>
      </c>
      <c r="S296" s="15">
        <f>(Tableau2[[#This Row],[Rm ]]-Tableau2[[#Totals],[Rm ]])^2</f>
        <v>2.5183338479308698E-5</v>
      </c>
      <c r="T296" s="15">
        <f t="shared" si="8"/>
        <v>0.24278748775503212</v>
      </c>
      <c r="U296" s="15">
        <f t="shared" si="9"/>
        <v>0.26698273949086382</v>
      </c>
    </row>
    <row r="297" spans="1:21" x14ac:dyDescent="0.35">
      <c r="A297" s="10">
        <v>44904</v>
      </c>
      <c r="B297" s="2">
        <v>-1.219735318948798E-4</v>
      </c>
      <c r="C297" s="2">
        <v>-4.0864665964957343E-3</v>
      </c>
      <c r="D297" s="2">
        <v>-3.0396060904574812E-4</v>
      </c>
      <c r="E297" s="2">
        <v>1.8355058633258319E-3</v>
      </c>
      <c r="F297" s="2">
        <v>0</v>
      </c>
      <c r="G297" s="2">
        <v>5.3908486348765942E-3</v>
      </c>
      <c r="H297" s="2">
        <v>-7.8651108930604865E-3</v>
      </c>
      <c r="I297" s="2">
        <v>-1.561280566952465E-3</v>
      </c>
      <c r="J297" s="2">
        <v>1.2507819016526771E-3</v>
      </c>
      <c r="K297" s="2">
        <v>0</v>
      </c>
      <c r="L297" s="2">
        <v>7.3126468462865572E-3</v>
      </c>
      <c r="M297" s="2">
        <v>1.115667950096621E-2</v>
      </c>
      <c r="N297" s="2">
        <v>-2.305008207415556E-2</v>
      </c>
      <c r="O297" s="2">
        <v>0</v>
      </c>
      <c r="P297" s="2">
        <v>9.8522964430116395E-3</v>
      </c>
      <c r="Q297" s="15">
        <f>AVERAGE(Tableau2[[#This Row],[AWB]:[IAM]])</f>
        <v>-1.2674338765690864E-5</v>
      </c>
      <c r="R297" s="15">
        <f>ABS(Tableau2[[#This Row],[Rm ]])</f>
        <v>1.2674338765690864E-5</v>
      </c>
      <c r="S297" s="15">
        <f>(Tableau2[[#This Row],[Rm ]]-Tableau2[[#Totals],[Rm ]])^2</f>
        <v>6.4694582724977118E-7</v>
      </c>
      <c r="T297" s="15">
        <f t="shared" si="8"/>
        <v>6.461835041502928E-2</v>
      </c>
      <c r="U297" s="15">
        <f t="shared" si="9"/>
        <v>0.24278748775503212</v>
      </c>
    </row>
    <row r="298" spans="1:21" x14ac:dyDescent="0.35">
      <c r="A298" s="10">
        <v>44907</v>
      </c>
      <c r="B298" s="2">
        <v>0</v>
      </c>
      <c r="C298" s="2">
        <v>4.3010818993907017E-3</v>
      </c>
      <c r="D298" s="2">
        <v>0</v>
      </c>
      <c r="E298" s="2">
        <v>-1.1676593096354279E-3</v>
      </c>
      <c r="F298" s="2">
        <v>0</v>
      </c>
      <c r="G298" s="2">
        <v>3.4868825650823859E-2</v>
      </c>
      <c r="H298" s="2">
        <v>-2.3254797820744039E-2</v>
      </c>
      <c r="I298" s="2">
        <v>1.561280566952411E-3</v>
      </c>
      <c r="J298" s="2">
        <v>0</v>
      </c>
      <c r="K298" s="2">
        <v>0</v>
      </c>
      <c r="L298" s="2">
        <v>0</v>
      </c>
      <c r="M298" s="2">
        <v>1.478196869310965E-3</v>
      </c>
      <c r="N298" s="2">
        <v>2.3050082074155539E-2</v>
      </c>
      <c r="O298" s="2">
        <v>-1.354422510775726E-2</v>
      </c>
      <c r="P298" s="2">
        <v>-2.9852963149681049E-2</v>
      </c>
      <c r="Q298" s="15">
        <f>AVERAGE(Tableau2[[#This Row],[AWB]:[IAM]])</f>
        <v>-1.7067855514562024E-4</v>
      </c>
      <c r="R298" s="15">
        <f>ABS(Tableau2[[#This Row],[Rm ]])</f>
        <v>1.7067855514562024E-4</v>
      </c>
      <c r="S298" s="15">
        <f>(Tableau2[[#This Row],[Rm ]]-Tableau2[[#Totals],[Rm ]])^2</f>
        <v>9.2608604131443916E-7</v>
      </c>
      <c r="T298" s="15">
        <f t="shared" si="8"/>
        <v>0.10657039671290418</v>
      </c>
      <c r="U298" s="15">
        <f t="shared" si="9"/>
        <v>6.461835041502928E-2</v>
      </c>
    </row>
    <row r="299" spans="1:21" x14ac:dyDescent="0.35">
      <c r="A299" s="10">
        <v>44908</v>
      </c>
      <c r="B299" s="2">
        <v>-2.439917054924261E-4</v>
      </c>
      <c r="C299" s="2">
        <v>0</v>
      </c>
      <c r="D299" s="2">
        <v>0</v>
      </c>
      <c r="E299" s="2">
        <v>1.5698805551884489E-2</v>
      </c>
      <c r="F299" s="2">
        <v>9.5570146043719162E-3</v>
      </c>
      <c r="G299" s="2">
        <v>-4.0259674285700403E-2</v>
      </c>
      <c r="H299" s="2">
        <v>5.7306747089850736E-3</v>
      </c>
      <c r="I299" s="2">
        <v>1.3942905969012671E-2</v>
      </c>
      <c r="J299" s="2">
        <v>3.157941315332248E-2</v>
      </c>
      <c r="K299" s="2">
        <v>5.1293294387550481E-2</v>
      </c>
      <c r="L299" s="2">
        <v>-7.3126468462866023E-3</v>
      </c>
      <c r="M299" s="2">
        <v>7.382798415809127E-4</v>
      </c>
      <c r="N299" s="2">
        <v>0</v>
      </c>
      <c r="O299" s="2">
        <v>4.401688541677426E-2</v>
      </c>
      <c r="P299" s="2">
        <v>-1.015237146401796E-2</v>
      </c>
      <c r="Q299" s="15">
        <f>AVERAGE(Tableau2[[#This Row],[AWB]:[IAM]])</f>
        <v>7.6392392887989925E-3</v>
      </c>
      <c r="R299" s="15">
        <f>ABS(Tableau2[[#This Row],[Rm ]])</f>
        <v>7.6392392887989925E-3</v>
      </c>
      <c r="S299" s="15">
        <f>(Tableau2[[#This Row],[Rm ]]-Tableau2[[#Totals],[Rm ]])^2</f>
        <v>4.688940938287278E-5</v>
      </c>
      <c r="T299" s="15">
        <f t="shared" si="8"/>
        <v>0.2239002633309489</v>
      </c>
      <c r="U299" s="15">
        <f t="shared" si="9"/>
        <v>0.10657039671290418</v>
      </c>
    </row>
    <row r="300" spans="1:21" x14ac:dyDescent="0.35">
      <c r="A300" s="10">
        <v>44909</v>
      </c>
      <c r="B300" s="2">
        <v>4.8792389355407998E-4</v>
      </c>
      <c r="C300" s="2">
        <v>-2.1461530289481329E-4</v>
      </c>
      <c r="D300" s="2">
        <v>0</v>
      </c>
      <c r="E300" s="2">
        <v>-1.303187061115889E-2</v>
      </c>
      <c r="F300" s="2">
        <v>1.681474707735614E-2</v>
      </c>
      <c r="G300" s="2">
        <v>-1.081665870741023E-3</v>
      </c>
      <c r="H300" s="2">
        <v>0</v>
      </c>
      <c r="I300" s="2">
        <v>-6.1728591070809684E-3</v>
      </c>
      <c r="J300" s="2">
        <v>-2.829999867336667E-3</v>
      </c>
      <c r="K300" s="2">
        <v>0</v>
      </c>
      <c r="L300" s="2">
        <v>8.2229791804319507E-3</v>
      </c>
      <c r="M300" s="2">
        <v>3.683245416296368E-3</v>
      </c>
      <c r="N300" s="2">
        <v>0</v>
      </c>
      <c r="O300" s="2">
        <v>-4.1407926660314998E-3</v>
      </c>
      <c r="P300" s="2">
        <v>-1.0256500167189221E-2</v>
      </c>
      <c r="Q300" s="15">
        <f>AVERAGE(Tableau2[[#This Row],[AWB]:[IAM]])</f>
        <v>-5.6796053498630293E-4</v>
      </c>
      <c r="R300" s="15">
        <f>ABS(Tableau2[[#This Row],[Rm ]])</f>
        <v>5.6796053498630293E-4</v>
      </c>
      <c r="S300" s="15">
        <f>(Tableau2[[#This Row],[Rm ]]-Tableau2[[#Totals],[Rm ]])^2</f>
        <v>1.8485546430942573E-6</v>
      </c>
      <c r="T300" s="15">
        <f t="shared" si="8"/>
        <v>5.9169213169184852E-2</v>
      </c>
      <c r="U300" s="15">
        <f t="shared" si="9"/>
        <v>0.2239002633309489</v>
      </c>
    </row>
    <row r="301" spans="1:21" x14ac:dyDescent="0.35">
      <c r="A301" s="10">
        <v>44911</v>
      </c>
      <c r="B301" s="2">
        <v>-1.9829456924383669E-2</v>
      </c>
      <c r="C301" s="2">
        <v>-1.9287627928546301E-2</v>
      </c>
      <c r="D301" s="2">
        <v>0</v>
      </c>
      <c r="E301" s="2">
        <v>-1.337263329671424E-2</v>
      </c>
      <c r="F301" s="2">
        <v>-5.3884859882488798E-2</v>
      </c>
      <c r="G301" s="2">
        <v>6.2405566187429651E-2</v>
      </c>
      <c r="H301" s="2">
        <v>-6.7781870351032877E-2</v>
      </c>
      <c r="I301" s="2">
        <v>6.1728591070810161E-3</v>
      </c>
      <c r="J301" s="2">
        <v>2.0040750883446191E-2</v>
      </c>
      <c r="K301" s="2">
        <v>-5.1293294387550578E-2</v>
      </c>
      <c r="L301" s="2">
        <v>-3.646312153020199E-3</v>
      </c>
      <c r="M301" s="2">
        <v>-2.985296314968116E-2</v>
      </c>
      <c r="N301" s="2">
        <v>-2.371652661731604E-2</v>
      </c>
      <c r="O301" s="2">
        <v>-5.5913091660559827E-2</v>
      </c>
      <c r="P301" s="2">
        <v>-2.9290796921065339E-2</v>
      </c>
      <c r="Q301" s="15">
        <f>AVERAGE(Tableau2[[#This Row],[AWB]:[IAM]])</f>
        <v>-1.8616683806293478E-2</v>
      </c>
      <c r="R301" s="15">
        <f>ABS(Tableau2[[#This Row],[Rm ]])</f>
        <v>1.8616683806293478E-2</v>
      </c>
      <c r="S301" s="15">
        <f>(Tableau2[[#This Row],[Rm ]]-Tableau2[[#Totals],[Rm ]])^2</f>
        <v>3.7668361864753348E-4</v>
      </c>
      <c r="T301" s="15">
        <f t="shared" si="8"/>
        <v>0.35663816155817951</v>
      </c>
      <c r="U301" s="15">
        <f t="shared" si="9"/>
        <v>5.9169213169184852E-2</v>
      </c>
    </row>
    <row r="302" spans="1:21" x14ac:dyDescent="0.35">
      <c r="A302" s="10">
        <v>44917</v>
      </c>
      <c r="B302" s="2">
        <v>-1.744193787284792E-2</v>
      </c>
      <c r="C302" s="2">
        <v>1.520116133205056E-2</v>
      </c>
      <c r="D302" s="2">
        <v>-2.9227323978233172E-3</v>
      </c>
      <c r="E302" s="2">
        <v>-6.7709649975917453E-3</v>
      </c>
      <c r="F302" s="2">
        <v>7.0819497035856438E-2</v>
      </c>
      <c r="G302" s="2">
        <v>-3.993271033537122E-2</v>
      </c>
      <c r="H302" s="2">
        <v>2.6401684356613699E-2</v>
      </c>
      <c r="I302" s="2">
        <v>-3.6025822256762173E-2</v>
      </c>
      <c r="J302" s="2">
        <v>-7.9681696491768449E-3</v>
      </c>
      <c r="K302" s="2">
        <v>0</v>
      </c>
      <c r="L302" s="2">
        <v>3.6463121530200789E-3</v>
      </c>
      <c r="M302" s="2">
        <v>3.7807228399061518E-3</v>
      </c>
      <c r="N302" s="2">
        <v>-4.0821994520255173E-2</v>
      </c>
      <c r="O302" s="2">
        <v>-1.1614532420693E-2</v>
      </c>
      <c r="P302" s="2">
        <v>-3.8965968533383723E-2</v>
      </c>
      <c r="Q302" s="15">
        <f>AVERAGE(Tableau2[[#This Row],[AWB]:[IAM]])</f>
        <v>-5.5076970177638795E-3</v>
      </c>
      <c r="R302" s="15">
        <f>ABS(Tableau2[[#This Row],[Rm ]])</f>
        <v>5.5076970177638795E-3</v>
      </c>
      <c r="S302" s="15">
        <f>(Tableau2[[#This Row],[Rm ]]-Tableau2[[#Totals],[Rm ]])^2</f>
        <v>3.9681836956218024E-5</v>
      </c>
      <c r="T302" s="15">
        <f t="shared" si="8"/>
        <v>0.27973332880669632</v>
      </c>
      <c r="U302" s="15">
        <f t="shared" si="9"/>
        <v>0.35663816155817951</v>
      </c>
    </row>
    <row r="303" spans="1:21" x14ac:dyDescent="0.35">
      <c r="A303" s="10">
        <v>44918</v>
      </c>
      <c r="B303" s="2">
        <v>1.2578782206860191E-2</v>
      </c>
      <c r="C303" s="2">
        <v>-4.3196611445163952E-3</v>
      </c>
      <c r="D303" s="2">
        <v>2.9227323978233489E-3</v>
      </c>
      <c r="E303" s="2">
        <v>-3.402752704823887E-3</v>
      </c>
      <c r="F303" s="2">
        <v>-3.979566198594642E-4</v>
      </c>
      <c r="G303" s="2">
        <v>0</v>
      </c>
      <c r="H303" s="2">
        <v>5.0125418235444138E-3</v>
      </c>
      <c r="I303" s="2">
        <v>4.7732787526578117E-3</v>
      </c>
      <c r="J303" s="2">
        <v>-4.0821994520255173E-2</v>
      </c>
      <c r="K303" s="2">
        <v>0</v>
      </c>
      <c r="L303" s="2">
        <v>-9.1033233414537372E-4</v>
      </c>
      <c r="M303" s="2">
        <v>0</v>
      </c>
      <c r="N303" s="2">
        <v>6.920442844573757E-3</v>
      </c>
      <c r="O303" s="2">
        <v>-1.8868484304382808E-2</v>
      </c>
      <c r="P303" s="2">
        <v>-4.4247859803558066E-3</v>
      </c>
      <c r="Q303" s="15">
        <f>AVERAGE(Tableau2[[#This Row],[AWB]:[IAM]])</f>
        <v>-2.7292126388586261E-3</v>
      </c>
      <c r="R303" s="15">
        <f>ABS(Tableau2[[#This Row],[Rm ]])</f>
        <v>2.7292126388586261E-3</v>
      </c>
      <c r="S303" s="15">
        <f>(Tableau2[[#This Row],[Rm ]]-Tableau2[[#Totals],[Rm ]])^2</f>
        <v>1.2396509552173187E-5</v>
      </c>
      <c r="T303" s="15">
        <f t="shared" si="8"/>
        <v>0.11480069580135119</v>
      </c>
      <c r="U303" s="15">
        <f t="shared" si="9"/>
        <v>0.27973332880669632</v>
      </c>
    </row>
    <row r="304" spans="1:21" x14ac:dyDescent="0.35">
      <c r="A304" s="10">
        <v>44922</v>
      </c>
      <c r="B304" s="2">
        <v>-7.5282664207915236E-3</v>
      </c>
      <c r="C304" s="2">
        <v>-4.3384015985981298E-3</v>
      </c>
      <c r="D304" s="2">
        <v>0</v>
      </c>
      <c r="E304" s="2">
        <v>1.9877478896234368E-2</v>
      </c>
      <c r="F304" s="2">
        <v>-2.0043712559942241E-3</v>
      </c>
      <c r="G304" s="2">
        <v>-5.3802705992976207E-2</v>
      </c>
      <c r="H304" s="2">
        <v>-2.7980418914506481E-2</v>
      </c>
      <c r="I304" s="2">
        <v>0</v>
      </c>
      <c r="J304" s="2">
        <v>0</v>
      </c>
      <c r="K304" s="2">
        <v>0</v>
      </c>
      <c r="L304" s="2">
        <v>2.8727289636910271E-2</v>
      </c>
      <c r="M304" s="2">
        <v>-3.7807228399060438E-3</v>
      </c>
      <c r="N304" s="2">
        <v>0</v>
      </c>
      <c r="O304" s="2">
        <v>0</v>
      </c>
      <c r="P304" s="2">
        <v>2.2148403295528208E-3</v>
      </c>
      <c r="Q304" s="15">
        <f>AVERAGE(Tableau2[[#This Row],[AWB]:[IAM]])</f>
        <v>-3.2410185440050103E-3</v>
      </c>
      <c r="R304" s="15">
        <f>ABS(Tableau2[[#This Row],[Rm ]])</f>
        <v>3.2410185440050103E-3</v>
      </c>
      <c r="S304" s="15">
        <f>(Tableau2[[#This Row],[Rm ]]-Tableau2[[#Totals],[Rm ]])^2</f>
        <v>1.6262456624717914E-5</v>
      </c>
      <c r="T304" s="15">
        <f t="shared" si="8"/>
        <v>0.1573587111448527</v>
      </c>
      <c r="U304" s="15">
        <f t="shared" si="9"/>
        <v>0.11480069580135119</v>
      </c>
    </row>
    <row r="305" spans="1:21" x14ac:dyDescent="0.35">
      <c r="A305" s="10">
        <v>44924</v>
      </c>
      <c r="B305" s="2">
        <v>-5.0505157860685924E-3</v>
      </c>
      <c r="C305" s="2">
        <v>3.8384243008315291E-2</v>
      </c>
      <c r="D305" s="2">
        <v>1.172643998207509E-2</v>
      </c>
      <c r="E305" s="2">
        <v>-3.357091660565234E-2</v>
      </c>
      <c r="F305" s="2">
        <v>-8.0455953621255457E-3</v>
      </c>
      <c r="G305" s="2">
        <v>-2.888900985213716E-2</v>
      </c>
      <c r="H305" s="2">
        <v>-1.9045805218979761E-4</v>
      </c>
      <c r="I305" s="2">
        <v>0</v>
      </c>
      <c r="J305" s="2">
        <v>-5.0125418235442863E-3</v>
      </c>
      <c r="K305" s="2">
        <v>5.0543012996846402E-2</v>
      </c>
      <c r="L305" s="2">
        <v>-3.5461030067505889E-3</v>
      </c>
      <c r="M305" s="2">
        <v>-3.077165866675366E-2</v>
      </c>
      <c r="N305" s="2">
        <v>-3.5091319811270061E-2</v>
      </c>
      <c r="O305" s="2">
        <v>-0.1000834585569825</v>
      </c>
      <c r="P305" s="2">
        <v>-1.1123585218662319E-2</v>
      </c>
      <c r="Q305" s="15">
        <f>AVERAGE(Tableau2[[#This Row],[AWB]:[IAM]])</f>
        <v>-1.0714764450326673E-2</v>
      </c>
      <c r="R305" s="15">
        <f>ABS(Tableau2[[#This Row],[Rm ]])</f>
        <v>1.0714764450326673E-2</v>
      </c>
      <c r="S305" s="15">
        <f>(Tableau2[[#This Row],[Rm ]]-Tableau2[[#Totals],[Rm ]])^2</f>
        <v>1.3239769059897476E-4</v>
      </c>
      <c r="T305" s="15">
        <f t="shared" si="8"/>
        <v>0.35010115796854946</v>
      </c>
      <c r="U305" s="15">
        <f t="shared" si="9"/>
        <v>0.1573587111448527</v>
      </c>
    </row>
    <row r="306" spans="1:21" x14ac:dyDescent="0.35">
      <c r="A306" s="10">
        <v>44925</v>
      </c>
      <c r="B306" s="2">
        <v>-7.6239251106593707E-3</v>
      </c>
      <c r="C306" s="2">
        <v>-3.4045841409717101E-2</v>
      </c>
      <c r="D306" s="2">
        <v>0</v>
      </c>
      <c r="E306" s="2">
        <v>4.7144959716458261E-2</v>
      </c>
      <c r="F306" s="2">
        <v>2.1976498659482591E-2</v>
      </c>
      <c r="G306" s="2">
        <v>3.3901551675681423E-2</v>
      </c>
      <c r="H306" s="2">
        <v>-9.5694510161506725E-3</v>
      </c>
      <c r="I306" s="2">
        <v>-3.1796529173795732E-3</v>
      </c>
      <c r="J306" s="2">
        <v>4.5834536343799318E-2</v>
      </c>
      <c r="K306" s="2">
        <v>-6.1125122327383347E-2</v>
      </c>
      <c r="L306" s="2">
        <v>-2.51811866301597E-2</v>
      </c>
      <c r="M306" s="2">
        <v>0</v>
      </c>
      <c r="N306" s="2">
        <v>-3.6367644170874833E-2</v>
      </c>
      <c r="O306" s="2">
        <v>0</v>
      </c>
      <c r="P306" s="2">
        <v>-3.8773385925960753E-2</v>
      </c>
      <c r="Q306" s="15">
        <f>AVERAGE(Tableau2[[#This Row],[AWB]:[IAM]])</f>
        <v>-4.4672442075242517E-3</v>
      </c>
      <c r="R306" s="15">
        <f>ABS(Tableau2[[#This Row],[Rm ]])</f>
        <v>4.4672442075242517E-3</v>
      </c>
      <c r="S306" s="15">
        <f>(Tableau2[[#This Row],[Rm ]]-Tableau2[[#Totals],[Rm ]])^2</f>
        <v>2.7656021803659705E-5</v>
      </c>
      <c r="T306" s="15">
        <f t="shared" si="8"/>
        <v>0.33081262867259803</v>
      </c>
      <c r="U306" s="15">
        <f t="shared" si="9"/>
        <v>0.35010115796854946</v>
      </c>
    </row>
    <row r="307" spans="1:21" x14ac:dyDescent="0.35">
      <c r="A307" s="10">
        <v>44930</v>
      </c>
      <c r="B307" s="2">
        <v>-3.2407242954777878E-2</v>
      </c>
      <c r="C307" s="2">
        <v>-4.8790164169432063E-2</v>
      </c>
      <c r="D307" s="2">
        <v>-1.1726439982075169E-2</v>
      </c>
      <c r="E307" s="2">
        <v>-3.0048769302216401E-2</v>
      </c>
      <c r="F307" s="2">
        <v>-4.2388796191220907E-2</v>
      </c>
      <c r="G307" s="2">
        <v>-0.12405264866997889</v>
      </c>
      <c r="H307" s="2">
        <v>-0.1010961168713688</v>
      </c>
      <c r="I307" s="2">
        <v>-2.580788395587259E-2</v>
      </c>
      <c r="J307" s="2">
        <v>-4.0821994520255173E-2</v>
      </c>
      <c r="K307" s="2">
        <v>-5.7471353914478697E-2</v>
      </c>
      <c r="L307" s="2">
        <v>-9.3490343087338917E-2</v>
      </c>
      <c r="M307" s="2">
        <v>-8.389124965338611E-2</v>
      </c>
      <c r="N307" s="2">
        <v>-1.1173300598125191E-2</v>
      </c>
      <c r="O307" s="2">
        <v>-2.7479386777845231E-2</v>
      </c>
      <c r="P307" s="2">
        <v>4.5462374076757413E-2</v>
      </c>
      <c r="Q307" s="15">
        <f>AVERAGE(Tableau2[[#This Row],[AWB]:[IAM]])</f>
        <v>-4.5678887771440975E-2</v>
      </c>
      <c r="R307" s="15">
        <f>ABS(Tableau2[[#This Row],[Rm ]])</f>
        <v>4.5678887771440975E-2</v>
      </c>
      <c r="S307" s="15">
        <f>(Tableau2[[#This Row],[Rm ]]-Tableau2[[#Totals],[Rm ]])^2</f>
        <v>2.1595113536793669E-3</v>
      </c>
      <c r="T307" s="15">
        <f t="shared" si="8"/>
        <v>0.38437192174969015</v>
      </c>
      <c r="U307" s="15">
        <f t="shared" si="9"/>
        <v>0.33081262867259803</v>
      </c>
    </row>
    <row r="308" spans="1:21" x14ac:dyDescent="0.35">
      <c r="A308" s="10">
        <v>44931</v>
      </c>
      <c r="B308" s="2">
        <v>-3.9231253393282733E-2</v>
      </c>
      <c r="C308" s="2">
        <v>-6.0908753086992458E-2</v>
      </c>
      <c r="D308" s="2">
        <v>-3.0120156342082659E-2</v>
      </c>
      <c r="E308" s="2">
        <v>-4.5058769112861108E-2</v>
      </c>
      <c r="F308" s="2">
        <v>-3.1415127156775878E-2</v>
      </c>
      <c r="G308" s="2">
        <v>-2.8710105882431482E-2</v>
      </c>
      <c r="H308" s="2">
        <v>-6.1649082567410057E-2</v>
      </c>
      <c r="I308" s="2">
        <v>-6.0624621816434847E-2</v>
      </c>
      <c r="J308" s="2">
        <v>-4.6916919787751601E-2</v>
      </c>
      <c r="K308" s="2">
        <v>-6.1575778247681102E-2</v>
      </c>
      <c r="L308" s="2">
        <v>-6.1769026397631807E-2</v>
      </c>
      <c r="M308" s="2">
        <v>5.6166701638531338E-2</v>
      </c>
      <c r="N308" s="2">
        <v>-6.1795719268465679E-2</v>
      </c>
      <c r="O308" s="2">
        <v>-6.1639472551349203E-2</v>
      </c>
      <c r="P308" s="2">
        <v>-2.702867238791937E-2</v>
      </c>
      <c r="Q308" s="15">
        <f>AVERAGE(Tableau2[[#This Row],[AWB]:[IAM]])</f>
        <v>-4.1485117090702579E-2</v>
      </c>
      <c r="R308" s="15">
        <f>ABS(Tableau2[[#This Row],[Rm ]])</f>
        <v>4.1485117090702579E-2</v>
      </c>
      <c r="S308" s="15">
        <f>(Tableau2[[#This Row],[Rm ]]-Tableau2[[#Totals],[Rm ]])^2</f>
        <v>1.7873254658755994E-3</v>
      </c>
      <c r="T308" s="15">
        <f t="shared" si="8"/>
        <v>0.2836514963179117</v>
      </c>
      <c r="U308" s="15">
        <f t="shared" si="9"/>
        <v>0.38437192174969015</v>
      </c>
    </row>
    <row r="309" spans="1:21" x14ac:dyDescent="0.35">
      <c r="A309" s="10">
        <v>44932</v>
      </c>
      <c r="B309" s="2">
        <v>-1.630095495412303E-2</v>
      </c>
      <c r="C309" s="2">
        <v>-6.1772623513464388E-2</v>
      </c>
      <c r="D309" s="2">
        <v>-1.191353244210237E-2</v>
      </c>
      <c r="E309" s="2">
        <v>4.4719014412484083E-2</v>
      </c>
      <c r="F309" s="2">
        <v>-2.1505453769252919E-2</v>
      </c>
      <c r="G309" s="2">
        <v>3.23102058144654E-3</v>
      </c>
      <c r="H309" s="2">
        <v>1.8163970627671121E-2</v>
      </c>
      <c r="I309" s="2">
        <v>6.920442844573757E-3</v>
      </c>
      <c r="J309" s="2">
        <v>4.6916919787751657E-2</v>
      </c>
      <c r="K309" s="2">
        <v>-6.1786170928802543E-2</v>
      </c>
      <c r="L309" s="2">
        <v>-6.1529189946861802E-2</v>
      </c>
      <c r="M309" s="2">
        <v>-6.1277445301090631E-2</v>
      </c>
      <c r="N309" s="2">
        <v>-5.5706456956216253E-2</v>
      </c>
      <c r="O309" s="2">
        <v>-6.1704030405389222E-2</v>
      </c>
      <c r="P309" s="2">
        <v>-2.7779564107075709E-2</v>
      </c>
      <c r="Q309" s="15">
        <f>AVERAGE(Tableau2[[#This Row],[AWB]:[IAM]])</f>
        <v>-2.1421603604696783E-2</v>
      </c>
      <c r="R309" s="15">
        <f>ABS(Tableau2[[#This Row],[Rm ]])</f>
        <v>2.1421603604696783E-2</v>
      </c>
      <c r="S309" s="15">
        <f>(Tableau2[[#This Row],[Rm ]]-Tableau2[[#Totals],[Rm ]])^2</f>
        <v>4.9342886176216138E-4</v>
      </c>
      <c r="T309" s="15">
        <f t="shared" si="8"/>
        <v>0.47744211571227152</v>
      </c>
      <c r="U309" s="15">
        <f t="shared" si="9"/>
        <v>0.2836514963179117</v>
      </c>
    </row>
    <row r="310" spans="1:21" x14ac:dyDescent="0.35">
      <c r="A310" s="10">
        <v>44935</v>
      </c>
      <c r="B310" s="2">
        <v>2.78164296187677E-3</v>
      </c>
      <c r="C310" s="2">
        <v>1.2511333889108149E-2</v>
      </c>
      <c r="D310" s="2">
        <v>0</v>
      </c>
      <c r="E310" s="2">
        <v>-1.6756435713864749E-2</v>
      </c>
      <c r="F310" s="2">
        <v>-2.1744327201367111E-3</v>
      </c>
      <c r="G310" s="2">
        <v>-9.0732962056748294E-3</v>
      </c>
      <c r="H310" s="2">
        <v>-2.2472855852058628E-2</v>
      </c>
      <c r="I310" s="2">
        <v>-8.6580627431145415E-3</v>
      </c>
      <c r="J310" s="2">
        <v>-5.568890586058866E-2</v>
      </c>
      <c r="K310" s="2">
        <v>5.8184726459895003E-2</v>
      </c>
      <c r="L310" s="2">
        <v>0</v>
      </c>
      <c r="M310" s="2">
        <v>2.9451013689413479E-2</v>
      </c>
      <c r="N310" s="2">
        <v>1.2557720485484749E-2</v>
      </c>
      <c r="O310" s="2">
        <v>6.7093877795240736E-3</v>
      </c>
      <c r="P310" s="2">
        <v>3.0060066805800818E-2</v>
      </c>
      <c r="Q310" s="15">
        <f>AVERAGE(Tableau2[[#This Row],[AWB]:[IAM]])</f>
        <v>2.4954601983776608E-3</v>
      </c>
      <c r="R310" s="15">
        <f>ABS(Tableau2[[#This Row],[Rm ]])</f>
        <v>2.4954601983776608E-3</v>
      </c>
      <c r="S310" s="15">
        <f>(Tableau2[[#This Row],[Rm ]]-Tableau2[[#Totals],[Rm ]])^2</f>
        <v>2.9029518531141493E-6</v>
      </c>
      <c r="T310" s="15">
        <f t="shared" si="8"/>
        <v>0.24384837519799052</v>
      </c>
      <c r="U310" s="15">
        <f t="shared" si="9"/>
        <v>0.47744211571227152</v>
      </c>
    </row>
    <row r="311" spans="1:21" x14ac:dyDescent="0.35">
      <c r="A311" s="10">
        <v>44936</v>
      </c>
      <c r="B311" s="2">
        <v>0</v>
      </c>
      <c r="C311" s="2">
        <v>3.9552475497395413E-2</v>
      </c>
      <c r="D311" s="2">
        <v>4.7611827300709127E-2</v>
      </c>
      <c r="E311" s="2">
        <v>1.5055928553069991E-2</v>
      </c>
      <c r="F311" s="2">
        <v>4.4732575545469118E-2</v>
      </c>
      <c r="G311" s="2">
        <v>1.301236357971956E-3</v>
      </c>
      <c r="H311" s="2">
        <v>-2.3454742703896889E-2</v>
      </c>
      <c r="I311" s="2">
        <v>0</v>
      </c>
      <c r="J311" s="2">
        <v>5.5688905860588632E-2</v>
      </c>
      <c r="K311" s="2">
        <v>-7.8479122983013475E-3</v>
      </c>
      <c r="L311" s="2">
        <v>-2.2650066308521248E-3</v>
      </c>
      <c r="M311" s="2">
        <v>8.2576852389816373E-3</v>
      </c>
      <c r="N311" s="2">
        <v>8.3160087952598779E-4</v>
      </c>
      <c r="O311" s="2">
        <v>5.8154202916233459E-2</v>
      </c>
      <c r="P311" s="2">
        <v>-1.3761685072681379E-2</v>
      </c>
      <c r="Q311" s="15">
        <f>AVERAGE(Tableau2[[#This Row],[AWB]:[IAM]])</f>
        <v>1.4923806096280906E-2</v>
      </c>
      <c r="R311" s="15">
        <f>ABS(Tableau2[[#This Row],[Rm ]])</f>
        <v>1.4923806096280906E-2</v>
      </c>
      <c r="S311" s="15">
        <f>(Tableau2[[#This Row],[Rm ]]-Tableau2[[#Totals],[Rm ]])^2</f>
        <v>1.9971769211227122E-4</v>
      </c>
      <c r="T311" s="15">
        <f t="shared" si="8"/>
        <v>0.31573303310052919</v>
      </c>
      <c r="U311" s="15">
        <f t="shared" si="9"/>
        <v>0.24384837519799052</v>
      </c>
    </row>
    <row r="312" spans="1:21" x14ac:dyDescent="0.35">
      <c r="A312" s="10">
        <v>44939</v>
      </c>
      <c r="B312" s="2">
        <v>3.8151765964376333E-2</v>
      </c>
      <c r="C312" s="2">
        <v>4.7628048989254657E-2</v>
      </c>
      <c r="D312" s="2">
        <v>-5.5781385165242182E-3</v>
      </c>
      <c r="E312" s="2">
        <v>2.550755783414432E-2</v>
      </c>
      <c r="F312" s="2">
        <v>3.6816012076936633E-2</v>
      </c>
      <c r="G312" s="2">
        <v>1.5484180334041951E-2</v>
      </c>
      <c r="H312" s="2">
        <v>0.1150389815386606</v>
      </c>
      <c r="I312" s="2">
        <v>3.4191364748279343E-2</v>
      </c>
      <c r="J312" s="2">
        <v>4.08219945202552E-2</v>
      </c>
      <c r="K312" s="2">
        <v>1.4739325339633021E-2</v>
      </c>
      <c r="L312" s="2">
        <v>0.10536051565782641</v>
      </c>
      <c r="M312" s="2">
        <v>5.1293294387550481E-2</v>
      </c>
      <c r="N312" s="2">
        <v>0.1078511769702782</v>
      </c>
      <c r="O312" s="2">
        <v>2.6321032719094788E-2</v>
      </c>
      <c r="P312" s="2">
        <v>2.7336554163750418E-2</v>
      </c>
      <c r="Q312" s="15">
        <f>AVERAGE(Tableau2[[#This Row],[AWB]:[IAM]])</f>
        <v>4.5397577781837208E-2</v>
      </c>
      <c r="R312" s="15">
        <f>ABS(Tableau2[[#This Row],[Rm ]])</f>
        <v>4.5397577781837208E-2</v>
      </c>
      <c r="S312" s="15">
        <f>(Tableau2[[#This Row],[Rm ]]-Tableau2[[#Totals],[Rm ]])^2</f>
        <v>1.9896883393414875E-3</v>
      </c>
      <c r="T312" s="15">
        <f t="shared" si="8"/>
        <v>0.38351130189188759</v>
      </c>
      <c r="U312" s="15">
        <f t="shared" si="9"/>
        <v>0.31573303310052919</v>
      </c>
    </row>
    <row r="313" spans="1:21" x14ac:dyDescent="0.35">
      <c r="A313" s="10">
        <v>44945</v>
      </c>
      <c r="B313" s="2">
        <v>-1.6172859245600961E-2</v>
      </c>
      <c r="C313" s="2">
        <v>1.4544871441955921E-2</v>
      </c>
      <c r="D313" s="2">
        <v>-4.2033688784185022E-2</v>
      </c>
      <c r="E313" s="2">
        <v>-3.0250218173015819E-2</v>
      </c>
      <c r="F313" s="2">
        <v>-3.2185625954760069E-3</v>
      </c>
      <c r="G313" s="2">
        <v>-0.1311563115774606</v>
      </c>
      <c r="H313" s="2">
        <v>3.5248632341537592E-2</v>
      </c>
      <c r="I313" s="2">
        <v>-1.5241615968617089E-2</v>
      </c>
      <c r="J313" s="2">
        <v>-4.0821994520255173E-2</v>
      </c>
      <c r="K313" s="2">
        <v>-1.473932533963295E-2</v>
      </c>
      <c r="L313" s="2">
        <v>4.0733253876358688E-3</v>
      </c>
      <c r="M313" s="2">
        <v>-2.2916846446751751E-2</v>
      </c>
      <c r="N313" s="2">
        <v>2.2141125877213501E-2</v>
      </c>
      <c r="O313" s="2">
        <v>-5.1587368790493228E-2</v>
      </c>
      <c r="P313" s="2">
        <v>2.6609108727964511E-2</v>
      </c>
      <c r="Q313" s="15">
        <f>AVERAGE(Tableau2[[#This Row],[AWB]:[IAM]])</f>
        <v>-1.7701448511012085E-2</v>
      </c>
      <c r="R313" s="15">
        <f>ABS(Tableau2[[#This Row],[Rm ]])</f>
        <v>1.7701448511012085E-2</v>
      </c>
      <c r="S313" s="15">
        <f>(Tableau2[[#This Row],[Rm ]]-Tableau2[[#Totals],[Rm ]])^2</f>
        <v>3.4199488073502628E-4</v>
      </c>
      <c r="T313" s="15">
        <f t="shared" si="8"/>
        <v>0.38375895436246676</v>
      </c>
      <c r="U313" s="15">
        <f t="shared" si="9"/>
        <v>0.38351130189188759</v>
      </c>
    </row>
    <row r="314" spans="1:21" x14ac:dyDescent="0.35">
      <c r="A314" s="10">
        <v>44946</v>
      </c>
      <c r="B314" s="2">
        <v>0</v>
      </c>
      <c r="C314" s="2">
        <v>-1.1466576190444239E-3</v>
      </c>
      <c r="D314" s="2">
        <v>0</v>
      </c>
      <c r="E314" s="2">
        <v>2.3424707647760609E-2</v>
      </c>
      <c r="F314" s="2">
        <v>6.8250745012046884E-3</v>
      </c>
      <c r="G314" s="2">
        <v>-5.2446475372542427E-2</v>
      </c>
      <c r="H314" s="2">
        <v>-2.1245108613736269E-2</v>
      </c>
      <c r="I314" s="2">
        <v>6.8027473227526203E-3</v>
      </c>
      <c r="J314" s="2">
        <v>-5.1293294387550578E-2</v>
      </c>
      <c r="K314" s="2">
        <v>-3.3901551675681339E-2</v>
      </c>
      <c r="L314" s="2">
        <v>-5.1079367763566433E-2</v>
      </c>
      <c r="M314" s="2">
        <v>0</v>
      </c>
      <c r="N314" s="2">
        <v>-7.3260400920728977E-3</v>
      </c>
      <c r="O314" s="2">
        <v>0</v>
      </c>
      <c r="P314" s="2">
        <v>0</v>
      </c>
      <c r="Q314" s="15">
        <f>AVERAGE(Tableau2[[#This Row],[AWB]:[IAM]])</f>
        <v>-1.2092397736831764E-2</v>
      </c>
      <c r="R314" s="15">
        <f>ABS(Tableau2[[#This Row],[Rm ]])</f>
        <v>1.2092397736831764E-2</v>
      </c>
      <c r="S314" s="15">
        <f>(Tableau2[[#This Row],[Rm ]]-Tableau2[[#Totals],[Rm ]])^2</f>
        <v>1.6599881720088107E-4</v>
      </c>
      <c r="T314" s="15">
        <f t="shared" si="8"/>
        <v>0.28772138037012679</v>
      </c>
      <c r="U314" s="15">
        <f t="shared" si="9"/>
        <v>0.38375895436246676</v>
      </c>
    </row>
    <row r="315" spans="1:21" x14ac:dyDescent="0.35">
      <c r="A315" s="10">
        <v>44952</v>
      </c>
      <c r="B315" s="2">
        <v>-2.197890671877523E-2</v>
      </c>
      <c r="C315" s="2">
        <v>-4.1388884101146396E-3</v>
      </c>
      <c r="D315" s="2">
        <v>-1.856053281336582E-2</v>
      </c>
      <c r="E315" s="2">
        <v>-3.3565213565172801E-2</v>
      </c>
      <c r="F315" s="2">
        <v>-3.606511905728727E-3</v>
      </c>
      <c r="G315" s="2">
        <v>0.12629372532429209</v>
      </c>
      <c r="H315" s="2">
        <v>4.2048236243499397E-2</v>
      </c>
      <c r="I315" s="2">
        <v>1.6807118316381191E-2</v>
      </c>
      <c r="J315" s="2">
        <v>5.6855609094180592E-3</v>
      </c>
      <c r="K315" s="2">
        <v>-6.1075350338523127E-2</v>
      </c>
      <c r="L315" s="2">
        <v>1.5915455305899578E-2</v>
      </c>
      <c r="M315" s="2">
        <v>2.6036973782995399E-2</v>
      </c>
      <c r="N315" s="2">
        <v>-4.3583155961583103E-2</v>
      </c>
      <c r="O315" s="2">
        <v>0</v>
      </c>
      <c r="P315" s="2">
        <v>-6.7899377665580268E-2</v>
      </c>
      <c r="Q315" s="15">
        <f>AVERAGE(Tableau2[[#This Row],[AWB]:[IAM]])</f>
        <v>-1.4413911664238656E-3</v>
      </c>
      <c r="R315" s="15">
        <f>ABS(Tableau2[[#This Row],[Rm ]])</f>
        <v>1.4413911664238656E-3</v>
      </c>
      <c r="S315" s="15">
        <f>(Tableau2[[#This Row],[Rm ]]-Tableau2[[#Totals],[Rm ]])^2</f>
        <v>4.9864955757527982E-6</v>
      </c>
      <c r="T315" s="15">
        <f t="shared" si="8"/>
        <v>0.42372616202902619</v>
      </c>
      <c r="U315" s="15">
        <f t="shared" si="9"/>
        <v>0.28772138037012679</v>
      </c>
    </row>
    <row r="316" spans="1:21" x14ac:dyDescent="0.35">
      <c r="A316" s="10">
        <v>44957</v>
      </c>
      <c r="B316" s="2">
        <v>0</v>
      </c>
      <c r="C316" s="2">
        <v>2.9514060513164009E-2</v>
      </c>
      <c r="D316" s="2">
        <v>0</v>
      </c>
      <c r="E316" s="2">
        <v>2.8742699195459739E-2</v>
      </c>
      <c r="F316" s="2">
        <v>-2.0283935811987262E-2</v>
      </c>
      <c r="G316" s="2">
        <v>-5.2185753170570191E-2</v>
      </c>
      <c r="H316" s="2">
        <v>2.3256862164267401E-2</v>
      </c>
      <c r="I316" s="2">
        <v>1.488861249375056E-2</v>
      </c>
      <c r="J316" s="2">
        <v>2.795279823941179E-2</v>
      </c>
      <c r="K316" s="2">
        <v>4.8456886379311628E-2</v>
      </c>
      <c r="L316" s="2">
        <v>-1.053185984658701E-3</v>
      </c>
      <c r="M316" s="2">
        <v>-8.6038856924999935E-3</v>
      </c>
      <c r="N316" s="2">
        <v>9.0270269934236327E-2</v>
      </c>
      <c r="O316" s="2">
        <v>4.5985113241823437E-2</v>
      </c>
      <c r="P316" s="2">
        <v>2.7715399846546831E-2</v>
      </c>
      <c r="Q316" s="15">
        <f>AVERAGE(Tableau2[[#This Row],[AWB]:[IAM]])</f>
        <v>1.6977062756550372E-2</v>
      </c>
      <c r="R316" s="15">
        <f>ABS(Tableau2[[#This Row],[Rm ]])</f>
        <v>1.6977062756550372E-2</v>
      </c>
      <c r="S316" s="15">
        <f>(Tableau2[[#This Row],[Rm ]]-Tableau2[[#Totals],[Rm ]])^2</f>
        <v>2.6196742138733827E-4</v>
      </c>
      <c r="T316" s="15">
        <f t="shared" si="8"/>
        <v>0.36213272697297294</v>
      </c>
      <c r="U316" s="15">
        <f t="shared" si="9"/>
        <v>0.42372616202902619</v>
      </c>
    </row>
    <row r="317" spans="1:21" x14ac:dyDescent="0.35">
      <c r="A317" s="10">
        <v>44958</v>
      </c>
      <c r="B317" s="2">
        <v>1.3793322132335769E-2</v>
      </c>
      <c r="C317" s="2">
        <v>-2.491635126453455E-2</v>
      </c>
      <c r="D317" s="2">
        <v>0</v>
      </c>
      <c r="E317" s="2">
        <v>-1.1989133999035661E-2</v>
      </c>
      <c r="F317" s="2">
        <v>0</v>
      </c>
      <c r="G317" s="2">
        <v>-2.8987536873252302E-2</v>
      </c>
      <c r="H317" s="2">
        <v>-3.8387763071657129E-3</v>
      </c>
      <c r="I317" s="2">
        <v>-6.5898096790555534E-3</v>
      </c>
      <c r="J317" s="2">
        <v>-8.4853632583897472E-4</v>
      </c>
      <c r="K317" s="2">
        <v>0</v>
      </c>
      <c r="L317" s="2">
        <v>1.053185984658641E-3</v>
      </c>
      <c r="M317" s="2">
        <v>-9.4712625924869356E-3</v>
      </c>
      <c r="N317" s="2">
        <v>-3.9361073880580313E-2</v>
      </c>
      <c r="O317" s="2">
        <v>-3.4289073478632068E-2</v>
      </c>
      <c r="P317" s="2">
        <v>9.0703569699642789E-3</v>
      </c>
      <c r="Q317" s="15">
        <f>AVERAGE(Tableau2[[#This Row],[AWB]:[IAM]])</f>
        <v>-9.0916459542415579E-3</v>
      </c>
      <c r="R317" s="15">
        <f>ABS(Tableau2[[#This Row],[Rm ]])</f>
        <v>9.0916459542415579E-3</v>
      </c>
      <c r="S317" s="15">
        <f>(Tableau2[[#This Row],[Rm ]]-Tableau2[[#Totals],[Rm ]])^2</f>
        <v>9.7679639497576148E-5</v>
      </c>
      <c r="T317" s="15">
        <f t="shared" si="8"/>
        <v>0.17197790999688614</v>
      </c>
      <c r="U317" s="15">
        <f t="shared" si="9"/>
        <v>0.36213272697297294</v>
      </c>
    </row>
    <row r="318" spans="1:21" x14ac:dyDescent="0.35">
      <c r="A318" s="10">
        <v>44959</v>
      </c>
      <c r="B318" s="2">
        <v>2.141293360228361E-2</v>
      </c>
      <c r="C318" s="2">
        <v>2.293314996864384E-4</v>
      </c>
      <c r="D318" s="2">
        <v>0</v>
      </c>
      <c r="E318" s="2">
        <v>-2.7312151756918559E-2</v>
      </c>
      <c r="F318" s="2">
        <v>3.027367217172474E-2</v>
      </c>
      <c r="G318" s="2">
        <v>-1.630873804192387E-2</v>
      </c>
      <c r="H318" s="2">
        <v>-9.6619109117368589E-3</v>
      </c>
      <c r="I318" s="2">
        <v>8.2304991365154435E-3</v>
      </c>
      <c r="J318" s="2">
        <v>8.4853632583908596E-4</v>
      </c>
      <c r="K318" s="2">
        <v>6.3471915809090696E-4</v>
      </c>
      <c r="L318" s="2">
        <v>-1.053185984658701E-3</v>
      </c>
      <c r="M318" s="2">
        <v>1.495502094874324E-2</v>
      </c>
      <c r="N318" s="2">
        <v>2.1661496781179471E-2</v>
      </c>
      <c r="O318" s="2">
        <v>4.5184557711586547E-2</v>
      </c>
      <c r="P318" s="2">
        <v>4.5045121211047291E-3</v>
      </c>
      <c r="Q318" s="15">
        <f>AVERAGE(Tableau2[[#This Row],[AWB]:[IAM]])</f>
        <v>6.239952850767747E-3</v>
      </c>
      <c r="R318" s="15">
        <f>ABS(Tableau2[[#This Row],[Rm ]])</f>
        <v>6.239952850767747E-3</v>
      </c>
      <c r="S318" s="15">
        <f>(Tableau2[[#This Row],[Rm ]]-Tableau2[[#Totals],[Rm ]])^2</f>
        <v>2.9683948508470761E-5</v>
      </c>
      <c r="T318" s="15">
        <f t="shared" si="8"/>
        <v>0.2069371818138343</v>
      </c>
      <c r="U318" s="15">
        <f t="shared" si="9"/>
        <v>0.17197790999688614</v>
      </c>
    </row>
    <row r="319" spans="1:21" x14ac:dyDescent="0.35">
      <c r="A319" s="10">
        <v>44960</v>
      </c>
      <c r="B319" s="2">
        <v>2.6813245904049569E-4</v>
      </c>
      <c r="C319" s="2">
        <v>1.343830722897728E-2</v>
      </c>
      <c r="D319" s="2">
        <v>0</v>
      </c>
      <c r="E319" s="2">
        <v>2.69723393301066E-2</v>
      </c>
      <c r="F319" s="2">
        <v>-5.9810461861197536E-3</v>
      </c>
      <c r="G319" s="2">
        <v>2.7277769412497811E-2</v>
      </c>
      <c r="H319" s="2">
        <v>0</v>
      </c>
      <c r="I319" s="2">
        <v>-1.320151185853595E-2</v>
      </c>
      <c r="J319" s="2">
        <v>8.4781692233935825E-4</v>
      </c>
      <c r="K319" s="2">
        <v>1.5113637810048109E-2</v>
      </c>
      <c r="L319" s="2">
        <v>-2.022421246262622E-2</v>
      </c>
      <c r="M319" s="2">
        <v>-3.9138993211363287E-3</v>
      </c>
      <c r="N319" s="2">
        <v>-1.7291497110060991E-2</v>
      </c>
      <c r="O319" s="2">
        <v>0</v>
      </c>
      <c r="P319" s="2">
        <v>-4.5045121211046528E-3</v>
      </c>
      <c r="Q319" s="15">
        <f>AVERAGE(Tableau2[[#This Row],[AWB]:[IAM]])</f>
        <v>1.2534216068950505E-3</v>
      </c>
      <c r="R319" s="15">
        <f>ABS(Tableau2[[#This Row],[Rm ]])</f>
        <v>1.2534216068950505E-3</v>
      </c>
      <c r="S319" s="15">
        <f>(Tableau2[[#This Row],[Rm ]]-Tableau2[[#Totals],[Rm ]])^2</f>
        <v>2.1322831769197803E-7</v>
      </c>
      <c r="T319" s="15">
        <f t="shared" si="8"/>
        <v>0.15020266322863282</v>
      </c>
      <c r="U319" s="15">
        <f t="shared" si="9"/>
        <v>0.2069371818138343</v>
      </c>
    </row>
    <row r="320" spans="1:21" x14ac:dyDescent="0.35">
      <c r="A320" s="10">
        <v>44963</v>
      </c>
      <c r="B320" s="2">
        <v>5.3476063265952773E-3</v>
      </c>
      <c r="C320" s="2">
        <v>4.514680354526613E-3</v>
      </c>
      <c r="D320" s="2">
        <v>6.1823999083173396E-3</v>
      </c>
      <c r="E320" s="2">
        <v>-1.6586515066398279E-2</v>
      </c>
      <c r="F320" s="2">
        <v>0</v>
      </c>
      <c r="G320" s="2">
        <v>-4.8426593905474408E-2</v>
      </c>
      <c r="H320" s="2">
        <v>2.757738912926469E-2</v>
      </c>
      <c r="I320" s="2">
        <v>3.3167526259940418E-3</v>
      </c>
      <c r="J320" s="2">
        <v>-2.4448998198970531E-2</v>
      </c>
      <c r="K320" s="2">
        <v>-1.5748356968139171E-2</v>
      </c>
      <c r="L320" s="2">
        <v>0</v>
      </c>
      <c r="M320" s="2">
        <v>7.8400631220862209E-4</v>
      </c>
      <c r="N320" s="2">
        <v>-1.9076147060813869E-2</v>
      </c>
      <c r="O320" s="2">
        <v>-2.219503948688786E-2</v>
      </c>
      <c r="P320" s="2">
        <v>1.122346236984958E-2</v>
      </c>
      <c r="Q320" s="15">
        <f>AVERAGE(Tableau2[[#This Row],[AWB]:[IAM]])</f>
        <v>-5.8356902439951975E-3</v>
      </c>
      <c r="R320" s="15">
        <f>ABS(Tableau2[[#This Row],[Rm ]])</f>
        <v>5.8356902439951975E-3</v>
      </c>
      <c r="S320" s="15">
        <f>(Tableau2[[#This Row],[Rm ]]-Tableau2[[#Totals],[Rm ]])^2</f>
        <v>4.3921706153543959E-5</v>
      </c>
      <c r="T320" s="15">
        <f t="shared" si="8"/>
        <v>0.20701314267250409</v>
      </c>
      <c r="U320" s="15">
        <f t="shared" si="9"/>
        <v>0.15020266322863282</v>
      </c>
    </row>
    <row r="321" spans="1:21" x14ac:dyDescent="0.35">
      <c r="A321" s="10">
        <v>44964</v>
      </c>
      <c r="B321" s="2">
        <v>5.8143114048710892E-2</v>
      </c>
      <c r="C321" s="2">
        <v>-8.5953933398634861E-3</v>
      </c>
      <c r="D321" s="2">
        <v>0</v>
      </c>
      <c r="E321" s="2">
        <v>0</v>
      </c>
      <c r="F321" s="2">
        <v>0</v>
      </c>
      <c r="G321" s="2">
        <v>3.3036037277023041E-2</v>
      </c>
      <c r="H321" s="2">
        <v>-2.6480060867394308E-3</v>
      </c>
      <c r="I321" s="2">
        <v>6.6006840313520944E-3</v>
      </c>
      <c r="J321" s="2">
        <v>2.3601181276631088E-2</v>
      </c>
      <c r="K321" s="2">
        <v>1.5748356968139109E-2</v>
      </c>
      <c r="L321" s="2">
        <v>2.148228538289605E-3</v>
      </c>
      <c r="M321" s="2">
        <v>5.4709007109012926E-3</v>
      </c>
      <c r="N321" s="2">
        <v>1.5435808129839249E-2</v>
      </c>
      <c r="O321" s="2">
        <v>2.247285585205858E-2</v>
      </c>
      <c r="P321" s="2">
        <v>-2.2346378014164881E-3</v>
      </c>
      <c r="Q321" s="15">
        <f>AVERAGE(Tableau2[[#This Row],[AWB]:[IAM]])</f>
        <v>1.1278608640328369E-2</v>
      </c>
      <c r="R321" s="15">
        <f>ABS(Tableau2[[#This Row],[Rm ]])</f>
        <v>1.1278608640328369E-2</v>
      </c>
      <c r="S321" s="15">
        <f>(Tableau2[[#This Row],[Rm ]]-Tableau2[[#Totals],[Rm ]])^2</f>
        <v>1.0997619480232286E-4</v>
      </c>
      <c r="T321" s="15">
        <f t="shared" si="8"/>
        <v>0.18891904007523494</v>
      </c>
      <c r="U321" s="15">
        <f t="shared" si="9"/>
        <v>0.20701314267250409</v>
      </c>
    </row>
    <row r="322" spans="1:21" x14ac:dyDescent="0.35">
      <c r="A322" s="10">
        <v>44965</v>
      </c>
      <c r="B322" s="2">
        <v>-8.7182307211877922E-3</v>
      </c>
      <c r="C322" s="2">
        <v>2.2018413672004151E-2</v>
      </c>
      <c r="D322" s="2">
        <v>4.7333874024707713E-2</v>
      </c>
      <c r="E322" s="2">
        <v>2.7067373736527879E-2</v>
      </c>
      <c r="F322" s="2">
        <v>1.980191054475508E-2</v>
      </c>
      <c r="G322" s="2">
        <v>-1.478196869310895E-3</v>
      </c>
      <c r="H322" s="2">
        <v>-1.5267472130788421E-2</v>
      </c>
      <c r="I322" s="2">
        <v>6.5574005461590404E-3</v>
      </c>
      <c r="J322" s="2">
        <v>4.239983103587138E-4</v>
      </c>
      <c r="K322" s="2">
        <v>4.0721989519921717E-2</v>
      </c>
      <c r="L322" s="2">
        <v>1.9129169908995391E-2</v>
      </c>
      <c r="M322" s="2">
        <v>3.5977856600163019E-2</v>
      </c>
      <c r="N322" s="2">
        <v>2.0931836041035639E-2</v>
      </c>
      <c r="O322" s="2">
        <v>2.739897418811435E-2</v>
      </c>
      <c r="P322" s="2">
        <v>6.6889881507967101E-3</v>
      </c>
      <c r="Q322" s="15">
        <f>AVERAGE(Tableau2[[#This Row],[AWB]:[IAM]])</f>
        <v>1.6572525701483484E-2</v>
      </c>
      <c r="R322" s="15">
        <f>ABS(Tableau2[[#This Row],[Rm ]])</f>
        <v>1.6572525701483484E-2</v>
      </c>
      <c r="S322" s="15">
        <f>(Tableau2[[#This Row],[Rm ]]-Tableau2[[#Totals],[Rm ]])^2</f>
        <v>2.4903587730992137E-4</v>
      </c>
      <c r="T322" s="15">
        <f t="shared" si="8"/>
        <v>0.21323269879843948</v>
      </c>
      <c r="U322" s="15">
        <f t="shared" si="9"/>
        <v>0.18891904007523494</v>
      </c>
    </row>
    <row r="323" spans="1:21" x14ac:dyDescent="0.35">
      <c r="A323" s="10">
        <v>44966</v>
      </c>
      <c r="B323" s="2">
        <v>5.0633019565466354E-3</v>
      </c>
      <c r="C323" s="2">
        <v>1.980262729617973E-2</v>
      </c>
      <c r="D323" s="2">
        <v>-1.7773424223404689E-3</v>
      </c>
      <c r="E323" s="2">
        <v>1.680879994816949E-2</v>
      </c>
      <c r="F323" s="2">
        <v>0</v>
      </c>
      <c r="G323" s="2">
        <v>-8.9153636579522803E-3</v>
      </c>
      <c r="H323" s="2">
        <v>1.885949792324338E-2</v>
      </c>
      <c r="I323" s="2">
        <v>2.421425812059453E-2</v>
      </c>
      <c r="J323" s="2">
        <v>4.2381861198062748E-4</v>
      </c>
      <c r="K323" s="2">
        <v>-3.1390662091037497E-2</v>
      </c>
      <c r="L323" s="2">
        <v>1.047129986729544E-2</v>
      </c>
      <c r="M323" s="2">
        <v>-7.5216250255416962E-4</v>
      </c>
      <c r="N323" s="2">
        <v>3.565066164496145E-3</v>
      </c>
      <c r="O323" s="2">
        <v>-2.7030679986193119E-4</v>
      </c>
      <c r="P323" s="2">
        <v>-4.4543503493801968E-3</v>
      </c>
      <c r="Q323" s="15">
        <f>AVERAGE(Tableau2[[#This Row],[AWB]:[IAM]])</f>
        <v>3.4432321376919621E-3</v>
      </c>
      <c r="R323" s="15">
        <f>ABS(Tableau2[[#This Row],[Rm ]])</f>
        <v>3.4432321376919621E-3</v>
      </c>
      <c r="S323" s="15">
        <f>(Tableau2[[#This Row],[Rm ]]-Tableau2[[#Totals],[Rm ]])^2</f>
        <v>7.0308608488425743E-6</v>
      </c>
      <c r="T323" s="15">
        <f t="shared" ref="T323:T386" si="10">(ABS(B323-$Q323)+ABS(C323-$Q323)+ABS(D323-$Q323)+ABS(E323-$Q323)+ABS(F323-$Q323)+ABS(G323-$Q323)+ABS(H323-$Q323)+ABS(I323-$Q323)+ABS(J323-$Q323)+ABS(K323-$Q323)+ABS(L323-$Q323)+ABS(M323-$Q323)+ABS(N323-$Q323)+ABS(O323-$Q323)+ABS(P323-$Q323)/15)</f>
        <v>0.14199337563742917</v>
      </c>
      <c r="U323" s="15">
        <f t="shared" si="9"/>
        <v>0.21323269879843948</v>
      </c>
    </row>
    <row r="324" spans="1:21" x14ac:dyDescent="0.35">
      <c r="A324" s="10">
        <v>44967</v>
      </c>
      <c r="B324" s="2">
        <v>-2.5284463533586381E-3</v>
      </c>
      <c r="C324" s="2">
        <v>-1.9802627296179751E-2</v>
      </c>
      <c r="D324" s="2">
        <v>-2.1014255389923821E-2</v>
      </c>
      <c r="E324" s="2">
        <v>-2.677998327045561E-2</v>
      </c>
      <c r="F324" s="2">
        <v>7.8138412305692878E-3</v>
      </c>
      <c r="G324" s="2">
        <v>1.407952120618656E-2</v>
      </c>
      <c r="H324" s="2">
        <v>2.6628516850429499E-2</v>
      </c>
      <c r="I324" s="2">
        <v>2.208291628774953E-2</v>
      </c>
      <c r="J324" s="2">
        <v>2.096512846504487E-2</v>
      </c>
      <c r="K324" s="2">
        <v>5.8035222313483167E-2</v>
      </c>
      <c r="L324" s="2">
        <v>5.19481687710393E-3</v>
      </c>
      <c r="M324" s="2">
        <v>-1.059011410138036E-2</v>
      </c>
      <c r="N324" s="2">
        <v>0</v>
      </c>
      <c r="O324" s="2">
        <v>2.7201677156794869E-2</v>
      </c>
      <c r="P324" s="2">
        <v>0</v>
      </c>
      <c r="Q324" s="15">
        <f>AVERAGE(Tableau2[[#This Row],[AWB]:[IAM]])</f>
        <v>6.7524142650709018E-3</v>
      </c>
      <c r="R324" s="15">
        <f>ABS(Tableau2[[#This Row],[Rm ]])</f>
        <v>6.7524142650709018E-3</v>
      </c>
      <c r="S324" s="15">
        <f>(Tableau2[[#This Row],[Rm ]]-Tableau2[[#Totals],[Rm ]])^2</f>
        <v>3.553064996341443E-5</v>
      </c>
      <c r="T324" s="15">
        <f t="shared" si="10"/>
        <v>0.25277759399545674</v>
      </c>
      <c r="U324" s="15">
        <f t="shared" ref="U324:U387" si="11">T323</f>
        <v>0.14199337563742917</v>
      </c>
    </row>
    <row r="325" spans="1:21" x14ac:dyDescent="0.35">
      <c r="A325" s="10">
        <v>44972</v>
      </c>
      <c r="B325" s="2">
        <v>-3.346515629454664E-2</v>
      </c>
      <c r="C325" s="2">
        <v>1.0610179112015471E-2</v>
      </c>
      <c r="D325" s="2">
        <v>-1.2164143307394969E-2</v>
      </c>
      <c r="E325" s="2">
        <v>-6.7829222000433381E-3</v>
      </c>
      <c r="F325" s="2">
        <v>1.1603555441985779E-2</v>
      </c>
      <c r="G325" s="2">
        <v>-2.1570192935344221E-2</v>
      </c>
      <c r="H325" s="2">
        <v>-3.0220542642884519E-2</v>
      </c>
      <c r="I325" s="2">
        <v>-1.561280566952465E-3</v>
      </c>
      <c r="J325" s="2">
        <v>4.1407926660313871E-3</v>
      </c>
      <c r="K325" s="2">
        <v>-3.0251417153438761E-2</v>
      </c>
      <c r="L325" s="2">
        <v>1.0357328735321181E-3</v>
      </c>
      <c r="M325" s="2">
        <v>-1.1472401162236809E-2</v>
      </c>
      <c r="N325" s="2">
        <v>-3.565066164496145E-3</v>
      </c>
      <c r="O325" s="2">
        <v>-5.4330344545047482E-2</v>
      </c>
      <c r="P325" s="2">
        <v>-4.4742803949211893E-3</v>
      </c>
      <c r="Q325" s="15">
        <f>AVERAGE(Tableau2[[#This Row],[AWB]:[IAM]])</f>
        <v>-1.2164499151582785E-2</v>
      </c>
      <c r="R325" s="15">
        <f>ABS(Tableau2[[#This Row],[Rm ]])</f>
        <v>1.2164499151582785E-2</v>
      </c>
      <c r="S325" s="15">
        <f>(Tableau2[[#This Row],[Rm ]]-Tableau2[[#Totals],[Rm ]])^2</f>
        <v>1.6786193268772851E-4</v>
      </c>
      <c r="T325" s="15">
        <f t="shared" si="10"/>
        <v>0.2108527781204779</v>
      </c>
      <c r="U325" s="15">
        <f t="shared" si="11"/>
        <v>0.25277759399545674</v>
      </c>
    </row>
    <row r="326" spans="1:21" x14ac:dyDescent="0.35">
      <c r="A326" s="10">
        <v>44973</v>
      </c>
      <c r="B326" s="2">
        <v>7.8227256812090779E-3</v>
      </c>
      <c r="C326" s="2">
        <v>-1.061017911201557E-2</v>
      </c>
      <c r="D326" s="2">
        <v>6.1320797770055167E-3</v>
      </c>
      <c r="E326" s="2">
        <v>2.3591738999933661E-2</v>
      </c>
      <c r="F326" s="2">
        <v>3.8655794067217128E-4</v>
      </c>
      <c r="G326" s="2">
        <v>-3.0120504699917209E-3</v>
      </c>
      <c r="H326" s="2">
        <v>3.1506007882791377E-2</v>
      </c>
      <c r="I326" s="2">
        <v>2.6215842130893011E-2</v>
      </c>
      <c r="J326" s="2">
        <v>-1.666705248521165E-2</v>
      </c>
      <c r="K326" s="2">
        <v>5.2497026100758473E-2</v>
      </c>
      <c r="L326" s="2">
        <v>9.273636785329253E-3</v>
      </c>
      <c r="M326" s="2">
        <v>1.5267472130788381E-2</v>
      </c>
      <c r="N326" s="2">
        <v>3.565066164496145E-3</v>
      </c>
      <c r="O326" s="2">
        <v>-2.2472855852058628E-2</v>
      </c>
      <c r="P326" s="2">
        <v>-6.7491819749284504E-3</v>
      </c>
      <c r="Q326" s="15">
        <f>AVERAGE(Tableau2[[#This Row],[AWB]:[IAM]])</f>
        <v>7.7831222466447367E-3</v>
      </c>
      <c r="R326" s="15">
        <f>ABS(Tableau2[[#This Row],[Rm ]])</f>
        <v>7.7831222466447367E-3</v>
      </c>
      <c r="S326" s="15">
        <f>(Tableau2[[#This Row],[Rm ]]-Tableau2[[#Totals],[Rm ]])^2</f>
        <v>4.8880613026161314E-5</v>
      </c>
      <c r="T326" s="15">
        <f t="shared" si="10"/>
        <v>0.20982170403024519</v>
      </c>
      <c r="U326" s="15">
        <f t="shared" si="11"/>
        <v>0.2108527781204779</v>
      </c>
    </row>
    <row r="327" spans="1:21" x14ac:dyDescent="0.35">
      <c r="A327" s="10">
        <v>44981</v>
      </c>
      <c r="B327" s="2">
        <v>6.0471821755017537E-2</v>
      </c>
      <c r="C327" s="2">
        <v>6.4538521137571164E-2</v>
      </c>
      <c r="D327" s="2">
        <v>5.4681007369852559E-3</v>
      </c>
      <c r="E327" s="2">
        <v>5.766305019709056E-2</v>
      </c>
      <c r="F327" s="2">
        <v>5.3882694971158537E-2</v>
      </c>
      <c r="G327" s="2">
        <v>-3.063026594824312E-2</v>
      </c>
      <c r="H327" s="2">
        <v>-3.1884867519829017E-2</v>
      </c>
      <c r="I327" s="2">
        <v>-6.1195561026919802E-2</v>
      </c>
      <c r="J327" s="2">
        <v>0.12615128532690001</v>
      </c>
      <c r="K327" s="2">
        <v>8.2238098236972007E-2</v>
      </c>
      <c r="L327" s="2">
        <v>2.431730765070643E-2</v>
      </c>
      <c r="M327" s="2">
        <v>3.7807228399061518E-3</v>
      </c>
      <c r="N327" s="2">
        <v>1.061956882746035E-2</v>
      </c>
      <c r="O327" s="2">
        <v>1.6622442173882881E-2</v>
      </c>
      <c r="P327" s="2">
        <v>-2.2832042042645679E-2</v>
      </c>
      <c r="Q327" s="15">
        <f>AVERAGE(Tableau2[[#This Row],[AWB]:[IAM]])</f>
        <v>2.3947391821067553E-2</v>
      </c>
      <c r="R327" s="15">
        <f>ABS(Tableau2[[#This Row],[Rm ]])</f>
        <v>2.3947391821067553E-2</v>
      </c>
      <c r="S327" s="15">
        <f>(Tableau2[[#This Row],[Rm ]]-Tableau2[[#Totals],[Rm ]])^2</f>
        <v>5.361881436370693E-4</v>
      </c>
      <c r="T327" s="15">
        <f t="shared" si="10"/>
        <v>0.55960126811642108</v>
      </c>
      <c r="U327" s="15">
        <f t="shared" si="11"/>
        <v>0.20982170403024519</v>
      </c>
    </row>
    <row r="328" spans="1:21" x14ac:dyDescent="0.35">
      <c r="A328" s="10">
        <v>44987</v>
      </c>
      <c r="B328" s="2">
        <v>-7.1157213505496329E-3</v>
      </c>
      <c r="C328" s="2">
        <v>-8.1581877014634697E-3</v>
      </c>
      <c r="D328" s="2">
        <v>1.9490406556040531E-2</v>
      </c>
      <c r="E328" s="2">
        <v>-2.525732226078757E-3</v>
      </c>
      <c r="F328" s="2">
        <v>-6.199260080006936E-2</v>
      </c>
      <c r="G328" s="2">
        <v>3.1055925581530671E-3</v>
      </c>
      <c r="H328" s="2">
        <v>3.5731378352757533E-2</v>
      </c>
      <c r="I328" s="2">
        <v>3.0281198114472701E-2</v>
      </c>
      <c r="J328" s="2">
        <v>-2.0202707317519351E-2</v>
      </c>
      <c r="K328" s="2">
        <v>0</v>
      </c>
      <c r="L328" s="2">
        <v>-1.001502337089521E-3</v>
      </c>
      <c r="M328" s="2">
        <v>-1.904819497069447E-2</v>
      </c>
      <c r="N328" s="2">
        <v>-2.2072807840962619E-2</v>
      </c>
      <c r="O328" s="2">
        <v>1.6625486846133911E-2</v>
      </c>
      <c r="P328" s="2">
        <v>2.5086834429734878E-2</v>
      </c>
      <c r="Q328" s="15">
        <f>AVERAGE(Tableau2[[#This Row],[AWB]:[IAM]])</f>
        <v>-7.864371791423036E-4</v>
      </c>
      <c r="R328" s="15">
        <f>ABS(Tableau2[[#This Row],[Rm ]])</f>
        <v>7.864371791423036E-4</v>
      </c>
      <c r="S328" s="15">
        <f>(Tableau2[[#This Row],[Rm ]]-Tableau2[[#Totals],[Rm ]])^2</f>
        <v>2.4903752045728621E-6</v>
      </c>
      <c r="T328" s="15">
        <f t="shared" si="10"/>
        <v>0.24750352738762549</v>
      </c>
      <c r="U328" s="15">
        <f t="shared" si="11"/>
        <v>0.55960126811642108</v>
      </c>
    </row>
    <row r="329" spans="1:21" x14ac:dyDescent="0.35">
      <c r="A329" s="10">
        <v>45007</v>
      </c>
      <c r="B329" s="2">
        <v>-1.513488758427022E-2</v>
      </c>
      <c r="C329" s="2">
        <v>-1.2895221496368811E-2</v>
      </c>
      <c r="D329" s="2">
        <v>-1.8926443762636181E-2</v>
      </c>
      <c r="E329" s="2">
        <v>-1.911689167568081E-2</v>
      </c>
      <c r="F329" s="2">
        <v>3.9521594489648253E-2</v>
      </c>
      <c r="G329" s="2">
        <v>-0.16846452213252841</v>
      </c>
      <c r="H329" s="2">
        <v>-4.1431564792101999E-2</v>
      </c>
      <c r="I329" s="2">
        <v>-0.11817557736898041</v>
      </c>
      <c r="J329" s="2">
        <v>-8.1460946458980804E-2</v>
      </c>
      <c r="K329" s="2">
        <v>-1.3511928978565169E-2</v>
      </c>
      <c r="L329" s="2">
        <v>-4.929129171687751E-2</v>
      </c>
      <c r="M329" s="2">
        <v>-7.5884697524872688E-2</v>
      </c>
      <c r="N329" s="2">
        <v>2.13683344056988E-2</v>
      </c>
      <c r="O329" s="2">
        <v>-3.9517542033612317E-2</v>
      </c>
      <c r="P329" s="2">
        <v>2.2497197340153249E-3</v>
      </c>
      <c r="Q329" s="15">
        <f>AVERAGE(Tableau2[[#This Row],[AWB]:[IAM]])</f>
        <v>-3.9378124459740864E-2</v>
      </c>
      <c r="R329" s="15">
        <f>ABS(Tableau2[[#This Row],[Rm ]])</f>
        <v>3.9378124459740864E-2</v>
      </c>
      <c r="S329" s="15">
        <f>(Tableau2[[#This Row],[Rm ]]-Tableau2[[#Totals],[Rm ]])^2</f>
        <v>1.6136111889384992E-3</v>
      </c>
      <c r="T329" s="15">
        <f t="shared" si="10"/>
        <v>0.5583058870386971</v>
      </c>
      <c r="U329" s="15">
        <f t="shared" si="11"/>
        <v>0.24750352738762549</v>
      </c>
    </row>
    <row r="330" spans="1:21" x14ac:dyDescent="0.35">
      <c r="A330" s="10">
        <v>45014</v>
      </c>
      <c r="B330" s="2">
        <v>0</v>
      </c>
      <c r="C330" s="2">
        <v>8.4746269909722356E-3</v>
      </c>
      <c r="D330" s="2">
        <v>4.8744003523621751E-3</v>
      </c>
      <c r="E330" s="2">
        <v>3.2169884587992768E-3</v>
      </c>
      <c r="F330" s="2">
        <v>-3.1798246601409633E-2</v>
      </c>
      <c r="G330" s="2">
        <v>-5.6618893999507931E-2</v>
      </c>
      <c r="H330" s="2">
        <v>9.1004916574990533E-2</v>
      </c>
      <c r="I330" s="2">
        <v>0</v>
      </c>
      <c r="J330" s="2">
        <v>1.263003140610265E-2</v>
      </c>
      <c r="K330" s="2">
        <v>1.3511928978565039E-2</v>
      </c>
      <c r="L330" s="2">
        <v>2.0834086902842049E-2</v>
      </c>
      <c r="M330" s="2">
        <v>-4.158010148663677E-3</v>
      </c>
      <c r="N330" s="2">
        <v>-2.7868899008792261E-2</v>
      </c>
      <c r="O330" s="2">
        <v>5.7159189895756776E-4</v>
      </c>
      <c r="P330" s="2">
        <v>-6.7644000885421487E-3</v>
      </c>
      <c r="Q330" s="15">
        <f>AVERAGE(Tableau2[[#This Row],[AWB]:[IAM]])</f>
        <v>1.8606747811117255E-3</v>
      </c>
      <c r="R330" s="15">
        <f>ABS(Tableau2[[#This Row],[Rm ]])</f>
        <v>1.8606747811117255E-3</v>
      </c>
      <c r="S330" s="15">
        <f>(Tableau2[[#This Row],[Rm ]]-Tableau2[[#Totals],[Rm ]])^2</f>
        <v>1.1428031036113696E-6</v>
      </c>
      <c r="T330" s="15">
        <f t="shared" si="10"/>
        <v>0.27499444251536015</v>
      </c>
      <c r="U330" s="15">
        <f t="shared" si="11"/>
        <v>0.5583058870386971</v>
      </c>
    </row>
    <row r="331" spans="1:21" x14ac:dyDescent="0.35">
      <c r="A331" s="10">
        <v>45015</v>
      </c>
      <c r="B331" s="2">
        <v>7.4720148387010573E-3</v>
      </c>
      <c r="C331" s="2">
        <v>-2.9546144093811039E-2</v>
      </c>
      <c r="D331" s="2">
        <v>-1.7038543659757269E-2</v>
      </c>
      <c r="E331" s="2">
        <v>-6.4443593414631739E-3</v>
      </c>
      <c r="F331" s="2">
        <v>1.147431672723513E-2</v>
      </c>
      <c r="G331" s="2">
        <v>0</v>
      </c>
      <c r="H331" s="2">
        <v>5.8124466816136991E-2</v>
      </c>
      <c r="I331" s="2">
        <v>3.8132869695444042E-2</v>
      </c>
      <c r="J331" s="2">
        <v>-3.7117662956502512E-2</v>
      </c>
      <c r="K331" s="2">
        <v>-1.5801952195175831E-3</v>
      </c>
      <c r="L331" s="2">
        <v>-2.0834086902842028E-2</v>
      </c>
      <c r="M331" s="2">
        <v>-4.1753714104806206E-3</v>
      </c>
      <c r="N331" s="2">
        <v>0</v>
      </c>
      <c r="O331" s="2">
        <v>0</v>
      </c>
      <c r="P331" s="2">
        <v>0</v>
      </c>
      <c r="Q331" s="15">
        <f>AVERAGE(Tableau2[[#This Row],[AWB]:[IAM]])</f>
        <v>-1.0217970045713377E-4</v>
      </c>
      <c r="R331" s="15">
        <f>ABS(Tableau2[[#This Row],[Rm ]])</f>
        <v>1.0217970045713377E-4</v>
      </c>
      <c r="S331" s="15">
        <f>(Tableau2[[#This Row],[Rm ]]-Tableau2[[#Totals],[Rm ]])^2</f>
        <v>7.9894062959912047E-7</v>
      </c>
      <c r="T331" s="15">
        <f t="shared" si="10"/>
        <v>0.23194684364192192</v>
      </c>
      <c r="U331" s="15">
        <f t="shared" si="11"/>
        <v>0.27499444251536015</v>
      </c>
    </row>
    <row r="332" spans="1:21" x14ac:dyDescent="0.35">
      <c r="A332" s="10">
        <v>45016</v>
      </c>
      <c r="B332" s="2">
        <v>-1.7143634535432099E-2</v>
      </c>
      <c r="C332" s="2">
        <v>-1.356397955991751E-2</v>
      </c>
      <c r="D332" s="2">
        <v>-3.048395603382173E-3</v>
      </c>
      <c r="E332" s="2">
        <v>9.6510319625810349E-3</v>
      </c>
      <c r="F332" s="2">
        <v>-4.2728162025667683E-2</v>
      </c>
      <c r="G332" s="2">
        <v>-2.9558802241544509E-2</v>
      </c>
      <c r="H332" s="2">
        <v>1.9506470253525119E-2</v>
      </c>
      <c r="I332" s="2">
        <v>-1.369884435816192E-2</v>
      </c>
      <c r="J332" s="2">
        <v>3.7117662956502588E-2</v>
      </c>
      <c r="K332" s="2">
        <v>-1.166503153050303E-2</v>
      </c>
      <c r="L332" s="2">
        <v>1.047129986729544E-2</v>
      </c>
      <c r="M332" s="2">
        <v>-4.1928782600359274E-3</v>
      </c>
      <c r="N332" s="2">
        <v>1.448226176364748E-3</v>
      </c>
      <c r="O332" s="2">
        <v>-1.7291497110060991E-2</v>
      </c>
      <c r="P332" s="2">
        <v>0</v>
      </c>
      <c r="Q332" s="15">
        <f>AVERAGE(Tableau2[[#This Row],[AWB]:[IAM]])</f>
        <v>-4.979768933895793E-3</v>
      </c>
      <c r="R332" s="15">
        <f>ABS(Tableau2[[#This Row],[Rm ]])</f>
        <v>4.979768933895793E-3</v>
      </c>
      <c r="S332" s="15">
        <f>(Tableau2[[#This Row],[Rm ]]-Tableau2[[#Totals],[Rm ]])^2</f>
        <v>3.3309335244021355E-5</v>
      </c>
      <c r="T332" s="15">
        <f t="shared" si="10"/>
        <v>0.2169353533097316</v>
      </c>
      <c r="U332" s="15">
        <f t="shared" si="11"/>
        <v>0.23194684364192192</v>
      </c>
    </row>
    <row r="333" spans="1:21" x14ac:dyDescent="0.35">
      <c r="A333" s="10">
        <v>45022</v>
      </c>
      <c r="B333" s="2">
        <v>9.671619696731186E-3</v>
      </c>
      <c r="C333" s="2">
        <v>1.31292914417928E-2</v>
      </c>
      <c r="D333" s="2">
        <v>1.496192804548452E-2</v>
      </c>
      <c r="E333" s="2">
        <v>-9.6510319625810696E-3</v>
      </c>
      <c r="F333" s="2">
        <v>3.0101093905197E-2</v>
      </c>
      <c r="G333" s="2">
        <v>3.7295784743696929E-2</v>
      </c>
      <c r="H333" s="2">
        <v>-1.2146881879480679E-2</v>
      </c>
      <c r="I333" s="2">
        <v>-8.6580627431145415E-3</v>
      </c>
      <c r="J333" s="2">
        <v>-5.6841403549898074E-3</v>
      </c>
      <c r="K333" s="2">
        <v>0</v>
      </c>
      <c r="L333" s="2">
        <v>0</v>
      </c>
      <c r="M333" s="2">
        <v>0</v>
      </c>
      <c r="N333" s="2">
        <v>5.7720217971221907E-3</v>
      </c>
      <c r="O333" s="2">
        <v>3.1757782575643892E-2</v>
      </c>
      <c r="P333" s="2">
        <v>1.130582370286077E-3</v>
      </c>
      <c r="Q333" s="15">
        <f>AVERAGE(Tableau2[[#This Row],[AWB]:[IAM]])</f>
        <v>7.1786658423858988E-3</v>
      </c>
      <c r="R333" s="15">
        <f>ABS(Tableau2[[#This Row],[Rm ]])</f>
        <v>7.1786658423858988E-3</v>
      </c>
      <c r="S333" s="15">
        <f>(Tableau2[[#This Row],[Rm ]]-Tableau2[[#Totals],[Rm ]])^2</f>
        <v>4.0793906372761682E-5</v>
      </c>
      <c r="T333" s="15">
        <f t="shared" si="10"/>
        <v>0.18204613280116874</v>
      </c>
      <c r="U333" s="15">
        <f t="shared" si="11"/>
        <v>0.2169353533097316</v>
      </c>
    </row>
    <row r="334" spans="1:21" x14ac:dyDescent="0.35">
      <c r="A334" s="10">
        <v>45029</v>
      </c>
      <c r="B334" s="2">
        <v>0</v>
      </c>
      <c r="C334" s="2">
        <v>2.1736767828234939E-4</v>
      </c>
      <c r="D334" s="2">
        <v>-2.7608726829932112E-3</v>
      </c>
      <c r="E334" s="2">
        <v>-6.4536229567513344E-3</v>
      </c>
      <c r="F334" s="2">
        <v>-3.1290463901127392E-2</v>
      </c>
      <c r="G334" s="2">
        <v>-3.7295784743697012E-2</v>
      </c>
      <c r="H334" s="2">
        <v>-2.2576554178904879E-2</v>
      </c>
      <c r="I334" s="2">
        <v>-3.484324082610811E-3</v>
      </c>
      <c r="J334" s="2">
        <v>1.627339659375408E-3</v>
      </c>
      <c r="K334" s="2">
        <v>0</v>
      </c>
      <c r="L334" s="2">
        <v>1.046587450535591E-2</v>
      </c>
      <c r="M334" s="2">
        <v>3.7117662956502588E-2</v>
      </c>
      <c r="N334" s="2">
        <v>1.0733555643108629E-2</v>
      </c>
      <c r="O334" s="2">
        <v>1.6478518383838729E-2</v>
      </c>
      <c r="P334" s="2">
        <v>-7.6283304749630715E-2</v>
      </c>
      <c r="Q334" s="15">
        <f>AVERAGE(Tableau2[[#This Row],[AWB]:[IAM]])</f>
        <v>-6.9003072312834495E-3</v>
      </c>
      <c r="R334" s="15">
        <f>ABS(Tableau2[[#This Row],[Rm ]])</f>
        <v>6.9003072312834495E-3</v>
      </c>
      <c r="S334" s="15">
        <f>(Tableau2[[#This Row],[Rm ]]-Tableau2[[#Totals],[Rm ]])^2</f>
        <v>5.9166284325948496E-5</v>
      </c>
      <c r="T334" s="15">
        <f t="shared" si="10"/>
        <v>0.21493229294599495</v>
      </c>
      <c r="U334" s="15">
        <f t="shared" si="11"/>
        <v>0.18204613280116874</v>
      </c>
    </row>
    <row r="335" spans="1:21" x14ac:dyDescent="0.35">
      <c r="A335" s="10">
        <v>45037</v>
      </c>
      <c r="B335" s="2">
        <v>4.9875415110389679E-3</v>
      </c>
      <c r="C335" s="2">
        <v>4.1210339203159091E-3</v>
      </c>
      <c r="D335" s="2">
        <v>-9.1526597591092967E-3</v>
      </c>
      <c r="E335" s="2">
        <v>1.2897982298214469E-2</v>
      </c>
      <c r="F335" s="2">
        <v>-2.6161924497647329E-2</v>
      </c>
      <c r="G335" s="2">
        <v>3.8258712117090483E-2</v>
      </c>
      <c r="H335" s="2">
        <v>-8.3682496705165792E-3</v>
      </c>
      <c r="I335" s="2">
        <v>3.4843240826108431E-3</v>
      </c>
      <c r="J335" s="2">
        <v>7.0617567213953417E-2</v>
      </c>
      <c r="K335" s="2">
        <v>1.324522675002072E-2</v>
      </c>
      <c r="L335" s="2">
        <v>-7.3457471691123471E-3</v>
      </c>
      <c r="M335" s="2">
        <v>-4.0568006956144299E-3</v>
      </c>
      <c r="N335" s="2">
        <v>4.5225098004935807E-2</v>
      </c>
      <c r="O335" s="2">
        <v>8.2759093038596611E-3</v>
      </c>
      <c r="P335" s="2">
        <v>-6.291382541056921E-2</v>
      </c>
      <c r="Q335" s="15">
        <f>AVERAGE(Tableau2[[#This Row],[AWB]:[IAM]])</f>
        <v>5.5409458666314058E-3</v>
      </c>
      <c r="R335" s="15">
        <f>ABS(Tableau2[[#This Row],[Rm ]])</f>
        <v>5.5409458666314058E-3</v>
      </c>
      <c r="S335" s="15">
        <f>(Tableau2[[#This Row],[Rm ]]-Tableau2[[#Totals],[Rm ]])^2</f>
        <v>2.2555762897108601E-5</v>
      </c>
      <c r="T335" s="15">
        <f t="shared" si="10"/>
        <v>0.24665852111785161</v>
      </c>
      <c r="U335" s="15">
        <f t="shared" si="11"/>
        <v>0.21493229294599495</v>
      </c>
    </row>
    <row r="336" spans="1:21" x14ac:dyDescent="0.35">
      <c r="A336" s="10">
        <v>45041</v>
      </c>
      <c r="B336" s="2">
        <v>7.4349784875179913E-3</v>
      </c>
      <c r="C336" s="2">
        <v>-4.3384015985981298E-3</v>
      </c>
      <c r="D336" s="2">
        <v>0</v>
      </c>
      <c r="E336" s="2">
        <v>0</v>
      </c>
      <c r="F336" s="2">
        <v>-6.1827297681801542E-2</v>
      </c>
      <c r="G336" s="2">
        <v>3.0334079348521479E-2</v>
      </c>
      <c r="H336" s="2">
        <v>7.8681246288343273E-3</v>
      </c>
      <c r="I336" s="2">
        <v>1.2100406934087491E-2</v>
      </c>
      <c r="J336" s="2">
        <v>-1.9121041446778401E-2</v>
      </c>
      <c r="K336" s="2">
        <v>-2.6668247082161291E-2</v>
      </c>
      <c r="L336" s="2">
        <v>-3.1201273362436339E-3</v>
      </c>
      <c r="M336" s="2">
        <v>0</v>
      </c>
      <c r="N336" s="2">
        <v>6.8004082865546665E-4</v>
      </c>
      <c r="O336" s="2">
        <v>5.4794657646255714E-3</v>
      </c>
      <c r="P336" s="2">
        <v>-1.307208156735289E-2</v>
      </c>
      <c r="Q336" s="15">
        <f>AVERAGE(Tableau2[[#This Row],[AWB]:[IAM]])</f>
        <v>-4.2833400480462381E-3</v>
      </c>
      <c r="R336" s="15">
        <f>ABS(Tableau2[[#This Row],[Rm ]])</f>
        <v>4.2833400480462381E-3</v>
      </c>
      <c r="S336" s="15">
        <f>(Tableau2[[#This Row],[Rm ]]-Tableau2[[#Totals],[Rm ]])^2</f>
        <v>2.5755575633975507E-5</v>
      </c>
      <c r="T336" s="15">
        <f t="shared" si="10"/>
        <v>0.19901791285490261</v>
      </c>
      <c r="U336" s="15">
        <f t="shared" si="11"/>
        <v>0.24665852111785161</v>
      </c>
    </row>
    <row r="337" spans="1:21" x14ac:dyDescent="0.35">
      <c r="A337" s="10">
        <v>45050</v>
      </c>
      <c r="B337" s="2">
        <v>-1.743506182210142E-2</v>
      </c>
      <c r="C337" s="2">
        <v>-1.268885981168261E-2</v>
      </c>
      <c r="D337" s="2">
        <v>-6.1699143030159087E-3</v>
      </c>
      <c r="E337" s="2">
        <v>7.9656205828360152E-3</v>
      </c>
      <c r="F337" s="2">
        <v>1.2502789469086071E-2</v>
      </c>
      <c r="G337" s="2">
        <v>0.122027568143038</v>
      </c>
      <c r="H337" s="2">
        <v>6.3005330393079456E-2</v>
      </c>
      <c r="I337" s="2">
        <v>0.18318029450237239</v>
      </c>
      <c r="J337" s="2">
        <v>-1.7920230233570679E-2</v>
      </c>
      <c r="K337" s="2">
        <v>-1.36056520557786E-2</v>
      </c>
      <c r="L337" s="2">
        <v>-1.0471299867295371E-2</v>
      </c>
      <c r="M337" s="2">
        <v>7.290433262679274E-3</v>
      </c>
      <c r="N337" s="2">
        <v>-1.4378885186817391E-2</v>
      </c>
      <c r="O337" s="2">
        <v>-3.3336420267591843E-2</v>
      </c>
      <c r="P337" s="2">
        <v>-3.3447934067540132E-2</v>
      </c>
      <c r="Q337" s="15">
        <f>AVERAGE(Tableau2[[#This Row],[AWB]:[IAM]])</f>
        <v>1.5767851915846478E-2</v>
      </c>
      <c r="R337" s="15">
        <f>ABS(Tableau2[[#This Row],[Rm ]])</f>
        <v>1.5767851915846478E-2</v>
      </c>
      <c r="S337" s="15">
        <f>(Tableau2[[#This Row],[Rm ]]-Tableau2[[#Totals],[Rm ]])^2</f>
        <v>2.2428647141730241E-4</v>
      </c>
      <c r="T337" s="15">
        <f t="shared" si="10"/>
        <v>0.59588454099740673</v>
      </c>
      <c r="U337" s="15">
        <f t="shared" si="11"/>
        <v>0.19901791285490261</v>
      </c>
    </row>
    <row r="338" spans="1:21" x14ac:dyDescent="0.35">
      <c r="A338" s="10">
        <v>45056</v>
      </c>
      <c r="B338" s="2">
        <v>-1.2570711900510921E-3</v>
      </c>
      <c r="C338" s="2">
        <v>6.1457612227466731E-3</v>
      </c>
      <c r="D338" s="2">
        <v>-5.5664112505617851E-3</v>
      </c>
      <c r="E338" s="2">
        <v>1.593041597686255E-4</v>
      </c>
      <c r="F338" s="2">
        <v>1.488475492297887E-2</v>
      </c>
      <c r="G338" s="2">
        <v>0.1035406789408404</v>
      </c>
      <c r="H338" s="2">
        <v>7.3317542373824802E-3</v>
      </c>
      <c r="I338" s="2">
        <v>8.1032643408561408E-2</v>
      </c>
      <c r="J338" s="2">
        <v>-1.573564447430552E-3</v>
      </c>
      <c r="K338" s="2">
        <v>0</v>
      </c>
      <c r="L338" s="2">
        <v>1.566611674439946E-2</v>
      </c>
      <c r="M338" s="2">
        <v>5.9532062982722463E-2</v>
      </c>
      <c r="N338" s="2">
        <v>4.0546094394350009E-2</v>
      </c>
      <c r="O338" s="2">
        <v>3.3063158891386571E-2</v>
      </c>
      <c r="P338" s="2">
        <v>-6.8259650703998706E-3</v>
      </c>
      <c r="Q338" s="15">
        <f>AVERAGE(Tableau2[[#This Row],[AWB]:[IAM]])</f>
        <v>2.3111954529779578E-2</v>
      </c>
      <c r="R338" s="15">
        <f>ABS(Tableau2[[#This Row],[Rm ]])</f>
        <v>2.3111954529779578E-2</v>
      </c>
      <c r="S338" s="15">
        <f>(Tableau2[[#This Row],[Rm ]]-Tableau2[[#Totals],[Rm ]])^2</f>
        <v>4.9819576715714857E-4</v>
      </c>
      <c r="T338" s="15">
        <f t="shared" si="10"/>
        <v>0.37636767364442514</v>
      </c>
      <c r="U338" s="15">
        <f t="shared" si="11"/>
        <v>0.59588454099740673</v>
      </c>
    </row>
    <row r="339" spans="1:21" x14ac:dyDescent="0.35">
      <c r="A339" s="10">
        <v>45057</v>
      </c>
      <c r="B339" s="2">
        <v>1.257071190051114E-3</v>
      </c>
      <c r="C339" s="2">
        <v>-2.1905813798185859E-3</v>
      </c>
      <c r="D339" s="2">
        <v>1.173632555357762E-2</v>
      </c>
      <c r="E339" s="2">
        <v>1.7182444773843331E-2</v>
      </c>
      <c r="F339" s="2">
        <v>-8.0518054421971613E-3</v>
      </c>
      <c r="G339" s="2">
        <v>-6.1463274430468708E-2</v>
      </c>
      <c r="H339" s="2">
        <v>2.3286512114055751E-3</v>
      </c>
      <c r="I339" s="2">
        <v>2.8610534041265841E-2</v>
      </c>
      <c r="J339" s="2">
        <v>7.0616221262058089E-3</v>
      </c>
      <c r="K339" s="2">
        <v>5.3345980705292707E-2</v>
      </c>
      <c r="L339" s="2">
        <v>1.949779571326752E-2</v>
      </c>
      <c r="M339" s="2">
        <v>2.6267926820610101E-2</v>
      </c>
      <c r="N339" s="2">
        <v>2.5499910607898729E-2</v>
      </c>
      <c r="O339" s="2">
        <v>2.7326137620517022E-4</v>
      </c>
      <c r="P339" s="2">
        <v>-6.8728792877620643E-3</v>
      </c>
      <c r="Q339" s="15">
        <f>AVERAGE(Tableau2[[#This Row],[AWB]:[IAM]])</f>
        <v>7.6321989052918014E-3</v>
      </c>
      <c r="R339" s="15">
        <f>ABS(Tableau2[[#This Row],[Rm ]])</f>
        <v>7.6321989052918014E-3</v>
      </c>
      <c r="S339" s="15">
        <f>(Tableau2[[#This Row],[Rm ]]-Tableau2[[#Totals],[Rm ]])^2</f>
        <v>4.6793039712134166E-5</v>
      </c>
      <c r="T339" s="15">
        <f t="shared" si="10"/>
        <v>0.24389297877724289</v>
      </c>
      <c r="U339" s="15">
        <f t="shared" si="11"/>
        <v>0.37636767364442514</v>
      </c>
    </row>
    <row r="340" spans="1:21" x14ac:dyDescent="0.35">
      <c r="A340" s="10">
        <v>45058</v>
      </c>
      <c r="B340" s="2">
        <v>1.9901154317295021E-2</v>
      </c>
      <c r="C340" s="2">
        <v>8.7336799687546315E-3</v>
      </c>
      <c r="D340" s="2">
        <v>1.160018051399076E-2</v>
      </c>
      <c r="E340" s="2">
        <v>3.077450553242583E-2</v>
      </c>
      <c r="F340" s="2">
        <v>0</v>
      </c>
      <c r="G340" s="2">
        <v>1.259859183632173E-2</v>
      </c>
      <c r="H340" s="2">
        <v>6.3374506877583916E-3</v>
      </c>
      <c r="I340" s="2">
        <v>-1.282873812889152E-3</v>
      </c>
      <c r="J340" s="2">
        <v>-6.274530389388736E-3</v>
      </c>
      <c r="K340" s="2">
        <v>-3.9740328649514108E-2</v>
      </c>
      <c r="L340" s="2">
        <v>1.5128881596299999E-2</v>
      </c>
      <c r="M340" s="2">
        <v>7.38010729762246E-3</v>
      </c>
      <c r="N340" s="2">
        <v>1.7914746546169841E-2</v>
      </c>
      <c r="O340" s="2">
        <v>1.1139905990744201E-2</v>
      </c>
      <c r="P340" s="2">
        <v>1.3698844358161931E-2</v>
      </c>
      <c r="Q340" s="15">
        <f>AVERAGE(Tableau2[[#This Row],[AWB]:[IAM]])</f>
        <v>7.1940210529168542E-3</v>
      </c>
      <c r="R340" s="15">
        <f>ABS(Tableau2[[#This Row],[Rm ]])</f>
        <v>7.1940210529168542E-3</v>
      </c>
      <c r="S340" s="15">
        <f>(Tableau2[[#This Row],[Rm ]]-Tableau2[[#Totals],[Rm ]])^2</f>
        <v>4.0990289944836944E-5</v>
      </c>
      <c r="T340" s="15">
        <f t="shared" si="10"/>
        <v>0.14778960643900702</v>
      </c>
      <c r="U340" s="15">
        <f t="shared" si="11"/>
        <v>0.24389297877724289</v>
      </c>
    </row>
    <row r="341" spans="1:21" x14ac:dyDescent="0.35">
      <c r="A341" s="10">
        <v>45061</v>
      </c>
      <c r="B341" s="2">
        <v>-2.4660924951935542E-3</v>
      </c>
      <c r="C341" s="2">
        <v>4.3384015985981411E-3</v>
      </c>
      <c r="D341" s="2">
        <v>1.2643810805755671E-2</v>
      </c>
      <c r="E341" s="2">
        <v>-3.0774505532425819E-2</v>
      </c>
      <c r="F341" s="2">
        <v>-1.284594480708575E-2</v>
      </c>
      <c r="G341" s="2">
        <v>3.3849385474151533E-2</v>
      </c>
      <c r="H341" s="2">
        <v>1.6807118316381191E-2</v>
      </c>
      <c r="I341" s="2">
        <v>1.402189959031898E-2</v>
      </c>
      <c r="J341" s="2">
        <v>-7.8709173681704321E-4</v>
      </c>
      <c r="K341" s="2">
        <v>-2.462504730538918E-2</v>
      </c>
      <c r="L341" s="2">
        <v>-3.2556283195259252E-2</v>
      </c>
      <c r="M341" s="2">
        <v>8.7848295557328114E-3</v>
      </c>
      <c r="N341" s="2">
        <v>5.060099348342552E-3</v>
      </c>
      <c r="O341" s="2">
        <v>1.5283847587254561E-2</v>
      </c>
      <c r="P341" s="2">
        <v>4.6520015634892907E-2</v>
      </c>
      <c r="Q341" s="15">
        <f>AVERAGE(Tableau2[[#This Row],[AWB]:[IAM]])</f>
        <v>3.5502961892838495E-3</v>
      </c>
      <c r="R341" s="15">
        <f>ABS(Tableau2[[#This Row],[Rm ]])</f>
        <v>3.5502961892838495E-3</v>
      </c>
      <c r="S341" s="15">
        <f>(Tableau2[[#This Row],[Rm ]]-Tableau2[[#Totals],[Rm ]])^2</f>
        <v>7.6101007240169837E-6</v>
      </c>
      <c r="T341" s="15">
        <f t="shared" si="10"/>
        <v>0.21060841293317897</v>
      </c>
      <c r="U341" s="15">
        <f t="shared" si="11"/>
        <v>0.14778960643900702</v>
      </c>
    </row>
    <row r="342" spans="1:21" x14ac:dyDescent="0.35">
      <c r="A342" s="10">
        <v>45062</v>
      </c>
      <c r="B342" s="2">
        <v>1.7136282242987241E-2</v>
      </c>
      <c r="C342" s="2">
        <v>8.4061277410122578E-3</v>
      </c>
      <c r="D342" s="2">
        <v>0</v>
      </c>
      <c r="E342" s="2">
        <v>-5.9677292507290111E-3</v>
      </c>
      <c r="F342" s="2">
        <v>0</v>
      </c>
      <c r="G342" s="2">
        <v>6.0332008041679127E-3</v>
      </c>
      <c r="H342" s="2">
        <v>1.50378773645405E-2</v>
      </c>
      <c r="I342" s="2">
        <v>6.3091691932647556E-3</v>
      </c>
      <c r="J342" s="2">
        <v>2.3347363996991111E-2</v>
      </c>
      <c r="K342" s="2">
        <v>1.1019395249610479E-2</v>
      </c>
      <c r="L342" s="2">
        <v>2.0661164374719092E-3</v>
      </c>
      <c r="M342" s="2">
        <v>-8.7848295557328027E-3</v>
      </c>
      <c r="N342" s="2">
        <v>-1.589858606779827E-2</v>
      </c>
      <c r="O342" s="2">
        <v>3.2978649437804902E-2</v>
      </c>
      <c r="P342" s="2">
        <v>1.2903404835907781E-2</v>
      </c>
      <c r="Q342" s="15">
        <f>AVERAGE(Tableau2[[#This Row],[AWB]:[IAM]])</f>
        <v>6.9724294952999179E-3</v>
      </c>
      <c r="R342" s="15">
        <f>ABS(Tableau2[[#This Row],[Rm ]])</f>
        <v>6.9724294952999179E-3</v>
      </c>
      <c r="S342" s="15">
        <f>(Tableau2[[#This Row],[Rm ]]-Tableau2[[#Totals],[Rm ]])^2</f>
        <v>3.8201972270179469E-5</v>
      </c>
      <c r="T342" s="15">
        <f t="shared" si="10"/>
        <v>0.13850861181894233</v>
      </c>
      <c r="U342" s="15">
        <f t="shared" si="11"/>
        <v>0.21060841293317897</v>
      </c>
    </row>
    <row r="343" spans="1:21" x14ac:dyDescent="0.35">
      <c r="A343" s="10">
        <v>45063</v>
      </c>
      <c r="B343" s="2">
        <v>-9.7561749453646852E-3</v>
      </c>
      <c r="C343" s="2">
        <v>-1.2309841221485559E-2</v>
      </c>
      <c r="D343" s="2">
        <v>-1.8111911542740909E-2</v>
      </c>
      <c r="E343" s="2">
        <v>6.2808358974101161E-3</v>
      </c>
      <c r="F343" s="2">
        <v>-4.3203811234371094E-3</v>
      </c>
      <c r="G343" s="2">
        <v>-1.8975901459005691E-2</v>
      </c>
      <c r="H343" s="2">
        <v>-1.9593693900401148E-2</v>
      </c>
      <c r="I343" s="2">
        <v>-5.030073847479901E-2</v>
      </c>
      <c r="J343" s="2">
        <v>-2.1380795024950331E-2</v>
      </c>
      <c r="K343" s="2">
        <v>3.4996842037096153E-2</v>
      </c>
      <c r="L343" s="2">
        <v>1.128795977385135E-2</v>
      </c>
      <c r="M343" s="2">
        <v>4.4020614006376651E-3</v>
      </c>
      <c r="N343" s="2">
        <v>0</v>
      </c>
      <c r="O343" s="2">
        <v>-1.6091704610997098E-2</v>
      </c>
      <c r="P343" s="2">
        <v>-2.5975486403260681E-2</v>
      </c>
      <c r="Q343" s="15">
        <f>AVERAGE(Tableau2[[#This Row],[AWB]:[IAM]])</f>
        <v>-9.3232619731631293E-3</v>
      </c>
      <c r="R343" s="15">
        <f>ABS(Tableau2[[#This Row],[Rm ]])</f>
        <v>9.3232619731631293E-3</v>
      </c>
      <c r="S343" s="15">
        <f>(Tableau2[[#This Row],[Rm ]]-Tableau2[[#Totals],[Rm ]])^2</f>
        <v>1.0231154716035272E-4</v>
      </c>
      <c r="T343" s="15">
        <f t="shared" si="10"/>
        <v>0.20163170351431617</v>
      </c>
      <c r="U343" s="15">
        <f t="shared" si="11"/>
        <v>0.13850861181894233</v>
      </c>
    </row>
    <row r="344" spans="1:21" x14ac:dyDescent="0.35">
      <c r="A344" s="10">
        <v>45070</v>
      </c>
      <c r="B344" s="2">
        <v>3.7286339687947458E-2</v>
      </c>
      <c r="C344" s="2">
        <v>1.252445652438035E-2</v>
      </c>
      <c r="D344" s="2">
        <v>1.2090227766663171E-2</v>
      </c>
      <c r="E344" s="2">
        <v>8.7587758658915368E-2</v>
      </c>
      <c r="F344" s="2">
        <v>-6.9516708501813559E-3</v>
      </c>
      <c r="G344" s="2">
        <v>-5.378422492758504E-3</v>
      </c>
      <c r="H344" s="2">
        <v>-1.8433701688838022E-2</v>
      </c>
      <c r="I344" s="2">
        <v>-4.8790164169431938E-2</v>
      </c>
      <c r="J344" s="2">
        <v>2.1380795024950251E-2</v>
      </c>
      <c r="K344" s="2">
        <v>1.314079356105833E-2</v>
      </c>
      <c r="L344" s="2">
        <v>2.0202707317519469E-2</v>
      </c>
      <c r="M344" s="2">
        <v>7.2939783625536256E-3</v>
      </c>
      <c r="N344" s="2">
        <v>-1.290340483590784E-2</v>
      </c>
      <c r="O344" s="2">
        <v>-5.7727790857411733E-3</v>
      </c>
      <c r="P344" s="2">
        <v>-6.6006840313520242E-3</v>
      </c>
      <c r="Q344" s="15">
        <f>AVERAGE(Tableau2[[#This Row],[AWB]:[IAM]])</f>
        <v>7.1117486499851458E-3</v>
      </c>
      <c r="R344" s="15">
        <f>ABS(Tableau2[[#This Row],[Rm ]])</f>
        <v>7.1117486499851458E-3</v>
      </c>
      <c r="S344" s="15">
        <f>(Tableau2[[#This Row],[Rm ]]-Tableau2[[#Totals],[Rm ]])^2</f>
        <v>3.9943582628407285E-5</v>
      </c>
      <c r="T344" s="15">
        <f t="shared" si="10"/>
        <v>0.29642786490563239</v>
      </c>
      <c r="U344" s="15">
        <f t="shared" si="11"/>
        <v>0.20163170351431617</v>
      </c>
    </row>
    <row r="345" spans="1:21" x14ac:dyDescent="0.35">
      <c r="A345" s="10">
        <v>45072</v>
      </c>
      <c r="B345" s="2">
        <v>5.8858321772613503E-3</v>
      </c>
      <c r="C345" s="2">
        <v>4.2826617920009493E-3</v>
      </c>
      <c r="D345" s="2">
        <v>-6.0581642362736356E-3</v>
      </c>
      <c r="E345" s="2">
        <v>1.5905190683945341E-2</v>
      </c>
      <c r="F345" s="2">
        <v>-9.7926903321246497E-2</v>
      </c>
      <c r="G345" s="2">
        <v>9.2025189311619199E-3</v>
      </c>
      <c r="H345" s="2">
        <v>1.5384918839479461E-2</v>
      </c>
      <c r="I345" s="2">
        <v>1.6529301951210509E-2</v>
      </c>
      <c r="J345" s="2">
        <v>0</v>
      </c>
      <c r="K345" s="2">
        <v>5.2083451071382597E-3</v>
      </c>
      <c r="L345" s="2">
        <v>-1.106094735942495E-2</v>
      </c>
      <c r="M345" s="2">
        <v>2.9027596579614102E-3</v>
      </c>
      <c r="N345" s="2">
        <v>1.2903404835907781E-2</v>
      </c>
      <c r="O345" s="2">
        <v>1.021084928632048E-2</v>
      </c>
      <c r="P345" s="2">
        <v>-6.6445427186685013E-3</v>
      </c>
      <c r="Q345" s="15">
        <f>AVERAGE(Tableau2[[#This Row],[AWB]:[IAM]])</f>
        <v>-1.551651624881741E-3</v>
      </c>
      <c r="R345" s="15">
        <f>ABS(Tableau2[[#This Row],[Rm ]])</f>
        <v>1.551651624881741E-3</v>
      </c>
      <c r="S345" s="15">
        <f>(Tableau2[[#This Row],[Rm ]]-Tableau2[[#Totals],[Rm ]])^2</f>
        <v>5.4910863520599448E-6</v>
      </c>
      <c r="T345" s="15">
        <f t="shared" si="10"/>
        <v>0.22621453725130558</v>
      </c>
      <c r="U345" s="15">
        <f t="shared" si="11"/>
        <v>0.29642786490563239</v>
      </c>
    </row>
    <row r="346" spans="1:21" x14ac:dyDescent="0.35">
      <c r="A346" s="10">
        <v>45077</v>
      </c>
      <c r="B346" s="2">
        <v>3.5149421074445919E-3</v>
      </c>
      <c r="C346" s="2">
        <v>-1.924928409584394E-3</v>
      </c>
      <c r="D346" s="2">
        <v>2.9869545476790119E-2</v>
      </c>
      <c r="E346" s="2">
        <v>1.398741813468363E-2</v>
      </c>
      <c r="F346" s="2">
        <v>9.0922307855870136E-3</v>
      </c>
      <c r="G346" s="2">
        <v>0.1287489827443076</v>
      </c>
      <c r="H346" s="2">
        <v>6.3583867127120428E-2</v>
      </c>
      <c r="I346" s="2">
        <v>5.1907859602017943E-2</v>
      </c>
      <c r="J346" s="2">
        <v>0</v>
      </c>
      <c r="K346" s="2">
        <v>3.7721087778515523E-2</v>
      </c>
      <c r="L346" s="2">
        <v>1.006044702584148E-2</v>
      </c>
      <c r="M346" s="2">
        <v>3.0683819938601999E-2</v>
      </c>
      <c r="N346" s="2">
        <v>4.0206420478040607E-2</v>
      </c>
      <c r="O346" s="2">
        <v>-5.2404397992233842E-2</v>
      </c>
      <c r="P346" s="2">
        <v>3.278982282299097E-2</v>
      </c>
      <c r="Q346" s="15">
        <f>AVERAGE(Tableau2[[#This Row],[AWB]:[IAM]])</f>
        <v>2.6522474508008244E-2</v>
      </c>
      <c r="R346" s="15">
        <f>ABS(Tableau2[[#This Row],[Rm ]])</f>
        <v>2.6522474508008244E-2</v>
      </c>
      <c r="S346" s="15">
        <f>(Tableau2[[#This Row],[Rm ]]-Tableau2[[#Totals],[Rm ]])^2</f>
        <v>6.6207506800944468E-4</v>
      </c>
      <c r="T346" s="15">
        <f t="shared" si="10"/>
        <v>0.40081369471465461</v>
      </c>
      <c r="U346" s="15">
        <f t="shared" si="11"/>
        <v>0.22621453725130558</v>
      </c>
    </row>
    <row r="347" spans="1:21" x14ac:dyDescent="0.35">
      <c r="A347" s="10">
        <v>45079</v>
      </c>
      <c r="B347" s="2">
        <v>1.7391742711869239E-2</v>
      </c>
      <c r="C347" s="2">
        <v>6.1893271960418187E-3</v>
      </c>
      <c r="D347" s="2">
        <v>-1.180405742811891E-2</v>
      </c>
      <c r="E347" s="2">
        <v>-1.116860918739462E-2</v>
      </c>
      <c r="F347" s="2">
        <v>4.739657479207334E-4</v>
      </c>
      <c r="G347" s="2">
        <v>-2.8592825993843201E-2</v>
      </c>
      <c r="H347" s="2">
        <v>2.4325689894786691E-3</v>
      </c>
      <c r="I347" s="2">
        <v>7.3737327227314284E-2</v>
      </c>
      <c r="J347" s="2">
        <v>1.9048194970694411E-2</v>
      </c>
      <c r="K347" s="2">
        <v>-5.003752919012001E-4</v>
      </c>
      <c r="L347" s="2">
        <v>-9.0498355199179273E-3</v>
      </c>
      <c r="M347" s="2">
        <v>4.533743459415656E-2</v>
      </c>
      <c r="N347" s="2">
        <v>3.3901551675681423E-2</v>
      </c>
      <c r="O347" s="2">
        <v>3.1611439375376332E-2</v>
      </c>
      <c r="P347" s="2">
        <v>1.2820688429061471E-2</v>
      </c>
      <c r="Q347" s="15">
        <f>AVERAGE(Tableau2[[#This Row],[AWB]:[IAM]])</f>
        <v>1.2121902499761273E-2</v>
      </c>
      <c r="R347" s="15">
        <f>ABS(Tableau2[[#This Row],[Rm ]])</f>
        <v>1.2121902499761273E-2</v>
      </c>
      <c r="S347" s="15">
        <f>(Tableau2[[#This Row],[Rm ]]-Tableau2[[#Totals],[Rm ]])^2</f>
        <v>1.2837450640484108E-4</v>
      </c>
      <c r="T347" s="15">
        <f t="shared" si="10"/>
        <v>0.29733792277096943</v>
      </c>
      <c r="U347" s="15">
        <f t="shared" si="11"/>
        <v>0.40081369471465461</v>
      </c>
    </row>
    <row r="348" spans="1:21" x14ac:dyDescent="0.35">
      <c r="A348" s="10">
        <v>45082</v>
      </c>
      <c r="B348" s="2">
        <v>-1.6807118316381289E-2</v>
      </c>
      <c r="C348" s="2">
        <v>0</v>
      </c>
      <c r="D348" s="2">
        <v>-8.9609103151844591E-3</v>
      </c>
      <c r="E348" s="2">
        <v>-1.132322577815017E-2</v>
      </c>
      <c r="F348" s="2">
        <v>-9.5661965335077179E-3</v>
      </c>
      <c r="G348" s="2">
        <v>2.1858793812499021E-2</v>
      </c>
      <c r="H348" s="2">
        <v>3.1373467140975143E-2</v>
      </c>
      <c r="I348" s="2">
        <v>4.7067510857985731E-2</v>
      </c>
      <c r="J348" s="2">
        <v>-7.5500192336904132E-4</v>
      </c>
      <c r="K348" s="2">
        <v>0</v>
      </c>
      <c r="L348" s="2">
        <v>0</v>
      </c>
      <c r="M348" s="2">
        <v>6.7136625549584817E-4</v>
      </c>
      <c r="N348" s="2">
        <v>-4.5670036833188321E-2</v>
      </c>
      <c r="O348" s="2">
        <v>5.3050522296930981E-3</v>
      </c>
      <c r="P348" s="2">
        <v>6.3492276786587436E-3</v>
      </c>
      <c r="Q348" s="15">
        <f>AVERAGE(Tableau2[[#This Row],[AWB]:[IAM]])</f>
        <v>1.302861885035106E-3</v>
      </c>
      <c r="R348" s="15">
        <f>ABS(Tableau2[[#This Row],[Rm ]])</f>
        <v>1.302861885035106E-3</v>
      </c>
      <c r="S348" s="15">
        <f>(Tableau2[[#This Row],[Rm ]]-Tableau2[[#Totals],[Rm ]])^2</f>
        <v>2.613323890243872E-7</v>
      </c>
      <c r="T348" s="15">
        <f t="shared" si="10"/>
        <v>0.20616954318189037</v>
      </c>
      <c r="U348" s="15">
        <f t="shared" si="11"/>
        <v>0.29733792277096943</v>
      </c>
    </row>
    <row r="349" spans="1:21" x14ac:dyDescent="0.35">
      <c r="A349" s="10">
        <v>45084</v>
      </c>
      <c r="B349" s="2">
        <v>-5.7441105127150364E-3</v>
      </c>
      <c r="C349" s="2">
        <v>1.247505342296054E-2</v>
      </c>
      <c r="D349" s="2">
        <v>-9.1045777334866421E-3</v>
      </c>
      <c r="E349" s="2">
        <v>8.5044168308612E-3</v>
      </c>
      <c r="F349" s="2">
        <v>0</v>
      </c>
      <c r="G349" s="2">
        <v>-6.7796869853788038E-3</v>
      </c>
      <c r="H349" s="2">
        <v>-3.811329332803419E-2</v>
      </c>
      <c r="I349" s="2">
        <v>4.5871640069061409E-3</v>
      </c>
      <c r="J349" s="2">
        <v>-2.137485958473356E-2</v>
      </c>
      <c r="K349" s="2">
        <v>-1.502629884535018E-3</v>
      </c>
      <c r="L349" s="2">
        <v>-2.0305784161397718E-2</v>
      </c>
      <c r="M349" s="2">
        <v>-2.652314605531695E-2</v>
      </c>
      <c r="N349" s="2">
        <v>3.6100585817037727E-2</v>
      </c>
      <c r="O349" s="2">
        <v>-2.6490081715769532E-3</v>
      </c>
      <c r="P349" s="2">
        <v>-1.273902577742983E-2</v>
      </c>
      <c r="Q349" s="15">
        <f>AVERAGE(Tableau2[[#This Row],[AWB]:[IAM]])</f>
        <v>-5.5445934744559385E-3</v>
      </c>
      <c r="R349" s="15">
        <f>ABS(Tableau2[[#This Row],[Rm ]])</f>
        <v>5.5445934744559385E-3</v>
      </c>
      <c r="S349" s="15">
        <f>(Tableau2[[#This Row],[Rm ]]-Tableau2[[#Totals],[Rm ]])^2</f>
        <v>4.0148045849073564E-5</v>
      </c>
      <c r="T349" s="15">
        <f t="shared" si="10"/>
        <v>0.18594066920291477</v>
      </c>
      <c r="U349" s="15">
        <f t="shared" si="11"/>
        <v>0.20616954318189037</v>
      </c>
    </row>
    <row r="350" spans="1:21" x14ac:dyDescent="0.35">
      <c r="A350" s="10">
        <v>45089</v>
      </c>
      <c r="B350" s="2">
        <v>-2.3515579179499851E-4</v>
      </c>
      <c r="C350" s="2">
        <v>6.4928492838504381E-3</v>
      </c>
      <c r="D350" s="2">
        <v>2.9017963916810999E-2</v>
      </c>
      <c r="E350" s="2">
        <v>1.384822960359383E-2</v>
      </c>
      <c r="F350" s="2">
        <v>-6.1466461863441721E-2</v>
      </c>
      <c r="G350" s="2">
        <v>-5.595865364804449E-2</v>
      </c>
      <c r="H350" s="2">
        <v>7.168489478612497E-3</v>
      </c>
      <c r="I350" s="2">
        <v>5.4548858847316792E-2</v>
      </c>
      <c r="J350" s="2">
        <v>1.542020351815418E-3</v>
      </c>
      <c r="K350" s="2">
        <v>-2.2814677766171399E-2</v>
      </c>
      <c r="L350" s="2">
        <v>2.5343578191354851E-2</v>
      </c>
      <c r="M350" s="2">
        <v>6.1834618181943624E-3</v>
      </c>
      <c r="N350" s="2">
        <v>-2.406740030564976E-3</v>
      </c>
      <c r="O350" s="2">
        <v>-5.3191614775999329E-3</v>
      </c>
      <c r="P350" s="2">
        <v>1.904819497069463E-2</v>
      </c>
      <c r="Q350" s="15">
        <f>AVERAGE(Tableau2[[#This Row],[AWB]:[IAM]])</f>
        <v>9.9951972564175364E-4</v>
      </c>
      <c r="R350" s="15">
        <f>ABS(Tableau2[[#This Row],[Rm ]])</f>
        <v>9.9951972564175364E-4</v>
      </c>
      <c r="S350" s="15">
        <f>(Tableau2[[#This Row],[Rm ]]-Tableau2[[#Totals],[Rm ]])^2</f>
        <v>4.3207707455681459E-8</v>
      </c>
      <c r="T350" s="15">
        <f t="shared" si="10"/>
        <v>0.29155050763422002</v>
      </c>
      <c r="U350" s="15">
        <f t="shared" si="11"/>
        <v>0.18594066920291477</v>
      </c>
    </row>
    <row r="351" spans="1:21" x14ac:dyDescent="0.35">
      <c r="A351" s="10">
        <v>45091</v>
      </c>
      <c r="B351" s="2">
        <v>2.2671435485756949E-2</v>
      </c>
      <c r="C351" s="2">
        <v>1.8614808442232011E-2</v>
      </c>
      <c r="D351" s="2">
        <v>8.5158155997907799E-4</v>
      </c>
      <c r="E351" s="2">
        <v>1.391885310897677E-4</v>
      </c>
      <c r="F351" s="2">
        <v>-3.4857187401928121E-2</v>
      </c>
      <c r="G351" s="2">
        <v>0.10636720302262979</v>
      </c>
      <c r="H351" s="2">
        <v>5.4217585904797208E-2</v>
      </c>
      <c r="I351" s="2">
        <v>0.115493188316576</v>
      </c>
      <c r="J351" s="2">
        <v>7.7011940656425209E-4</v>
      </c>
      <c r="K351" s="2">
        <v>1.778954156349824E-2</v>
      </c>
      <c r="L351" s="2">
        <v>-1.010109598650393E-2</v>
      </c>
      <c r="M351" s="2">
        <v>1.360565205577868E-2</v>
      </c>
      <c r="N351" s="2">
        <v>2.086513846396176E-2</v>
      </c>
      <c r="O351" s="2">
        <v>0</v>
      </c>
      <c r="P351" s="2">
        <v>6.269613013595395E-3</v>
      </c>
      <c r="Q351" s="15">
        <f>AVERAGE(Tableau2[[#This Row],[AWB]:[IAM]])</f>
        <v>2.2179784825201811E-2</v>
      </c>
      <c r="R351" s="15">
        <f>ABS(Tableau2[[#This Row],[Rm ]])</f>
        <v>2.2179784825201811E-2</v>
      </c>
      <c r="S351" s="15">
        <f>(Tableau2[[#This Row],[Rm ]]-Tableau2[[#Totals],[Rm ]])^2</f>
        <v>4.5745209364238541E-4</v>
      </c>
      <c r="T351" s="15">
        <f t="shared" si="10"/>
        <v>0.40521105316707284</v>
      </c>
      <c r="U351" s="15">
        <f t="shared" si="11"/>
        <v>0.29155050763422002</v>
      </c>
    </row>
    <row r="352" spans="1:21" x14ac:dyDescent="0.35">
      <c r="A352" s="10">
        <v>45097</v>
      </c>
      <c r="B352" s="2">
        <v>3.3794253893576882E-2</v>
      </c>
      <c r="C352" s="2">
        <v>3.2260862218221477E-2</v>
      </c>
      <c r="D352" s="2">
        <v>5.7188814058832638E-2</v>
      </c>
      <c r="E352" s="2">
        <v>4.6128973160039943E-2</v>
      </c>
      <c r="F352" s="2">
        <v>7.1497146650258081E-2</v>
      </c>
      <c r="G352" s="2">
        <v>1.7949199829981281E-2</v>
      </c>
      <c r="H352" s="2">
        <v>7.5682220485675647E-2</v>
      </c>
      <c r="I352" s="2">
        <v>-5.8083415957467903E-3</v>
      </c>
      <c r="J352" s="2">
        <v>-3.0483016725075879E-2</v>
      </c>
      <c r="K352" s="2">
        <v>4.9149941111611063E-2</v>
      </c>
      <c r="L352" s="2">
        <v>6.3903801979480257E-2</v>
      </c>
      <c r="M352" s="2">
        <v>6.8542319553220349E-2</v>
      </c>
      <c r="N352" s="2">
        <v>3.193304710300901E-2</v>
      </c>
      <c r="O352" s="2">
        <v>2.3716526617316061E-2</v>
      </c>
      <c r="P352" s="2">
        <v>8.9612158689687138E-2</v>
      </c>
      <c r="Q352" s="15">
        <f>AVERAGE(Tableau2[[#This Row],[AWB]:[IAM]])</f>
        <v>4.1671193802005818E-2</v>
      </c>
      <c r="R352" s="15">
        <f>ABS(Tableau2[[#This Row],[Rm ]])</f>
        <v>4.1671193802005818E-2</v>
      </c>
      <c r="S352" s="15">
        <f>(Tableau2[[#This Row],[Rm ]]-Tableau2[[#Totals],[Rm ]])^2</f>
        <v>1.6711366854450702E-3</v>
      </c>
      <c r="T352" s="15">
        <f t="shared" si="10"/>
        <v>0.33192674998368138</v>
      </c>
      <c r="U352" s="15">
        <f t="shared" si="11"/>
        <v>0.40521105316707284</v>
      </c>
    </row>
    <row r="353" spans="1:21" x14ac:dyDescent="0.35">
      <c r="A353" s="10">
        <v>45099</v>
      </c>
      <c r="B353" s="2">
        <v>-2.45259227719552E-2</v>
      </c>
      <c r="C353" s="2">
        <v>-3.2260862218221442E-2</v>
      </c>
      <c r="D353" s="2">
        <v>1.651518174590258E-2</v>
      </c>
      <c r="E353" s="2">
        <v>-4.0604940736576313E-2</v>
      </c>
      <c r="F353" s="2">
        <v>-3.7154019321597162E-2</v>
      </c>
      <c r="G353" s="2">
        <v>2.261402900116017E-2</v>
      </c>
      <c r="H353" s="2">
        <v>-5.5353015907672548E-3</v>
      </c>
      <c r="I353" s="2">
        <v>-1.960847138837642E-2</v>
      </c>
      <c r="J353" s="2">
        <v>0</v>
      </c>
      <c r="K353" s="2">
        <v>7.168489478612497E-3</v>
      </c>
      <c r="L353" s="2">
        <v>0</v>
      </c>
      <c r="M353" s="2">
        <v>-4.8474756502411023E-2</v>
      </c>
      <c r="N353" s="2">
        <v>-5.8840500022933458E-2</v>
      </c>
      <c r="O353" s="2">
        <v>7.782140442054949E-3</v>
      </c>
      <c r="P353" s="2">
        <v>-5.7306747089850953E-3</v>
      </c>
      <c r="Q353" s="15">
        <f>AVERAGE(Tableau2[[#This Row],[AWB]:[IAM]])</f>
        <v>-1.4577040572939544E-2</v>
      </c>
      <c r="R353" s="15">
        <f>ABS(Tableau2[[#This Row],[Rm ]])</f>
        <v>1.4577040572939544E-2</v>
      </c>
      <c r="S353" s="15">
        <f>(Tableau2[[#This Row],[Rm ]]-Tableau2[[#Totals],[Rm ]])^2</f>
        <v>2.3619680632791686E-4</v>
      </c>
      <c r="T353" s="15">
        <f t="shared" si="10"/>
        <v>0.31060376976329762</v>
      </c>
      <c r="U353" s="15">
        <f t="shared" si="11"/>
        <v>0.33192674998368138</v>
      </c>
    </row>
    <row r="354" spans="1:21" x14ac:dyDescent="0.35">
      <c r="A354" s="10">
        <v>45100</v>
      </c>
      <c r="B354" s="2">
        <v>1.357486909106885E-2</v>
      </c>
      <c r="C354" s="2">
        <v>4.2940460623546953E-3</v>
      </c>
      <c r="D354" s="2">
        <v>0</v>
      </c>
      <c r="E354" s="2">
        <v>2.7644181921654548E-3</v>
      </c>
      <c r="F354" s="2">
        <v>-2.3288270239615941E-2</v>
      </c>
      <c r="G354" s="2">
        <v>1.8462062839735349E-2</v>
      </c>
      <c r="H354" s="2">
        <v>1.2909874103651501E-2</v>
      </c>
      <c r="I354" s="2">
        <v>-1.095083118675151E-2</v>
      </c>
      <c r="J354" s="2">
        <v>-7.9681696491768449E-3</v>
      </c>
      <c r="K354" s="2">
        <v>-3.1687256269769752E-2</v>
      </c>
      <c r="L354" s="2">
        <v>-5.8840500022933458E-2</v>
      </c>
      <c r="M354" s="2">
        <v>2.2914259522875829E-2</v>
      </c>
      <c r="N354" s="2">
        <v>5.3109825313948332E-2</v>
      </c>
      <c r="O354" s="2">
        <v>7.7220460939103194E-3</v>
      </c>
      <c r="P354" s="2">
        <v>5.7306747089850736E-3</v>
      </c>
      <c r="Q354" s="15">
        <f>AVERAGE(Tableau2[[#This Row],[AWB]:[IAM]])</f>
        <v>5.8313657069652665E-4</v>
      </c>
      <c r="R354" s="15">
        <f>ABS(Tableau2[[#This Row],[Rm ]])</f>
        <v>5.8313657069652665E-4</v>
      </c>
      <c r="S354" s="15">
        <f>(Tableau2[[#This Row],[Rm ]]-Tableau2[[#Totals],[Rm ]])^2</f>
        <v>4.3479972185092165E-8</v>
      </c>
      <c r="T354" s="15">
        <f t="shared" si="10"/>
        <v>0.26766332465578396</v>
      </c>
      <c r="U354" s="15">
        <f t="shared" si="11"/>
        <v>0.31060376976329762</v>
      </c>
    </row>
    <row r="355" spans="1:21" x14ac:dyDescent="0.35">
      <c r="A355" s="10">
        <v>45104</v>
      </c>
      <c r="B355" s="2">
        <v>-4.5045121211045409E-3</v>
      </c>
      <c r="C355" s="2">
        <v>5.9219359659971112E-2</v>
      </c>
      <c r="D355" s="2">
        <v>-4.470082441777231E-2</v>
      </c>
      <c r="E355" s="2">
        <v>1.572161329118394E-2</v>
      </c>
      <c r="F355" s="2">
        <v>2.9919570245237691E-2</v>
      </c>
      <c r="G355" s="2">
        <v>0</v>
      </c>
      <c r="H355" s="2">
        <v>6.2073445743337308E-3</v>
      </c>
      <c r="I355" s="2">
        <v>-9.0498355199179273E-3</v>
      </c>
      <c r="J355" s="2">
        <v>-8.0321716972642666E-3</v>
      </c>
      <c r="K355" s="2">
        <v>4.3286392113121623E-2</v>
      </c>
      <c r="L355" s="2">
        <v>2.5220694327099391E-3</v>
      </c>
      <c r="M355" s="2">
        <v>-1.1064219605380021E-2</v>
      </c>
      <c r="N355" s="2">
        <v>0</v>
      </c>
      <c r="O355" s="2">
        <v>-7.463681540089597E-3</v>
      </c>
      <c r="P355" s="2">
        <v>-1.1494379425735019E-2</v>
      </c>
      <c r="Q355" s="15">
        <f>AVERAGE(Tableau2[[#This Row],[AWB]:[IAM]])</f>
        <v>4.0377816659529575E-3</v>
      </c>
      <c r="R355" s="15">
        <f>ABS(Tableau2[[#This Row],[Rm ]])</f>
        <v>4.0377816659529575E-3</v>
      </c>
      <c r="S355" s="15">
        <f>(Tableau2[[#This Row],[Rm ]]-Tableau2[[#Totals],[Rm ]])^2</f>
        <v>1.0537337758120896E-5</v>
      </c>
      <c r="T355" s="15">
        <f t="shared" si="10"/>
        <v>0.25383405942259119</v>
      </c>
      <c r="U355" s="15">
        <f t="shared" si="11"/>
        <v>0.26766332465578396</v>
      </c>
    </row>
    <row r="356" spans="1:21" x14ac:dyDescent="0.35">
      <c r="A356" s="10">
        <v>45105</v>
      </c>
      <c r="B356" s="2">
        <v>2.2547923870890828E-3</v>
      </c>
      <c r="C356" s="2">
        <v>1.5267472130788381E-2</v>
      </c>
      <c r="D356" s="2">
        <v>1.1334727136604879E-2</v>
      </c>
      <c r="E356" s="2">
        <v>-1.2236408917585611E-3</v>
      </c>
      <c r="F356" s="2">
        <v>-4.0739992860183982E-3</v>
      </c>
      <c r="G356" s="2">
        <v>5.3425166673580569E-2</v>
      </c>
      <c r="H356" s="2">
        <v>4.9382816405825767E-3</v>
      </c>
      <c r="I356" s="2">
        <v>-1.015237146401796E-2</v>
      </c>
      <c r="J356" s="2">
        <v>-8.0972102326193618E-3</v>
      </c>
      <c r="K356" s="2">
        <v>-3.5696687422412422E-2</v>
      </c>
      <c r="L356" s="2">
        <v>2.3401615577081709E-2</v>
      </c>
      <c r="M356" s="2">
        <v>1.3080446600153891E-3</v>
      </c>
      <c r="N356" s="2">
        <v>2.2728251077556091E-2</v>
      </c>
      <c r="O356" s="2">
        <v>7.4636815400896412E-3</v>
      </c>
      <c r="P356" s="2">
        <v>1.7192400540372771E-2</v>
      </c>
      <c r="Q356" s="15">
        <f>AVERAGE(Tableau2[[#This Row],[AWB]:[IAM]])</f>
        <v>6.67136827112896E-3</v>
      </c>
      <c r="R356" s="15">
        <f>ABS(Tableau2[[#This Row],[Rm ]])</f>
        <v>6.67136827112896E-3</v>
      </c>
      <c r="S356" s="15">
        <f>(Tableau2[[#This Row],[Rm ]]-Tableau2[[#Totals],[Rm ]])^2</f>
        <v>3.4571027112289171E-5</v>
      </c>
      <c r="T356" s="15">
        <f t="shared" si="10"/>
        <v>0.19840784343838178</v>
      </c>
      <c r="U356" s="15">
        <f t="shared" si="11"/>
        <v>0.25383405942259119</v>
      </c>
    </row>
    <row r="357" spans="1:21" x14ac:dyDescent="0.35">
      <c r="A357" s="10">
        <v>45113</v>
      </c>
      <c r="B357" s="2">
        <v>-1.474785663455565E-2</v>
      </c>
      <c r="C357" s="2">
        <v>-7.4137778981408437E-3</v>
      </c>
      <c r="D357" s="2">
        <v>1.6850915535264872E-2</v>
      </c>
      <c r="E357" s="2">
        <v>-2.5573881265907539E-2</v>
      </c>
      <c r="F357" s="2">
        <v>-3.5842047808332E-2</v>
      </c>
      <c r="G357" s="2">
        <v>0.1135351049588869</v>
      </c>
      <c r="H357" s="2">
        <v>8.0421567310574218E-2</v>
      </c>
      <c r="I357" s="2">
        <v>9.5310179804324741E-2</v>
      </c>
      <c r="J357" s="2">
        <v>1.5729301908543911E-2</v>
      </c>
      <c r="K357" s="2">
        <v>0</v>
      </c>
      <c r="L357" s="2">
        <v>7.9436830648034779E-2</v>
      </c>
      <c r="M357" s="2">
        <v>-2.582069962174275E-2</v>
      </c>
      <c r="N357" s="2">
        <v>2.805050927608682E-3</v>
      </c>
      <c r="O357" s="2">
        <v>0</v>
      </c>
      <c r="P357" s="2">
        <v>5.6657375356772999E-3</v>
      </c>
      <c r="Q357" s="15">
        <f>AVERAGE(Tableau2[[#This Row],[AWB]:[IAM]])</f>
        <v>2.0023761693349108E-2</v>
      </c>
      <c r="R357" s="15">
        <f>ABS(Tableau2[[#This Row],[Rm ]])</f>
        <v>2.0023761693349108E-2</v>
      </c>
      <c r="S357" s="15">
        <f>(Tableau2[[#This Row],[Rm ]]-Tableau2[[#Totals],[Rm ]])^2</f>
        <v>3.6987392446783134E-4</v>
      </c>
      <c r="T357" s="15">
        <f t="shared" si="10"/>
        <v>0.56381644934968811</v>
      </c>
      <c r="U357" s="15">
        <f t="shared" si="11"/>
        <v>0.19840784343838178</v>
      </c>
    </row>
    <row r="358" spans="1:21" x14ac:dyDescent="0.35">
      <c r="A358" s="10">
        <v>45114</v>
      </c>
      <c r="B358" s="2">
        <v>-1.033897779517922E-2</v>
      </c>
      <c r="C358" s="2">
        <v>-3.63184954309204E-3</v>
      </c>
      <c r="D358" s="2">
        <v>-5.7438255456229291E-4</v>
      </c>
      <c r="E358" s="2">
        <v>0</v>
      </c>
      <c r="F358" s="2">
        <v>2.1134058899075279E-3</v>
      </c>
      <c r="G358" s="2">
        <v>-1.193889083596524E-2</v>
      </c>
      <c r="H358" s="2">
        <v>6.7950431328288076E-3</v>
      </c>
      <c r="I358" s="2">
        <v>-1.5895612854959329E-2</v>
      </c>
      <c r="J358" s="2">
        <v>-3.607941376199054E-3</v>
      </c>
      <c r="K358" s="2">
        <v>-1.2270092591814359E-2</v>
      </c>
      <c r="L358" s="2">
        <v>0</v>
      </c>
      <c r="M358" s="2">
        <v>-1.146724201545654E-2</v>
      </c>
      <c r="N358" s="2">
        <v>-1.3536585717533261E-2</v>
      </c>
      <c r="O358" s="2">
        <v>4.6047663867483388E-3</v>
      </c>
      <c r="P358" s="2">
        <v>5.6338177182560642E-3</v>
      </c>
      <c r="Q358" s="15">
        <f>AVERAGE(Tableau2[[#This Row],[AWB]:[IAM]])</f>
        <v>-4.2743028104680397E-3</v>
      </c>
      <c r="R358" s="15">
        <f>ABS(Tableau2[[#This Row],[Rm ]])</f>
        <v>4.2743028104680397E-3</v>
      </c>
      <c r="S358" s="15">
        <f>(Tableau2[[#This Row],[Rm ]]-Tableau2[[#Totals],[Rm ]])^2</f>
        <v>2.5663929432127762E-5</v>
      </c>
      <c r="T358" s="15">
        <f t="shared" si="10"/>
        <v>9.0355590736056909E-2</v>
      </c>
      <c r="U358" s="15">
        <f t="shared" si="11"/>
        <v>0.56381644934968811</v>
      </c>
    </row>
    <row r="359" spans="1:21" x14ac:dyDescent="0.35">
      <c r="A359" s="10">
        <v>45117</v>
      </c>
      <c r="B359" s="2">
        <v>0</v>
      </c>
      <c r="C359" s="2">
        <v>1.914791772243715E-4</v>
      </c>
      <c r="D359" s="2">
        <v>-7.7866291048150722E-3</v>
      </c>
      <c r="E359" s="2">
        <v>-1.119995988383045E-2</v>
      </c>
      <c r="F359" s="2">
        <v>3.161757702233146E-3</v>
      </c>
      <c r="G359" s="2">
        <v>-2.9141134907499242E-2</v>
      </c>
      <c r="H359" s="2">
        <v>-1.8223738956451501E-2</v>
      </c>
      <c r="I359" s="2">
        <v>-3.8429320449317503E-2</v>
      </c>
      <c r="J359" s="2">
        <v>0</v>
      </c>
      <c r="K359" s="2">
        <v>-5.695199249130669E-3</v>
      </c>
      <c r="L359" s="2">
        <v>-2.8586547761416701E-2</v>
      </c>
      <c r="M359" s="2">
        <v>1.7485314341019551E-2</v>
      </c>
      <c r="N359" s="2">
        <v>1.353658571753332E-2</v>
      </c>
      <c r="O359" s="2">
        <v>5.3455644664196769E-3</v>
      </c>
      <c r="P359" s="2">
        <v>1.117330059812525E-2</v>
      </c>
      <c r="Q359" s="15">
        <f>AVERAGE(Tableau2[[#This Row],[AWB]:[IAM]])</f>
        <v>-5.8779018873270543E-3</v>
      </c>
      <c r="R359" s="15">
        <f>ABS(Tableau2[[#This Row],[Rm ]])</f>
        <v>5.8779018873270543E-3</v>
      </c>
      <c r="S359" s="15">
        <f>(Tableau2[[#This Row],[Rm ]]-Tableau2[[#Totals],[Rm ]])^2</f>
        <v>4.4482990251184829E-5</v>
      </c>
      <c r="T359" s="15">
        <f t="shared" si="10"/>
        <v>0.18028538382564746</v>
      </c>
      <c r="U359" s="15">
        <f t="shared" si="11"/>
        <v>9.0355590736056909E-2</v>
      </c>
    </row>
    <row r="360" spans="1:21" x14ac:dyDescent="0.35">
      <c r="A360" s="10">
        <v>45121</v>
      </c>
      <c r="B360" s="2">
        <v>9.5386576244100348E-3</v>
      </c>
      <c r="C360" s="2">
        <v>-2.7367064556189261E-2</v>
      </c>
      <c r="D360" s="2">
        <v>8.3610116593774257E-3</v>
      </c>
      <c r="E360" s="2">
        <v>-1.4185844757913089E-2</v>
      </c>
      <c r="F360" s="2">
        <v>-3.1617577022331378E-3</v>
      </c>
      <c r="G360" s="2">
        <v>3.6943515191684283E-2</v>
      </c>
      <c r="H360" s="2">
        <v>-3.2119549422112662E-2</v>
      </c>
      <c r="I360" s="2">
        <v>-2.078253918252862E-2</v>
      </c>
      <c r="J360" s="2">
        <v>-2.8515170308021229E-2</v>
      </c>
      <c r="K360" s="2">
        <v>-6.7273207494264898E-3</v>
      </c>
      <c r="L360" s="2">
        <v>1.0237409093220091E-2</v>
      </c>
      <c r="M360" s="2">
        <v>-1.4098924379501649E-2</v>
      </c>
      <c r="N360" s="2">
        <v>-2.8411001832779899E-2</v>
      </c>
      <c r="O360" s="2">
        <v>2.5383932107368468E-4</v>
      </c>
      <c r="P360" s="2">
        <v>-1.6807118316381289E-2</v>
      </c>
      <c r="Q360" s="15">
        <f>AVERAGE(Tableau2[[#This Row],[AWB]:[IAM]])</f>
        <v>-8.4561238878214547E-3</v>
      </c>
      <c r="R360" s="15">
        <f>ABS(Tableau2[[#This Row],[Rm ]])</f>
        <v>8.4561238878214547E-3</v>
      </c>
      <c r="S360" s="15">
        <f>(Tableau2[[#This Row],[Rm ]]-Tableau2[[#Totals],[Rm ]])^2</f>
        <v>8.5521415991262375E-5</v>
      </c>
      <c r="T360" s="15">
        <f t="shared" si="10"/>
        <v>0.2214821818390563</v>
      </c>
      <c r="U360" s="15">
        <f t="shared" si="11"/>
        <v>0.18028538382564746</v>
      </c>
    </row>
    <row r="361" spans="1:21" x14ac:dyDescent="0.35">
      <c r="A361" s="10">
        <v>45125</v>
      </c>
      <c r="B361" s="2">
        <v>1.103349645079813E-2</v>
      </c>
      <c r="C361" s="2">
        <v>3.0616613434978561E-2</v>
      </c>
      <c r="D361" s="2">
        <v>-8.6505729760088194E-3</v>
      </c>
      <c r="E361" s="2">
        <v>2.8590235902676881E-3</v>
      </c>
      <c r="F361" s="2">
        <v>-2.6397697483836039E-3</v>
      </c>
      <c r="G361" s="2">
        <v>-1.0416760858255599E-2</v>
      </c>
      <c r="H361" s="2">
        <v>3.6706713429018697E-2</v>
      </c>
      <c r="I361" s="2">
        <v>3.3434776086237419E-2</v>
      </c>
      <c r="J361" s="2">
        <v>-8.2988028146950658E-3</v>
      </c>
      <c r="K361" s="2">
        <v>3.742986278834297E-3</v>
      </c>
      <c r="L361" s="2">
        <v>1.3793322132335769E-2</v>
      </c>
      <c r="M361" s="2">
        <v>1.4098924379501681E-2</v>
      </c>
      <c r="N361" s="2">
        <v>2.279300952855657E-2</v>
      </c>
      <c r="O361" s="2">
        <v>5.0633019565466354E-3</v>
      </c>
      <c r="P361" s="2">
        <v>0</v>
      </c>
      <c r="Q361" s="15">
        <f>AVERAGE(Tableau2[[#This Row],[AWB]:[IAM]])</f>
        <v>9.6090840579821576E-3</v>
      </c>
      <c r="R361" s="15">
        <f>ABS(Tableau2[[#This Row],[Rm ]])</f>
        <v>9.6090840579821576E-3</v>
      </c>
      <c r="S361" s="15">
        <f>(Tableau2[[#This Row],[Rm ]]-Tableau2[[#Totals],[Rm ]])^2</f>
        <v>7.7747053635324941E-5</v>
      </c>
      <c r="T361" s="15">
        <f t="shared" si="10"/>
        <v>0.1814580556169868</v>
      </c>
      <c r="U361" s="15">
        <f t="shared" si="11"/>
        <v>0.2214821818390563</v>
      </c>
    </row>
    <row r="362" spans="1:21" x14ac:dyDescent="0.35">
      <c r="A362" s="10">
        <v>45135</v>
      </c>
      <c r="B362" s="2">
        <v>2.2372297754532981E-2</v>
      </c>
      <c r="C362" s="2">
        <v>3.8095284166676491E-3</v>
      </c>
      <c r="D362" s="2">
        <v>-5.3429478402307901E-3</v>
      </c>
      <c r="E362" s="2">
        <v>3.9108705369721393E-2</v>
      </c>
      <c r="F362" s="2">
        <v>3.1252460850661107E-2</v>
      </c>
      <c r="G362" s="2">
        <v>-1.6363521627210359E-2</v>
      </c>
      <c r="H362" s="2">
        <v>-1.6380571593354369E-2</v>
      </c>
      <c r="I362" s="2">
        <v>-3.3434776086237343E-2</v>
      </c>
      <c r="J362" s="2">
        <v>2.4692612590371411E-2</v>
      </c>
      <c r="K362" s="2">
        <v>2.487563471801707E-3</v>
      </c>
      <c r="L362" s="2">
        <v>4.9007579106694607E-2</v>
      </c>
      <c r="M362" s="2">
        <v>-3.3389012655145982E-3</v>
      </c>
      <c r="N362" s="2">
        <v>1.2874513122049441E-2</v>
      </c>
      <c r="O362" s="2">
        <v>8.2138412247755185E-2</v>
      </c>
      <c r="P362" s="2">
        <v>0.13211796482737559</v>
      </c>
      <c r="Q362" s="15">
        <f>AVERAGE(Tableau2[[#This Row],[AWB]:[IAM]])</f>
        <v>2.1666727956338904E-2</v>
      </c>
      <c r="R362" s="15">
        <f>ABS(Tableau2[[#This Row],[Rm ]])</f>
        <v>2.1666727956338904E-2</v>
      </c>
      <c r="S362" s="15">
        <f>(Tableau2[[#This Row],[Rm ]]-Tableau2[[#Totals],[Rm ]])^2</f>
        <v>4.3576866724577968E-4</v>
      </c>
      <c r="T362" s="15">
        <f t="shared" si="10"/>
        <v>0.3549580530258456</v>
      </c>
      <c r="U362" s="15">
        <f t="shared" si="11"/>
        <v>0.1814580556169868</v>
      </c>
    </row>
    <row r="363" spans="1:21" x14ac:dyDescent="0.35">
      <c r="A363" s="10">
        <v>45139</v>
      </c>
      <c r="B363" s="2">
        <v>1.7544309650909529E-2</v>
      </c>
      <c r="C363" s="2">
        <v>3.7950709685515339E-3</v>
      </c>
      <c r="D363" s="2">
        <v>8.9853072569097796E-3</v>
      </c>
      <c r="E363" s="2">
        <v>1.089475191124647E-2</v>
      </c>
      <c r="F363" s="2">
        <v>-1.0263384326866781E-3</v>
      </c>
      <c r="G363" s="2">
        <v>1.0060979756407981E-2</v>
      </c>
      <c r="H363" s="2">
        <v>1.179340758644825E-2</v>
      </c>
      <c r="I363" s="2">
        <v>2.4692612590371411E-2</v>
      </c>
      <c r="J363" s="2">
        <v>-1.639380977567638E-2</v>
      </c>
      <c r="K363" s="2">
        <v>-3.7336695520488379E-3</v>
      </c>
      <c r="L363" s="2">
        <v>-4.3543084634615828E-2</v>
      </c>
      <c r="M363" s="2">
        <v>9.320972943062179E-3</v>
      </c>
      <c r="N363" s="2">
        <v>-2.3636440836503639E-2</v>
      </c>
      <c r="O363" s="2">
        <v>1.6609378367033169E-2</v>
      </c>
      <c r="P363" s="2">
        <v>-5.0772325373423258E-2</v>
      </c>
      <c r="Q363" s="15">
        <f>AVERAGE(Tableau2[[#This Row],[AWB]:[IAM]])</f>
        <v>-1.6939251716009541E-3</v>
      </c>
      <c r="R363" s="15">
        <f>ABS(Tableau2[[#This Row],[Rm ]])</f>
        <v>1.6939251716009541E-3</v>
      </c>
      <c r="S363" s="15">
        <f>(Tableau2[[#This Row],[Rm ]]-Tableau2[[#Totals],[Rm ]])^2</f>
        <v>6.1781092284276765E-6</v>
      </c>
      <c r="T363" s="15">
        <f t="shared" si="10"/>
        <v>0.21341290177349218</v>
      </c>
      <c r="U363" s="15">
        <f t="shared" si="11"/>
        <v>0.3549580530258456</v>
      </c>
    </row>
    <row r="364" spans="1:21" x14ac:dyDescent="0.35">
      <c r="A364" s="10">
        <v>45140</v>
      </c>
      <c r="B364" s="2">
        <v>2.171553513507932E-3</v>
      </c>
      <c r="C364" s="2">
        <v>0</v>
      </c>
      <c r="D364" s="2">
        <v>0</v>
      </c>
      <c r="E364" s="2">
        <v>-4.0743709055999469E-4</v>
      </c>
      <c r="F364" s="2">
        <v>-2.4948188756033669E-2</v>
      </c>
      <c r="G364" s="2">
        <v>-1.5818616533465439E-3</v>
      </c>
      <c r="H364" s="2">
        <v>9.1911771176285504E-4</v>
      </c>
      <c r="I364" s="2">
        <v>4.8661896511729063E-3</v>
      </c>
      <c r="J364" s="2">
        <v>-4.1407926660313879E-3</v>
      </c>
      <c r="K364" s="2">
        <v>9.9256397999699982E-3</v>
      </c>
      <c r="L364" s="2">
        <v>4.093098040669068E-2</v>
      </c>
      <c r="M364" s="2">
        <v>2.0335236639825879E-2</v>
      </c>
      <c r="N364" s="2">
        <v>2.4748169689194171E-2</v>
      </c>
      <c r="O364" s="2">
        <v>-1.637679318166075E-2</v>
      </c>
      <c r="P364" s="2">
        <v>4.08219945202552E-2</v>
      </c>
      <c r="Q364" s="15">
        <f>AVERAGE(Tableau2[[#This Row],[AWB]:[IAM]])</f>
        <v>6.4842539056498187E-3</v>
      </c>
      <c r="R364" s="15">
        <f>ABS(Tableau2[[#This Row],[Rm ]])</f>
        <v>6.4842539056498187E-3</v>
      </c>
      <c r="S364" s="15">
        <f>(Tableau2[[#This Row],[Rm ]]-Tableau2[[#Totals],[Rm ]])^2</f>
        <v>3.2405681295250452E-5</v>
      </c>
      <c r="T364" s="15">
        <f t="shared" si="10"/>
        <v>0.17663294514840866</v>
      </c>
      <c r="U364" s="15">
        <f t="shared" si="11"/>
        <v>0.21341290177349218</v>
      </c>
    </row>
    <row r="365" spans="1:21" x14ac:dyDescent="0.35">
      <c r="A365" s="10">
        <v>45141</v>
      </c>
      <c r="B365" s="2">
        <v>-9.8093429616254099E-3</v>
      </c>
      <c r="C365" s="2">
        <v>3.7807228399061518E-3</v>
      </c>
      <c r="D365" s="2">
        <v>5.5248759319698072E-3</v>
      </c>
      <c r="E365" s="2">
        <v>-2.1529829853896908E-2</v>
      </c>
      <c r="F365" s="2">
        <v>-3.7538707806828449E-2</v>
      </c>
      <c r="G365" s="2">
        <v>-5.2910176344154363E-3</v>
      </c>
      <c r="H365" s="2">
        <v>-1.5974410762612572E-2</v>
      </c>
      <c r="I365" s="2">
        <v>-7.7973104600317297E-3</v>
      </c>
      <c r="J365" s="2">
        <v>4.1407926660313871E-3</v>
      </c>
      <c r="K365" s="2">
        <v>2.3427132895140149E-2</v>
      </c>
      <c r="L365" s="2">
        <v>0</v>
      </c>
      <c r="M365" s="2">
        <v>1.610340756657867E-2</v>
      </c>
      <c r="N365" s="2">
        <v>-2.781642961876803E-3</v>
      </c>
      <c r="O365" s="2">
        <v>-1.4051753455650301E-2</v>
      </c>
      <c r="P365" s="2">
        <v>0</v>
      </c>
      <c r="Q365" s="15">
        <f>AVERAGE(Tableau2[[#This Row],[AWB]:[IAM]])</f>
        <v>-4.1198055998207623E-3</v>
      </c>
      <c r="R365" s="15">
        <f>ABS(Tableau2[[#This Row],[Rm ]])</f>
        <v>4.1198055998207623E-3</v>
      </c>
      <c r="S365" s="15">
        <f>(Tableau2[[#This Row],[Rm ]]-Tableau2[[#Totals],[Rm ]])^2</f>
        <v>2.4122446090992E-5</v>
      </c>
      <c r="T365" s="15">
        <f t="shared" si="10"/>
        <v>0.16246231557946489</v>
      </c>
      <c r="U365" s="15">
        <f t="shared" si="11"/>
        <v>0.17663294514840866</v>
      </c>
    </row>
    <row r="366" spans="1:21" x14ac:dyDescent="0.35">
      <c r="A366" s="10">
        <v>45145</v>
      </c>
      <c r="B366" s="2">
        <v>-1.212136053234485E-2</v>
      </c>
      <c r="C366" s="2">
        <v>-3.7807228399060438E-3</v>
      </c>
      <c r="D366" s="2">
        <v>2.6840408570061661E-2</v>
      </c>
      <c r="E366" s="2">
        <v>-2.751951034181918E-3</v>
      </c>
      <c r="F366" s="2">
        <v>5.4505094334241014E-3</v>
      </c>
      <c r="G366" s="2">
        <v>-1.388911216066715E-2</v>
      </c>
      <c r="H366" s="2">
        <v>1.1661808901823939E-3</v>
      </c>
      <c r="I366" s="2">
        <v>0</v>
      </c>
      <c r="J366" s="2">
        <v>-8.2988028146950658E-3</v>
      </c>
      <c r="K366" s="2">
        <v>-1.1157040303325689E-2</v>
      </c>
      <c r="L366" s="2">
        <v>-1.6703685071366488E-2</v>
      </c>
      <c r="M366" s="2">
        <v>-9.6308930609613E-3</v>
      </c>
      <c r="N366" s="2">
        <v>-8.3916576362483997E-3</v>
      </c>
      <c r="O366" s="2">
        <v>-4.728141195946012E-3</v>
      </c>
      <c r="P366" s="2">
        <v>-1.5113637810048181E-2</v>
      </c>
      <c r="Q366" s="15">
        <f>AVERAGE(Tableau2[[#This Row],[AWB]:[IAM]])</f>
        <v>-4.8739937044015302E-3</v>
      </c>
      <c r="R366" s="15">
        <f>ABS(Tableau2[[#This Row],[Rm ]])</f>
        <v>4.8739937044015302E-3</v>
      </c>
      <c r="S366" s="15">
        <f>(Tableau2[[#This Row],[Rm ]]-Tableau2[[#Totals],[Rm ]])^2</f>
        <v>3.2099576242282215E-5</v>
      </c>
      <c r="T366" s="15">
        <f t="shared" si="10"/>
        <v>0.10307147834361956</v>
      </c>
      <c r="U366" s="15">
        <f t="shared" si="11"/>
        <v>0.16246231557946489</v>
      </c>
    </row>
    <row r="367" spans="1:21" x14ac:dyDescent="0.35">
      <c r="A367" s="10">
        <v>45146</v>
      </c>
      <c r="B367" s="2">
        <v>-1.66435544661293E-3</v>
      </c>
      <c r="C367" s="2">
        <v>-3.7950709685516089E-3</v>
      </c>
      <c r="D367" s="2">
        <v>-5.3781642239266051E-3</v>
      </c>
      <c r="E367" s="2">
        <v>0</v>
      </c>
      <c r="F367" s="2">
        <v>5.4154737143344289E-3</v>
      </c>
      <c r="G367" s="2">
        <v>-1.5722741885977349E-2</v>
      </c>
      <c r="H367" s="2">
        <v>-1.408473988173909E-2</v>
      </c>
      <c r="I367" s="2">
        <v>-6.8728792877620643E-3</v>
      </c>
      <c r="J367" s="2">
        <v>0</v>
      </c>
      <c r="K367" s="2">
        <v>-2.4692612590371522E-2</v>
      </c>
      <c r="L367" s="2">
        <v>9.7045313891780168E-3</v>
      </c>
      <c r="M367" s="2">
        <v>-1.298719552681119E-2</v>
      </c>
      <c r="N367" s="2">
        <v>1.117330059812525E-2</v>
      </c>
      <c r="O367" s="2">
        <v>-4.7506027585978647E-3</v>
      </c>
      <c r="P367" s="2">
        <v>0</v>
      </c>
      <c r="Q367" s="15">
        <f>AVERAGE(Tableau2[[#This Row],[AWB]:[IAM]])</f>
        <v>-4.243670457914169E-3</v>
      </c>
      <c r="R367" s="15">
        <f>ABS(Tableau2[[#This Row],[Rm ]])</f>
        <v>4.243670457914169E-3</v>
      </c>
      <c r="S367" s="15">
        <f>(Tableau2[[#This Row],[Rm ]]-Tableau2[[#Totals],[Rm ]])^2</f>
        <v>2.5354503356394263E-5</v>
      </c>
      <c r="T367" s="15">
        <f t="shared" si="10"/>
        <v>0.10560572680551979</v>
      </c>
      <c r="U367" s="15">
        <f t="shared" si="11"/>
        <v>0.10307147834361956</v>
      </c>
    </row>
    <row r="368" spans="1:21" x14ac:dyDescent="0.35">
      <c r="A368" s="10">
        <v>45147</v>
      </c>
      <c r="B368" s="2">
        <v>-4.7865622639680682E-3</v>
      </c>
      <c r="C368" s="2">
        <v>-1.1472401162236809E-2</v>
      </c>
      <c r="D368" s="2">
        <v>2.6926976889083049E-3</v>
      </c>
      <c r="E368" s="2">
        <v>0</v>
      </c>
      <c r="F368" s="2">
        <v>1.5554005393764231E-2</v>
      </c>
      <c r="G368" s="2">
        <v>-3.1642939761258787E-2</v>
      </c>
      <c r="H368" s="2">
        <v>-1.182732249049378E-3</v>
      </c>
      <c r="I368" s="2">
        <v>-8.906540816203224E-3</v>
      </c>
      <c r="J368" s="2">
        <v>0</v>
      </c>
      <c r="K368" s="2">
        <v>0</v>
      </c>
      <c r="L368" s="2">
        <v>-1.6821999158041941E-2</v>
      </c>
      <c r="M368" s="2">
        <v>0</v>
      </c>
      <c r="N368" s="2">
        <v>-1.0050335853501451E-2</v>
      </c>
      <c r="O368" s="2">
        <v>0</v>
      </c>
      <c r="P368" s="2">
        <v>0</v>
      </c>
      <c r="Q368" s="15">
        <f>AVERAGE(Tableau2[[#This Row],[AWB]:[IAM]])</f>
        <v>-4.4411205454391424E-3</v>
      </c>
      <c r="R368" s="15">
        <f>ABS(Tableau2[[#This Row],[Rm ]])</f>
        <v>4.4411205454391424E-3</v>
      </c>
      <c r="S368" s="15">
        <f>(Tableau2[[#This Row],[Rm ]]-Tableau2[[#Totals],[Rm ]])^2</f>
        <v>2.7381940833092786E-5</v>
      </c>
      <c r="T368" s="15">
        <f t="shared" si="10"/>
        <v>0.10992306564274101</v>
      </c>
      <c r="U368" s="15">
        <f t="shared" si="11"/>
        <v>0.10560572680551979</v>
      </c>
    </row>
    <row r="369" spans="1:21" x14ac:dyDescent="0.35">
      <c r="A369" s="10">
        <v>45148</v>
      </c>
      <c r="B369" s="2">
        <v>4.008914055029158E-3</v>
      </c>
      <c r="C369" s="2">
        <v>1.1662497161288589E-2</v>
      </c>
      <c r="D369" s="2">
        <v>-1.087120290498691E-2</v>
      </c>
      <c r="E369" s="2">
        <v>-1.3846288817656279E-2</v>
      </c>
      <c r="F369" s="2">
        <v>-2.4784483873364491E-2</v>
      </c>
      <c r="G369" s="2">
        <v>-9.6345318791459991E-3</v>
      </c>
      <c r="H369" s="2">
        <v>2.8006497908218159E-2</v>
      </c>
      <c r="I369" s="2">
        <v>2.977669693924313E-3</v>
      </c>
      <c r="J369" s="2">
        <v>0</v>
      </c>
      <c r="K369" s="2">
        <v>0</v>
      </c>
      <c r="L369" s="2">
        <v>0</v>
      </c>
      <c r="M369" s="2">
        <v>0</v>
      </c>
      <c r="N369" s="2">
        <v>1.005033585350151E-2</v>
      </c>
      <c r="O369" s="2">
        <v>0</v>
      </c>
      <c r="P369" s="2">
        <v>0</v>
      </c>
      <c r="Q369" s="15">
        <f>AVERAGE(Tableau2[[#This Row],[AWB]:[IAM]])</f>
        <v>-1.6203952021279686E-4</v>
      </c>
      <c r="R369" s="15">
        <f>ABS(Tableau2[[#This Row],[Rm ]])</f>
        <v>1.6203952021279686E-4</v>
      </c>
      <c r="S369" s="15">
        <f>(Tableau2[[#This Row],[Rm ]]-Tableau2[[#Totals],[Rm ]])^2</f>
        <v>9.0953340631343013E-7</v>
      </c>
      <c r="T369" s="15">
        <f t="shared" si="10"/>
        <v>0.11682546190307302</v>
      </c>
      <c r="U369" s="15">
        <f t="shared" si="11"/>
        <v>0.10992306564274101</v>
      </c>
    </row>
    <row r="370" spans="1:21" x14ac:dyDescent="0.35">
      <c r="A370" s="10">
        <v>45149</v>
      </c>
      <c r="B370" s="2">
        <v>-8.4821937129074525E-3</v>
      </c>
      <c r="C370" s="2">
        <v>-1.938454325519888E-2</v>
      </c>
      <c r="D370" s="2">
        <v>7.054404378286111E-3</v>
      </c>
      <c r="E370" s="2">
        <v>8.2635806684988825E-3</v>
      </c>
      <c r="F370" s="2">
        <v>1.085380204192315E-2</v>
      </c>
      <c r="G370" s="2">
        <v>3.4148294201109479E-2</v>
      </c>
      <c r="H370" s="2">
        <v>-1.0410736017838689E-2</v>
      </c>
      <c r="I370" s="2">
        <v>3.5057144045302288E-2</v>
      </c>
      <c r="J370" s="2">
        <v>0</v>
      </c>
      <c r="K370" s="2">
        <v>0</v>
      </c>
      <c r="L370" s="2">
        <v>0</v>
      </c>
      <c r="M370" s="2">
        <v>-2.314152856169438E-2</v>
      </c>
      <c r="N370" s="2">
        <v>-3.3389012655145982E-3</v>
      </c>
      <c r="O370" s="2">
        <v>0</v>
      </c>
      <c r="P370" s="2">
        <v>2.506396866321622E-2</v>
      </c>
      <c r="Q370" s="15">
        <f>AVERAGE(Tableau2[[#This Row],[AWB]:[IAM]])</f>
        <v>3.7122194123454751E-3</v>
      </c>
      <c r="R370" s="15">
        <f>ABS(Tableau2[[#This Row],[Rm ]])</f>
        <v>3.7122194123454751E-3</v>
      </c>
      <c r="S370" s="15">
        <f>(Tableau2[[#This Row],[Rm ]]-Tableau2[[#Totals],[Rm ]])^2</f>
        <v>8.5296959708656035E-6</v>
      </c>
      <c r="T370" s="15">
        <f t="shared" si="10"/>
        <v>0.17640745574771388</v>
      </c>
      <c r="U370" s="15">
        <f t="shared" si="11"/>
        <v>0.11682546190307302</v>
      </c>
    </row>
    <row r="371" spans="1:21" x14ac:dyDescent="0.35">
      <c r="A371" s="10">
        <v>45156</v>
      </c>
      <c r="B371" s="2">
        <v>9.8149349141734826E-3</v>
      </c>
      <c r="C371" s="2">
        <v>3.875218029508023E-4</v>
      </c>
      <c r="D371" s="2">
        <v>-2.0854805880982711E-2</v>
      </c>
      <c r="E371" s="2">
        <v>5.3043117108337017E-3</v>
      </c>
      <c r="F371" s="2">
        <v>9.1312879802344631E-3</v>
      </c>
      <c r="G371" s="2">
        <v>-2.6772374236385951E-2</v>
      </c>
      <c r="H371" s="2">
        <v>-1.16960397631913E-2</v>
      </c>
      <c r="I371" s="2">
        <v>-3.1100660150227891E-2</v>
      </c>
      <c r="J371" s="2">
        <v>2.8344473009142571E-2</v>
      </c>
      <c r="K371" s="2">
        <v>0</v>
      </c>
      <c r="L371" s="2">
        <v>-1.8018505502678361E-2</v>
      </c>
      <c r="M371" s="2">
        <v>-1.0084119066626049E-2</v>
      </c>
      <c r="N371" s="2">
        <v>0</v>
      </c>
      <c r="O371" s="2">
        <v>0</v>
      </c>
      <c r="P371" s="2">
        <v>-1.4962872676712379E-2</v>
      </c>
      <c r="Q371" s="15">
        <f>AVERAGE(Tableau2[[#This Row],[AWB]:[IAM]])</f>
        <v>-5.3671231906313082E-3</v>
      </c>
      <c r="R371" s="15">
        <f>ABS(Tableau2[[#This Row],[Rm ]])</f>
        <v>5.3671231906313082E-3</v>
      </c>
      <c r="S371" s="15">
        <f>(Tableau2[[#This Row],[Rm ]]-Tableau2[[#Totals],[Rm ]])^2</f>
        <v>3.7930549889081641E-5</v>
      </c>
      <c r="T371" s="15">
        <f t="shared" si="10"/>
        <v>0.18288299703109537</v>
      </c>
      <c r="U371" s="15">
        <f t="shared" si="11"/>
        <v>0.17640745574771388</v>
      </c>
    </row>
    <row r="372" spans="1:21" x14ac:dyDescent="0.35">
      <c r="A372" s="10">
        <v>45161</v>
      </c>
      <c r="B372" s="2">
        <v>1.1092624542857559E-3</v>
      </c>
      <c r="C372" s="2">
        <v>-1.1691481576802601E-2</v>
      </c>
      <c r="D372" s="2">
        <v>-8.9402181626826484E-3</v>
      </c>
      <c r="E372" s="2">
        <v>-3.3637553152539787E-2</v>
      </c>
      <c r="F372" s="2">
        <v>-2.0528113568368211E-2</v>
      </c>
      <c r="G372" s="2">
        <v>-5.1620621762480667E-2</v>
      </c>
      <c r="H372" s="2">
        <v>2.3141913029132821E-2</v>
      </c>
      <c r="I372" s="2">
        <v>7.8663139159822863E-3</v>
      </c>
      <c r="J372" s="2">
        <v>-1.1815171057932001E-2</v>
      </c>
      <c r="K372" s="2">
        <v>-5.0125418235442863E-3</v>
      </c>
      <c r="L372" s="2">
        <v>-2.2989518224698718E-2</v>
      </c>
      <c r="M372" s="2">
        <v>0</v>
      </c>
      <c r="N372" s="2">
        <v>-1.856593412253528E-2</v>
      </c>
      <c r="O372" s="2">
        <v>-3.3655276585161847E-2</v>
      </c>
      <c r="P372" s="2">
        <v>5.0125418235444138E-3</v>
      </c>
      <c r="Q372" s="15">
        <f>AVERAGE(Tableau2[[#This Row],[AWB]:[IAM]])</f>
        <v>-1.2088426587586716E-2</v>
      </c>
      <c r="R372" s="15">
        <f>ABS(Tableau2[[#This Row],[Rm ]])</f>
        <v>1.2088426587586716E-2</v>
      </c>
      <c r="S372" s="15">
        <f>(Tableau2[[#This Row],[Rm ]]-Tableau2[[#Totals],[Rm ]])^2</f>
        <v>1.6589650397760803E-4</v>
      </c>
      <c r="T372" s="15">
        <f t="shared" si="10"/>
        <v>0.20097201193013933</v>
      </c>
      <c r="U372" s="15">
        <f t="shared" si="11"/>
        <v>0.18288299703109537</v>
      </c>
    </row>
    <row r="373" spans="1:21" x14ac:dyDescent="0.35">
      <c r="A373" s="10">
        <v>45166</v>
      </c>
      <c r="B373" s="2">
        <v>4.4247859803556357E-3</v>
      </c>
      <c r="C373" s="2">
        <v>-3.9207998933953069E-4</v>
      </c>
      <c r="D373" s="2">
        <v>-1.0132270925854911E-2</v>
      </c>
      <c r="E373" s="2">
        <v>5.7426866982668899E-3</v>
      </c>
      <c r="F373" s="2">
        <v>1.0316731290144319E-2</v>
      </c>
      <c r="G373" s="2">
        <v>-1.499278458614128E-2</v>
      </c>
      <c r="H373" s="2">
        <v>1.1494913513447321E-4</v>
      </c>
      <c r="I373" s="2">
        <v>1.3618887534803821E-2</v>
      </c>
      <c r="J373" s="2">
        <v>-1.6529301951210579E-2</v>
      </c>
      <c r="K373" s="2">
        <v>-7.5662403833158132E-3</v>
      </c>
      <c r="L373" s="2">
        <v>2.2989518224698781E-2</v>
      </c>
      <c r="M373" s="2">
        <v>-2.047853134354068E-2</v>
      </c>
      <c r="N373" s="2">
        <v>-6.2660415786464059E-3</v>
      </c>
      <c r="O373" s="2">
        <v>-9.8986207890237755E-3</v>
      </c>
      <c r="P373" s="2">
        <v>-2.5317807984289901E-2</v>
      </c>
      <c r="Q373" s="15">
        <f>AVERAGE(Tableau2[[#This Row],[AWB]:[IAM]])</f>
        <v>-3.6244080445305971E-3</v>
      </c>
      <c r="R373" s="15">
        <f>ABS(Tableau2[[#This Row],[Rm ]])</f>
        <v>3.6244080445305971E-3</v>
      </c>
      <c r="S373" s="15">
        <f>(Tableau2[[#This Row],[Rm ]]-Tableau2[[#Totals],[Rm ]])^2</f>
        <v>1.9501613593178249E-5</v>
      </c>
      <c r="T373" s="15">
        <f t="shared" si="10"/>
        <v>0.1441254970944485</v>
      </c>
      <c r="U373" s="15">
        <f t="shared" si="11"/>
        <v>0.20097201193013933</v>
      </c>
    </row>
    <row r="374" spans="1:21" x14ac:dyDescent="0.35">
      <c r="A374" s="10">
        <v>45167</v>
      </c>
      <c r="B374" s="2">
        <v>4.2953973196658401E-3</v>
      </c>
      <c r="C374" s="2">
        <v>-3.5356548323077549E-3</v>
      </c>
      <c r="D374" s="2">
        <v>1.9072489088537481E-2</v>
      </c>
      <c r="E374" s="2">
        <v>1.559624244171391E-2</v>
      </c>
      <c r="F374" s="2">
        <v>-1.5791111310878951E-2</v>
      </c>
      <c r="G374" s="2">
        <v>6.0404713404156607E-4</v>
      </c>
      <c r="H374" s="2">
        <v>-1.1500863832373299E-3</v>
      </c>
      <c r="I374" s="2">
        <v>-1.361888753480375E-2</v>
      </c>
      <c r="J374" s="2">
        <v>1.242251999855711E-2</v>
      </c>
      <c r="K374" s="2">
        <v>1.2578782206860191E-2</v>
      </c>
      <c r="L374" s="2">
        <v>0</v>
      </c>
      <c r="M374" s="2">
        <v>0</v>
      </c>
      <c r="N374" s="2">
        <v>0</v>
      </c>
      <c r="O374" s="2">
        <v>7.1862532033108049E-3</v>
      </c>
      <c r="P374" s="2">
        <v>-1.0309369658861209E-2</v>
      </c>
      <c r="Q374" s="15">
        <f>AVERAGE(Tableau2[[#This Row],[AWB]:[IAM]])</f>
        <v>1.8233747781731943E-3</v>
      </c>
      <c r="R374" s="15">
        <f>ABS(Tableau2[[#This Row],[Rm ]])</f>
        <v>1.8233747781731943E-3</v>
      </c>
      <c r="S374" s="15">
        <f>(Tableau2[[#This Row],[Rm ]]-Tableau2[[#Totals],[Rm ]])^2</f>
        <v>1.0644455184644102E-6</v>
      </c>
      <c r="T374" s="15">
        <f t="shared" si="10"/>
        <v>0.10909897637131359</v>
      </c>
      <c r="U374" s="15">
        <f t="shared" si="11"/>
        <v>0.1441254970944485</v>
      </c>
    </row>
    <row r="375" spans="1:21" x14ac:dyDescent="0.35">
      <c r="A375" s="10">
        <v>45168</v>
      </c>
      <c r="B375" s="2">
        <v>-1.31646350604455E-2</v>
      </c>
      <c r="C375" s="2">
        <v>0</v>
      </c>
      <c r="D375" s="2">
        <v>-6.1630814553261561E-3</v>
      </c>
      <c r="E375" s="2">
        <v>2.7867324617102669E-3</v>
      </c>
      <c r="F375" s="2">
        <v>-9.3729689552762459E-3</v>
      </c>
      <c r="G375" s="2">
        <v>5.8063800954761331E-2</v>
      </c>
      <c r="H375" s="2">
        <v>5.822548272879776E-2</v>
      </c>
      <c r="I375" s="2">
        <v>5.8028641241761263E-2</v>
      </c>
      <c r="J375" s="2">
        <v>-1.2422519998557211E-2</v>
      </c>
      <c r="K375" s="2">
        <v>3.6813973122716399E-2</v>
      </c>
      <c r="L375" s="2">
        <v>1.8018505502678209E-2</v>
      </c>
      <c r="M375" s="2">
        <v>6.8728792877620496E-3</v>
      </c>
      <c r="N375" s="2">
        <v>2.0922448241868289E-2</v>
      </c>
      <c r="O375" s="2">
        <v>-7.4101522471933031E-4</v>
      </c>
      <c r="P375" s="2">
        <v>0</v>
      </c>
      <c r="Q375" s="15">
        <f>AVERAGE(Tableau2[[#This Row],[AWB]:[IAM]])</f>
        <v>1.4524549523182077E-2</v>
      </c>
      <c r="R375" s="15">
        <f>ABS(Tableau2[[#This Row],[Rm ]])</f>
        <v>1.4524549523182077E-2</v>
      </c>
      <c r="S375" s="15">
        <f>(Tableau2[[#This Row],[Rm ]]-Tableau2[[#Totals],[Rm ]])^2</f>
        <v>1.8859238955951354E-4</v>
      </c>
      <c r="T375" s="15">
        <f t="shared" si="10"/>
        <v>0.31229486308534504</v>
      </c>
      <c r="U375" s="15">
        <f t="shared" si="11"/>
        <v>0.10909897637131359</v>
      </c>
    </row>
    <row r="376" spans="1:21" x14ac:dyDescent="0.35">
      <c r="A376" s="10">
        <v>45175</v>
      </c>
      <c r="B376" s="2">
        <v>-4.3524425609271881E-3</v>
      </c>
      <c r="C376" s="2">
        <v>1.1348194569101459E-2</v>
      </c>
      <c r="D376" s="2">
        <v>-2.202256121654371E-2</v>
      </c>
      <c r="E376" s="2">
        <v>3.6920648549286367E-2</v>
      </c>
      <c r="F376" s="2">
        <v>-7.7877659254950308E-3</v>
      </c>
      <c r="G376" s="2">
        <v>1.138952287131076E-3</v>
      </c>
      <c r="H376" s="2">
        <v>5.9941062040627519E-2</v>
      </c>
      <c r="I376" s="2">
        <v>0.17969951472721121</v>
      </c>
      <c r="J376" s="2">
        <v>-4.1753714104806206E-3</v>
      </c>
      <c r="K376" s="2">
        <v>-4.7874920482141217E-2</v>
      </c>
      <c r="L376" s="2">
        <v>-4.3802622658392888E-2</v>
      </c>
      <c r="M376" s="2">
        <v>-6.8728792877620643E-3</v>
      </c>
      <c r="N376" s="2">
        <v>-7.9762948264801722E-2</v>
      </c>
      <c r="O376" s="2">
        <v>-1.0182628650101871E-2</v>
      </c>
      <c r="P376" s="2">
        <v>-5.1948168771040228E-3</v>
      </c>
      <c r="Q376" s="15">
        <f>AVERAGE(Tableau2[[#This Row],[AWB]:[IAM]])</f>
        <v>3.8012943226404879E-3</v>
      </c>
      <c r="R376" s="15">
        <f>ABS(Tableau2[[#This Row],[Rm ]])</f>
        <v>3.8012943226404879E-3</v>
      </c>
      <c r="S376" s="15">
        <f>(Tableau2[[#This Row],[Rm ]]-Tableau2[[#Totals],[Rm ]])^2</f>
        <v>9.0579283208593399E-6</v>
      </c>
      <c r="T376" s="15">
        <f t="shared" si="10"/>
        <v>0.53701211473823429</v>
      </c>
      <c r="U376" s="15">
        <f t="shared" si="11"/>
        <v>0.31229486308534504</v>
      </c>
    </row>
    <row r="377" spans="1:21" x14ac:dyDescent="0.35">
      <c r="A377" s="10">
        <v>45176</v>
      </c>
      <c r="B377" s="2">
        <v>-1.23104486477339E-3</v>
      </c>
      <c r="C377" s="2">
        <v>-7.8125397367936247E-3</v>
      </c>
      <c r="D377" s="2">
        <v>-5.7456103567104424E-3</v>
      </c>
      <c r="E377" s="2">
        <v>-2.3545977945356501E-2</v>
      </c>
      <c r="F377" s="2">
        <v>-5.6000578435293777E-3</v>
      </c>
      <c r="G377" s="2">
        <v>-6.8532535505696629E-3</v>
      </c>
      <c r="H377" s="2">
        <v>-1.9722875875181799E-2</v>
      </c>
      <c r="I377" s="2">
        <v>-1.9493794681001129E-2</v>
      </c>
      <c r="J377" s="2">
        <v>0</v>
      </c>
      <c r="K377" s="2">
        <v>0</v>
      </c>
      <c r="L377" s="2">
        <v>2.4874612772874071E-2</v>
      </c>
      <c r="M377" s="2">
        <v>-1.388911216066715E-2</v>
      </c>
      <c r="N377" s="2">
        <v>0</v>
      </c>
      <c r="O377" s="2">
        <v>2.4959441038100837E-4</v>
      </c>
      <c r="P377" s="2">
        <v>0</v>
      </c>
      <c r="Q377" s="15">
        <f>AVERAGE(Tableau2[[#This Row],[AWB]:[IAM]])</f>
        <v>-5.2513373220885329E-3</v>
      </c>
      <c r="R377" s="15">
        <f>ABS(Tableau2[[#This Row],[Rm ]])</f>
        <v>5.2513373220885329E-3</v>
      </c>
      <c r="S377" s="15">
        <f>(Tableau2[[#This Row],[Rm ]]-Tableau2[[#Totals],[Rm ]])^2</f>
        <v>3.6517757272058106E-5</v>
      </c>
      <c r="T377" s="15">
        <f t="shared" si="10"/>
        <v>0.1164037989789202</v>
      </c>
      <c r="U377" s="15">
        <f t="shared" si="11"/>
        <v>0.53701211473823429</v>
      </c>
    </row>
    <row r="378" spans="1:21" x14ac:dyDescent="0.35">
      <c r="A378" s="10">
        <v>45177</v>
      </c>
      <c r="B378" s="2">
        <v>-1.1261380272539071E-2</v>
      </c>
      <c r="C378" s="2">
        <v>-3.9292781398895501E-3</v>
      </c>
      <c r="D378" s="2">
        <v>0</v>
      </c>
      <c r="E378" s="2">
        <v>7.4608652477360371E-3</v>
      </c>
      <c r="F378" s="2">
        <v>5.0386248703990369E-3</v>
      </c>
      <c r="G378" s="2">
        <v>-1.21073834128892E-2</v>
      </c>
      <c r="H378" s="2">
        <v>1.6650676838211621E-2</v>
      </c>
      <c r="I378" s="2">
        <v>0</v>
      </c>
      <c r="J378" s="2">
        <v>2.0704673361691201E-2</v>
      </c>
      <c r="K378" s="2">
        <v>2.5274864282154758E-4</v>
      </c>
      <c r="L378" s="2">
        <v>-4.5610511252052302E-2</v>
      </c>
      <c r="M378" s="2">
        <v>0</v>
      </c>
      <c r="N378" s="2">
        <v>0</v>
      </c>
      <c r="O378" s="2">
        <v>1.3140141959633899E-2</v>
      </c>
      <c r="P378" s="2">
        <v>0</v>
      </c>
      <c r="Q378" s="15">
        <f>AVERAGE(Tableau2[[#This Row],[AWB]:[IAM]])</f>
        <v>-6.44054810458452E-4</v>
      </c>
      <c r="R378" s="15">
        <f>ABS(Tableau2[[#This Row],[Rm ]])</f>
        <v>6.44054810458452E-4</v>
      </c>
      <c r="S378" s="15">
        <f>(Tableau2[[#This Row],[Rm ]]-Tableau2[[#Totals],[Rm ]])^2</f>
        <v>2.0612629134036227E-6</v>
      </c>
      <c r="T378" s="15">
        <f t="shared" si="10"/>
        <v>0.14006354984797809</v>
      </c>
      <c r="U378" s="15">
        <f t="shared" si="11"/>
        <v>0.1164037989789202</v>
      </c>
    </row>
    <row r="379" spans="1:21" x14ac:dyDescent="0.35">
      <c r="A379" s="10">
        <v>45180</v>
      </c>
      <c r="B379" s="2">
        <v>-6.818208231776984E-3</v>
      </c>
      <c r="C379" s="2">
        <v>-7.9051795071132611E-3</v>
      </c>
      <c r="D379" s="2">
        <v>-5.7788132578833326E-3</v>
      </c>
      <c r="E379" s="2">
        <v>-1.1045247862493361E-2</v>
      </c>
      <c r="F379" s="2">
        <v>-5.5975071204751774E-3</v>
      </c>
      <c r="G379" s="2">
        <v>-5.8173520659132016E-3</v>
      </c>
      <c r="H379" s="2">
        <v>-4.7145363749425788E-2</v>
      </c>
      <c r="I379" s="2">
        <v>-2.7945930390559339E-2</v>
      </c>
      <c r="J379" s="2">
        <v>-8.2000824603070698E-4</v>
      </c>
      <c r="K379" s="2">
        <v>2.766531578302624E-2</v>
      </c>
      <c r="L379" s="2">
        <v>9.519277253821558E-4</v>
      </c>
      <c r="M379" s="2">
        <v>5.7740994689516489E-2</v>
      </c>
      <c r="N379" s="2">
        <v>5.7696989320854417E-2</v>
      </c>
      <c r="O379" s="2">
        <v>-2.9600416284768271E-3</v>
      </c>
      <c r="P379" s="2">
        <v>2.0619287202735821E-2</v>
      </c>
      <c r="Q379" s="15">
        <f>AVERAGE(Tableau2[[#This Row],[AWB]:[IAM]])</f>
        <v>2.8560575107578088E-3</v>
      </c>
      <c r="R379" s="15">
        <f>ABS(Tableau2[[#This Row],[Rm ]])</f>
        <v>2.8560575107578088E-3</v>
      </c>
      <c r="S379" s="15">
        <f>(Tableau2[[#This Row],[Rm ]]-Tableau2[[#Totals],[Rm ]])^2</f>
        <v>4.2617573618344022E-6</v>
      </c>
      <c r="T379" s="15">
        <f t="shared" si="10"/>
        <v>0.28801769952702405</v>
      </c>
      <c r="U379" s="15">
        <f t="shared" si="11"/>
        <v>0.14006354984797809</v>
      </c>
    </row>
    <row r="380" spans="1:21" x14ac:dyDescent="0.35">
      <c r="A380" s="10">
        <v>45183</v>
      </c>
      <c r="B380" s="2">
        <v>5.4582805516541748E-3</v>
      </c>
      <c r="C380" s="2">
        <v>1.982161203991202E-3</v>
      </c>
      <c r="D380" s="2">
        <v>1.15244236145938E-2</v>
      </c>
      <c r="E380" s="2">
        <v>0</v>
      </c>
      <c r="F380" s="2">
        <v>1.671061297440295E-2</v>
      </c>
      <c r="G380" s="2">
        <v>8.8711603286363322E-2</v>
      </c>
      <c r="H380" s="2">
        <v>8.9811810068328793E-2</v>
      </c>
      <c r="I380" s="2">
        <v>0.12254003426024029</v>
      </c>
      <c r="J380" s="2">
        <v>2.3511419448101398E-2</v>
      </c>
      <c r="K380" s="2">
        <v>-2.9435899273282998E-2</v>
      </c>
      <c r="L380" s="2">
        <v>-9.5192772538206895E-4</v>
      </c>
      <c r="M380" s="2">
        <v>9.8522964430116395E-3</v>
      </c>
      <c r="N380" s="2">
        <v>-2.4907166497863609E-2</v>
      </c>
      <c r="O380" s="2">
        <v>4.9394913328340432E-4</v>
      </c>
      <c r="P380" s="2">
        <v>-1.542447032563175E-2</v>
      </c>
      <c r="Q380" s="15">
        <f>AVERAGE(Tableau2[[#This Row],[AWB]:[IAM]])</f>
        <v>1.9991808477454038E-2</v>
      </c>
      <c r="R380" s="15">
        <f>ABS(Tableau2[[#This Row],[Rm ]])</f>
        <v>1.9991808477454038E-2</v>
      </c>
      <c r="S380" s="15">
        <f>(Tableau2[[#This Row],[Rm ]]-Tableau2[[#Totals],[Rm ]])^2</f>
        <v>3.6864589016690136E-4</v>
      </c>
      <c r="T380" s="15">
        <f t="shared" si="10"/>
        <v>0.45616007275688863</v>
      </c>
      <c r="U380" s="15">
        <f t="shared" si="11"/>
        <v>0.28801769952702405</v>
      </c>
    </row>
    <row r="381" spans="1:21" x14ac:dyDescent="0.35">
      <c r="A381" s="10">
        <v>45184</v>
      </c>
      <c r="B381" s="2">
        <v>1.3599276801227419E-3</v>
      </c>
      <c r="C381" s="2">
        <v>-1.9821612039912112E-3</v>
      </c>
      <c r="D381" s="2">
        <v>0</v>
      </c>
      <c r="E381" s="2">
        <v>5.1431071952153379E-2</v>
      </c>
      <c r="F381" s="2">
        <v>-1.055167288079732E-2</v>
      </c>
      <c r="G381" s="2">
        <v>-2.6730836553005748E-3</v>
      </c>
      <c r="H381" s="2">
        <v>-1.7348638334612979E-2</v>
      </c>
      <c r="I381" s="2">
        <v>1.351852675502014E-2</v>
      </c>
      <c r="J381" s="2">
        <v>-2.2281659096358191E-2</v>
      </c>
      <c r="K381" s="2">
        <v>2.9435899273282998E-2</v>
      </c>
      <c r="L381" s="2">
        <v>-9.5694510161506725E-3</v>
      </c>
      <c r="M381" s="2">
        <v>-1.315808457751109E-2</v>
      </c>
      <c r="N381" s="2">
        <v>1.4556297774207449E-2</v>
      </c>
      <c r="O381" s="2">
        <v>-7.4349784875180902E-3</v>
      </c>
      <c r="P381" s="2">
        <v>0</v>
      </c>
      <c r="Q381" s="15">
        <f>AVERAGE(Tableau2[[#This Row],[AWB]:[IAM]])</f>
        <v>1.6867996121697718E-3</v>
      </c>
      <c r="R381" s="15">
        <f>ABS(Tableau2[[#This Row],[Rm ]])</f>
        <v>1.6867996121697718E-3</v>
      </c>
      <c r="S381" s="15">
        <f>(Tableau2[[#This Row],[Rm ]]-Tableau2[[#Totals],[Rm ]])^2</f>
        <v>8.0128371860742022E-7</v>
      </c>
      <c r="T381" s="15">
        <f t="shared" si="10"/>
        <v>0.20281484830727795</v>
      </c>
      <c r="U381" s="15">
        <f t="shared" si="11"/>
        <v>0.45616007275688863</v>
      </c>
    </row>
    <row r="382" spans="1:21" x14ac:dyDescent="0.35">
      <c r="A382" s="10">
        <v>45187</v>
      </c>
      <c r="B382" s="2">
        <v>3.1659908851377739E-3</v>
      </c>
      <c r="C382" s="2">
        <v>1.784121793501392E-3</v>
      </c>
      <c r="D382" s="2">
        <v>5.7127868198110898E-3</v>
      </c>
      <c r="E382" s="2">
        <v>-2.3921513120973601E-2</v>
      </c>
      <c r="F382" s="2">
        <v>0</v>
      </c>
      <c r="G382" s="2">
        <v>4.5521853630678233E-2</v>
      </c>
      <c r="H382" s="2">
        <v>5.4488185284069783E-2</v>
      </c>
      <c r="I382" s="2">
        <v>5.7668688025259728E-2</v>
      </c>
      <c r="J382" s="2">
        <v>-8.6402512422279597E-3</v>
      </c>
      <c r="K382" s="2">
        <v>1.197326460145417E-2</v>
      </c>
      <c r="L382" s="2">
        <v>0</v>
      </c>
      <c r="M382" s="2">
        <v>0</v>
      </c>
      <c r="N382" s="2">
        <v>-1.6317378358505181E-2</v>
      </c>
      <c r="O382" s="2">
        <v>2.4571260730505331E-2</v>
      </c>
      <c r="P382" s="2">
        <v>-1.566611674439946E-2</v>
      </c>
      <c r="Q382" s="15">
        <f>AVERAGE(Tableau2[[#This Row],[AWB]:[IAM]])</f>
        <v>9.3560594869540881E-3</v>
      </c>
      <c r="R382" s="15">
        <f>ABS(Tableau2[[#This Row],[Rm ]])</f>
        <v>9.3560594869540881E-3</v>
      </c>
      <c r="S382" s="15">
        <f>(Tableau2[[#This Row],[Rm ]]-Tableau2[[#Totals],[Rm ]])^2</f>
        <v>7.334902270362215E-5</v>
      </c>
      <c r="T382" s="15">
        <f t="shared" si="10"/>
        <v>0.27153187852513033</v>
      </c>
      <c r="U382" s="15">
        <f t="shared" si="11"/>
        <v>0.20281484830727795</v>
      </c>
    </row>
    <row r="383" spans="1:21" x14ac:dyDescent="0.35">
      <c r="A383" s="10">
        <v>45189</v>
      </c>
      <c r="B383" s="2">
        <v>1.612576936973455E-2</v>
      </c>
      <c r="C383" s="2">
        <v>1.005033585350151E-2</v>
      </c>
      <c r="D383" s="2">
        <v>0</v>
      </c>
      <c r="E383" s="2">
        <v>2.653568659055263E-2</v>
      </c>
      <c r="F383" s="2">
        <v>-1.679566431281061E-3</v>
      </c>
      <c r="G383" s="2">
        <v>0.114880275998422</v>
      </c>
      <c r="H383" s="2">
        <v>9.0044965448228653E-2</v>
      </c>
      <c r="I383" s="2">
        <v>0.11577969608820821</v>
      </c>
      <c r="J383" s="2">
        <v>-2.0877585021555251E-2</v>
      </c>
      <c r="K383" s="2">
        <v>0</v>
      </c>
      <c r="L383" s="2">
        <v>-5.9423420470800757E-2</v>
      </c>
      <c r="M383" s="2">
        <v>-3.7103750203377077E-2</v>
      </c>
      <c r="N383" s="2">
        <v>-3.042286521319143E-2</v>
      </c>
      <c r="O383" s="2">
        <v>-2.9558802241544391E-2</v>
      </c>
      <c r="P383" s="2">
        <v>0</v>
      </c>
      <c r="Q383" s="15">
        <f>AVERAGE(Tableau2[[#This Row],[AWB]:[IAM]])</f>
        <v>1.2956715984459844E-2</v>
      </c>
      <c r="R383" s="15">
        <f>ABS(Tableau2[[#This Row],[Rm ]])</f>
        <v>1.2956715984459844E-2</v>
      </c>
      <c r="S383" s="15">
        <f>(Tableau2[[#This Row],[Rm ]]-Tableau2[[#Totals],[Rm ]])^2</f>
        <v>1.4798870660718736E-4</v>
      </c>
      <c r="T383" s="15">
        <f t="shared" si="10"/>
        <v>0.58507269222686453</v>
      </c>
      <c r="U383" s="15">
        <f t="shared" si="11"/>
        <v>0.27153187852513033</v>
      </c>
    </row>
    <row r="384" spans="1:21" x14ac:dyDescent="0.35">
      <c r="A384" s="10">
        <v>45190</v>
      </c>
      <c r="B384" s="2">
        <v>-1.110925957927435E-4</v>
      </c>
      <c r="C384" s="2">
        <v>-1.18344576470028E-2</v>
      </c>
      <c r="D384" s="2">
        <v>0</v>
      </c>
      <c r="E384" s="2">
        <v>2.633659673461988E-3</v>
      </c>
      <c r="F384" s="2">
        <v>-1.676703596454445E-3</v>
      </c>
      <c r="G384" s="2">
        <v>2.565974678057753E-2</v>
      </c>
      <c r="H384" s="2">
        <v>-6.1571630017950983E-2</v>
      </c>
      <c r="I384" s="2">
        <v>-5.6843898976528723E-2</v>
      </c>
      <c r="J384" s="2">
        <v>1.2578782206860191E-2</v>
      </c>
      <c r="K384" s="2">
        <v>-4.1377690775055423E-3</v>
      </c>
      <c r="L384" s="2">
        <v>5.6534636564909653E-2</v>
      </c>
      <c r="M384" s="2">
        <v>3.0459207484708439E-2</v>
      </c>
      <c r="N384" s="2">
        <v>1.74126284771767E-2</v>
      </c>
      <c r="O384" s="2">
        <v>-1.536747713112189E-2</v>
      </c>
      <c r="P384" s="2">
        <v>0</v>
      </c>
      <c r="Q384" s="15">
        <f>AVERAGE(Tableau2[[#This Row],[AWB]:[IAM]])</f>
        <v>-4.1762452364417442E-4</v>
      </c>
      <c r="R384" s="15">
        <f>ABS(Tableau2[[#This Row],[Rm ]])</f>
        <v>4.1762452364417442E-4</v>
      </c>
      <c r="S384" s="15">
        <f>(Tableau2[[#This Row],[Rm ]]-Tableau2[[#Totals],[Rm ]])^2</f>
        <v>1.4623571798727967E-6</v>
      </c>
      <c r="T384" s="15">
        <f t="shared" si="10"/>
        <v>0.29746259572066408</v>
      </c>
      <c r="U384" s="15">
        <f t="shared" si="11"/>
        <v>0.58507269222686453</v>
      </c>
    </row>
    <row r="385" spans="1:21" x14ac:dyDescent="0.35">
      <c r="A385" s="10">
        <v>45191</v>
      </c>
      <c r="B385" s="2">
        <v>-4.5654552881091081E-3</v>
      </c>
      <c r="C385" s="2">
        <v>0</v>
      </c>
      <c r="D385" s="2">
        <v>1.127052135685648E-2</v>
      </c>
      <c r="E385" s="2">
        <v>1.5502567953341789E-2</v>
      </c>
      <c r="F385" s="2">
        <v>-3.5929303719514673E-2</v>
      </c>
      <c r="G385" s="2">
        <v>4.5185792621756163E-2</v>
      </c>
      <c r="H385" s="2">
        <v>4.8066741692056839E-2</v>
      </c>
      <c r="I385" s="2">
        <v>2.4845998586530801E-2</v>
      </c>
      <c r="J385" s="2">
        <v>3.278982282299097E-2</v>
      </c>
      <c r="K385" s="2">
        <v>4.8661896511729063E-3</v>
      </c>
      <c r="L385" s="2">
        <v>-3.6331929247390322E-2</v>
      </c>
      <c r="M385" s="2">
        <v>-6.688988150796652E-3</v>
      </c>
      <c r="N385" s="2">
        <v>0</v>
      </c>
      <c r="O385" s="2">
        <v>1.536747713112185E-2</v>
      </c>
      <c r="P385" s="2">
        <v>0</v>
      </c>
      <c r="Q385" s="15">
        <f>AVERAGE(Tableau2[[#This Row],[AWB]:[IAM]])</f>
        <v>7.6252956940011376E-3</v>
      </c>
      <c r="R385" s="15">
        <f>ABS(Tableau2[[#This Row],[Rm ]])</f>
        <v>7.6252956940011376E-3</v>
      </c>
      <c r="S385" s="15">
        <f>(Tableau2[[#This Row],[Rm ]]-Tableau2[[#Totals],[Rm ]])^2</f>
        <v>4.6698643927836866E-5</v>
      </c>
      <c r="T385" s="15">
        <f t="shared" si="10"/>
        <v>0.27218676196555941</v>
      </c>
      <c r="U385" s="15">
        <f t="shared" si="11"/>
        <v>0.29746259572066408</v>
      </c>
    </row>
    <row r="386" spans="1:21" x14ac:dyDescent="0.35">
      <c r="A386" s="10">
        <v>45195</v>
      </c>
      <c r="B386" s="2">
        <v>2.4256977645559959E-2</v>
      </c>
      <c r="C386" s="2">
        <v>1.1638359989741401E-2</v>
      </c>
      <c r="D386" s="2">
        <v>1.812634144284261E-2</v>
      </c>
      <c r="E386" s="2">
        <v>-5.1929285309648106E-3</v>
      </c>
      <c r="F386" s="2">
        <v>-3.3663885584034672E-2</v>
      </c>
      <c r="G386" s="2">
        <v>-4.3409593220500378E-2</v>
      </c>
      <c r="H386" s="2">
        <v>-9.2532054804831589E-3</v>
      </c>
      <c r="I386" s="2">
        <v>2.1245108613736061E-2</v>
      </c>
      <c r="J386" s="2">
        <v>-4.0404095370049744E-3</v>
      </c>
      <c r="K386" s="2">
        <v>-1.7136282242987241E-2</v>
      </c>
      <c r="L386" s="2">
        <v>3.6331929247390198E-2</v>
      </c>
      <c r="M386" s="2">
        <v>0</v>
      </c>
      <c r="N386" s="2">
        <v>1.18344576470028E-2</v>
      </c>
      <c r="O386" s="2">
        <v>-2.5317807984289901E-2</v>
      </c>
      <c r="P386" s="2">
        <v>-1.5915455305899572E-2</v>
      </c>
      <c r="Q386" s="15">
        <f>AVERAGE(Tableau2[[#This Row],[AWB]:[IAM]])</f>
        <v>-2.0330928866594457E-3</v>
      </c>
      <c r="R386" s="15">
        <f>ABS(Tableau2[[#This Row],[Rm ]])</f>
        <v>2.0330928866594457E-3</v>
      </c>
      <c r="S386" s="15">
        <f>(Tableau2[[#This Row],[Rm ]]-Tableau2[[#Totals],[Rm ]])^2</f>
        <v>7.9792011220583803E-6</v>
      </c>
      <c r="T386" s="15">
        <f t="shared" si="10"/>
        <v>0.26237277799448755</v>
      </c>
      <c r="U386" s="15">
        <f t="shared" si="11"/>
        <v>0.27218676196555941</v>
      </c>
    </row>
    <row r="387" spans="1:21" x14ac:dyDescent="0.35">
      <c r="A387" s="10">
        <v>45196</v>
      </c>
      <c r="B387" s="2">
        <v>-6.5574005461590517E-3</v>
      </c>
      <c r="C387" s="2">
        <v>0</v>
      </c>
      <c r="D387" s="2">
        <v>1.229860495905555E-2</v>
      </c>
      <c r="E387" s="2">
        <v>2.729649570304641E-3</v>
      </c>
      <c r="F387" s="2">
        <v>-8.4453806146824687E-3</v>
      </c>
      <c r="G387" s="2">
        <v>-3.3381538816586849E-2</v>
      </c>
      <c r="H387" s="2">
        <v>1.7116941940697711E-2</v>
      </c>
      <c r="I387" s="2">
        <v>-1.9406309444079079E-2</v>
      </c>
      <c r="J387" s="2">
        <v>1.6181233304103E-3</v>
      </c>
      <c r="K387" s="2">
        <v>2.439145312415927E-2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15">
        <f>AVERAGE(Tableau2[[#This Row],[AWB]:[IAM]])</f>
        <v>-6.4239043312533178E-4</v>
      </c>
      <c r="R387" s="15">
        <f>ABS(Tableau2[[#This Row],[Rm ]])</f>
        <v>6.4239043312533178E-4</v>
      </c>
      <c r="S387" s="15">
        <f>(Tableau2[[#This Row],[Rm ]]-Tableau2[[#Totals],[Rm ]])^2</f>
        <v>2.0564865575306576E-6</v>
      </c>
      <c r="T387" s="15">
        <f t="shared" ref="T387:T450" si="12">(ABS(B387-$Q387)+ABS(C387-$Q387)+ABS(D387-$Q387)+ABS(E387-$Q387)+ABS(F387-$Q387)+ABS(G387-$Q387)+ABS(H387-$Q387)+ABS(I387-$Q387)+ABS(J387-$Q387)+ABS(K387-$Q387)+ABS(L387-$Q387)+ABS(M387-$Q387)+ABS(N387-$Q387)+ABS(O387-$Q387)+ABS(P387-$Q387)/15)</f>
        <v>0.12984257097376192</v>
      </c>
      <c r="U387" s="15">
        <f t="shared" si="11"/>
        <v>0.26237277799448755</v>
      </c>
    </row>
    <row r="388" spans="1:21" x14ac:dyDescent="0.35">
      <c r="A388" s="10">
        <v>45202</v>
      </c>
      <c r="B388" s="2">
        <v>-1.435695560271108E-2</v>
      </c>
      <c r="C388" s="2">
        <v>-3.9300502539107189E-3</v>
      </c>
      <c r="D388" s="2">
        <v>1.803057582437266E-2</v>
      </c>
      <c r="E388" s="2">
        <v>-4.5028976109237513E-2</v>
      </c>
      <c r="F388" s="2">
        <v>3.7451909749808159E-2</v>
      </c>
      <c r="G388" s="2">
        <v>-0.12284168061264369</v>
      </c>
      <c r="H388" s="2">
        <v>-7.1233350392803915E-2</v>
      </c>
      <c r="I388" s="2">
        <v>-0.105156413197683</v>
      </c>
      <c r="J388" s="2">
        <v>-2.9534550312504401E-2</v>
      </c>
      <c r="K388" s="2">
        <v>4.8077015681030778E-3</v>
      </c>
      <c r="L388" s="2">
        <v>4.4325973770064087E-2</v>
      </c>
      <c r="M388" s="2">
        <v>-2.0339684237122669E-2</v>
      </c>
      <c r="N388" s="2">
        <v>-1.780462463350671E-2</v>
      </c>
      <c r="O388" s="2">
        <v>-7.7220460939102778E-3</v>
      </c>
      <c r="P388" s="2">
        <v>-1.6172859245601068E-2</v>
      </c>
      <c r="Q388" s="15">
        <f>AVERAGE(Tableau2[[#This Row],[AWB]:[IAM]])</f>
        <v>-2.330033531861914E-2</v>
      </c>
      <c r="R388" s="15">
        <f>ABS(Tableau2[[#This Row],[Rm ]])</f>
        <v>2.330033531861914E-2</v>
      </c>
      <c r="S388" s="15">
        <f>(Tableau2[[#This Row],[Rm ]]-Tableau2[[#Totals],[Rm ]])^2</f>
        <v>5.8042400176726197E-4</v>
      </c>
      <c r="T388" s="15">
        <f t="shared" si="12"/>
        <v>0.50793427706207017</v>
      </c>
      <c r="U388" s="15">
        <f t="shared" ref="U388:U451" si="13">T387</f>
        <v>0.12984257097376192</v>
      </c>
    </row>
    <row r="389" spans="1:21" x14ac:dyDescent="0.35">
      <c r="A389" s="10">
        <v>45203</v>
      </c>
      <c r="B389" s="2">
        <v>-5.1299320707855842E-3</v>
      </c>
      <c r="C389" s="2">
        <v>-7.7083097358307037E-3</v>
      </c>
      <c r="D389" s="2">
        <v>-8.7234891307545453E-3</v>
      </c>
      <c r="E389" s="2">
        <v>2.4094318604791928E-2</v>
      </c>
      <c r="F389" s="2">
        <v>-1.410364687596617E-2</v>
      </c>
      <c r="G389" s="2">
        <v>-4.1297557098120503E-2</v>
      </c>
      <c r="H389" s="2">
        <v>-2.843793532053351E-2</v>
      </c>
      <c r="I389" s="2">
        <v>-4.5225098004935779E-2</v>
      </c>
      <c r="J389" s="2">
        <v>-8.3298630389177348E-4</v>
      </c>
      <c r="K389" s="2">
        <v>0</v>
      </c>
      <c r="L389" s="2">
        <v>-1.8467225931646631E-3</v>
      </c>
      <c r="M389" s="2">
        <v>0</v>
      </c>
      <c r="N389" s="2">
        <v>-6.0060240602119218E-3</v>
      </c>
      <c r="O389" s="2">
        <v>-7.2614426953255973E-3</v>
      </c>
      <c r="P389" s="2">
        <v>0</v>
      </c>
      <c r="Q389" s="15">
        <f>AVERAGE(Tableau2[[#This Row],[AWB]:[IAM]])</f>
        <v>-9.4985883523152556E-3</v>
      </c>
      <c r="R389" s="15">
        <f>ABS(Tableau2[[#This Row],[Rm ]])</f>
        <v>9.4985883523152556E-3</v>
      </c>
      <c r="S389" s="15">
        <f>(Tableau2[[#This Row],[Rm ]]-Tableau2[[#Totals],[Rm ]])^2</f>
        <v>1.0588911006720141E-4</v>
      </c>
      <c r="T389" s="15">
        <f t="shared" si="12"/>
        <v>0.17327441865176232</v>
      </c>
      <c r="U389" s="15">
        <f t="shared" si="13"/>
        <v>0.50793427706207017</v>
      </c>
    </row>
    <row r="390" spans="1:21" x14ac:dyDescent="0.35">
      <c r="A390" s="10">
        <v>45204</v>
      </c>
      <c r="B390" s="2">
        <v>5.8201399854187097E-2</v>
      </c>
      <c r="C390" s="2">
        <v>5.8194032604491887E-2</v>
      </c>
      <c r="D390" s="2">
        <v>4.3517170585691212E-2</v>
      </c>
      <c r="E390" s="2">
        <v>5.8187372717180268E-2</v>
      </c>
      <c r="F390" s="2">
        <v>1.759869616206507E-2</v>
      </c>
      <c r="G390" s="2">
        <v>5.7758834152192469E-2</v>
      </c>
      <c r="H390" s="2">
        <v>5.7905997577441463E-2</v>
      </c>
      <c r="I390" s="2">
        <v>5.8067450916162833E-2</v>
      </c>
      <c r="J390" s="2">
        <v>0</v>
      </c>
      <c r="K390" s="2">
        <v>1.9002947125615479E-2</v>
      </c>
      <c r="L390" s="2">
        <v>5.1339504040755213E-2</v>
      </c>
      <c r="M390" s="2">
        <v>5.7881135870683949E-2</v>
      </c>
      <c r="N390" s="2">
        <v>5.7927863386969147E-2</v>
      </c>
      <c r="O390" s="2">
        <v>5.764993510813874E-2</v>
      </c>
      <c r="P390" s="2">
        <v>0</v>
      </c>
      <c r="Q390" s="15">
        <f>AVERAGE(Tableau2[[#This Row],[AWB]:[IAM]])</f>
        <v>4.3548822673438327E-2</v>
      </c>
      <c r="R390" s="15">
        <f>ABS(Tableau2[[#This Row],[Rm ]])</f>
        <v>4.3548822673438327E-2</v>
      </c>
      <c r="S390" s="15">
        <f>(Tableau2[[#This Row],[Rm ]]-Tableau2[[#Totals],[Rm ]])^2</f>
        <v>1.8281753799032872E-3</v>
      </c>
      <c r="T390" s="15">
        <f t="shared" si="12"/>
        <v>0.23460503115909723</v>
      </c>
      <c r="U390" s="15">
        <f t="shared" si="13"/>
        <v>0.17327441865176232</v>
      </c>
    </row>
    <row r="391" spans="1:21" x14ac:dyDescent="0.35">
      <c r="A391" s="10">
        <v>45205</v>
      </c>
      <c r="B391" s="2">
        <v>-4.2283361095210642E-3</v>
      </c>
      <c r="C391" s="2">
        <v>1.0798838882459499E-2</v>
      </c>
      <c r="D391" s="2">
        <v>-5.2499183096716999E-3</v>
      </c>
      <c r="E391" s="2">
        <v>3.3709159602623548E-3</v>
      </c>
      <c r="F391" s="2">
        <v>1.7288528505349721E-2</v>
      </c>
      <c r="G391" s="2">
        <v>1.6194685919980599E-2</v>
      </c>
      <c r="H391" s="2">
        <v>4.5269429957770502E-3</v>
      </c>
      <c r="I391" s="2">
        <v>-2.6541197269388989E-2</v>
      </c>
      <c r="J391" s="2">
        <v>2.8344473009142571E-2</v>
      </c>
      <c r="K391" s="2">
        <v>0</v>
      </c>
      <c r="L391" s="2">
        <v>-6.1557892999433317E-2</v>
      </c>
      <c r="M391" s="2">
        <v>3.3686057654806582E-2</v>
      </c>
      <c r="N391" s="2">
        <v>5.2600001388242321E-2</v>
      </c>
      <c r="O391" s="2">
        <v>-1.6349138001529529E-2</v>
      </c>
      <c r="P391" s="2">
        <v>2.1506205220963678E-2</v>
      </c>
      <c r="Q391" s="15">
        <f>AVERAGE(Tableau2[[#This Row],[AWB]:[IAM]])</f>
        <v>4.9593444564959861E-3</v>
      </c>
      <c r="R391" s="15">
        <f>ABS(Tableau2[[#This Row],[Rm ]])</f>
        <v>4.9593444564959861E-3</v>
      </c>
      <c r="S391" s="15">
        <f>(Tableau2[[#This Row],[Rm ]]-Tableau2[[#Totals],[Rm ]])^2</f>
        <v>1.7369634669743033E-5</v>
      </c>
      <c r="T391" s="15">
        <f t="shared" si="12"/>
        <v>0.275963022057443</v>
      </c>
      <c r="U391" s="15">
        <f t="shared" si="13"/>
        <v>0.23460503115909723</v>
      </c>
    </row>
    <row r="392" spans="1:21" x14ac:dyDescent="0.35">
      <c r="A392" s="10">
        <v>45217</v>
      </c>
      <c r="B392" s="2">
        <v>-4.2462908814510968E-3</v>
      </c>
      <c r="C392" s="2">
        <v>-3.3901551675681339E-2</v>
      </c>
      <c r="D392" s="2">
        <v>-3.2258220674397493E-2</v>
      </c>
      <c r="E392" s="2">
        <v>-2.7239726501543011E-2</v>
      </c>
      <c r="F392" s="2">
        <v>-5.8838390104629427E-2</v>
      </c>
      <c r="G392" s="2">
        <v>0.14290002026415741</v>
      </c>
      <c r="H392" s="2">
        <v>3.2440080754198818E-2</v>
      </c>
      <c r="I392" s="2">
        <v>4.4511730787696893E-2</v>
      </c>
      <c r="J392" s="2">
        <v>-1.1815171057932001E-2</v>
      </c>
      <c r="K392" s="2">
        <v>0</v>
      </c>
      <c r="L392" s="2">
        <v>1.482881667346062E-2</v>
      </c>
      <c r="M392" s="2">
        <v>4.9979932305020777E-2</v>
      </c>
      <c r="N392" s="2">
        <v>6.1702789036780351E-2</v>
      </c>
      <c r="O392" s="2">
        <v>1.8803126963096311E-2</v>
      </c>
      <c r="P392" s="2">
        <v>5.3050522296930981E-3</v>
      </c>
      <c r="Q392" s="15">
        <f>AVERAGE(Tableau2[[#This Row],[AWB]:[IAM]])</f>
        <v>1.3478146541231329E-2</v>
      </c>
      <c r="R392" s="15">
        <f>ABS(Tableau2[[#This Row],[Rm ]])</f>
        <v>1.3478146541231329E-2</v>
      </c>
      <c r="S392" s="15">
        <f>(Tableau2[[#This Row],[Rm ]]-Tableau2[[#Totals],[Rm ]])^2</f>
        <v>1.6094706538520581E-4</v>
      </c>
      <c r="T392" s="15">
        <f t="shared" si="12"/>
        <v>0.53401072063414801</v>
      </c>
      <c r="U392" s="15">
        <f t="shared" si="13"/>
        <v>0.275963022057443</v>
      </c>
    </row>
    <row r="393" spans="1:21" x14ac:dyDescent="0.35">
      <c r="A393" s="10">
        <v>45240</v>
      </c>
      <c r="B393" s="2">
        <v>-2.5863510589919349E-2</v>
      </c>
      <c r="C393" s="2">
        <v>-1.9158923327123779E-4</v>
      </c>
      <c r="D393" s="2">
        <v>-1.6556113945049189E-2</v>
      </c>
      <c r="E393" s="2">
        <v>-1.5983401833104691E-2</v>
      </c>
      <c r="F393" s="2">
        <v>-6.0800592225731384E-3</v>
      </c>
      <c r="G393" s="2">
        <v>-3.0486125022832228E-2</v>
      </c>
      <c r="H393" s="2">
        <v>-4.8374859078161241E-2</v>
      </c>
      <c r="I393" s="2">
        <v>1.505756763656239E-2</v>
      </c>
      <c r="J393" s="2">
        <v>-1.6529301951210579E-2</v>
      </c>
      <c r="K393" s="2">
        <v>-2.8641575963384042E-2</v>
      </c>
      <c r="L393" s="2">
        <v>-2.515270001509667E-2</v>
      </c>
      <c r="M393" s="2">
        <v>-2.9770787096845041E-3</v>
      </c>
      <c r="N393" s="2">
        <v>-3.772082435029489E-2</v>
      </c>
      <c r="O393" s="2">
        <v>2.4479816386400368E-3</v>
      </c>
      <c r="P393" s="2">
        <v>-6.559728248581323E-2</v>
      </c>
      <c r="Q393" s="15">
        <f>AVERAGE(Tableau2[[#This Row],[AWB]:[IAM]])</f>
        <v>-2.0176591541679504E-2</v>
      </c>
      <c r="R393" s="15">
        <f>ABS(Tableau2[[#This Row],[Rm ]])</f>
        <v>2.0176591541679504E-2</v>
      </c>
      <c r="S393" s="15">
        <f>(Tableau2[[#This Row],[Rm ]]-Tableau2[[#Totals],[Rm ]])^2</f>
        <v>4.3966736673580186E-4</v>
      </c>
      <c r="T393" s="15">
        <f t="shared" si="12"/>
        <v>0.19880882854629875</v>
      </c>
      <c r="U393" s="15">
        <f t="shared" si="13"/>
        <v>0.53401072063414801</v>
      </c>
    </row>
    <row r="394" spans="1:21" x14ac:dyDescent="0.35">
      <c r="A394" s="10">
        <v>45247</v>
      </c>
      <c r="B394" s="2">
        <v>1.946007355471234E-2</v>
      </c>
      <c r="C394" s="2">
        <v>9.3449712197584568E-3</v>
      </c>
      <c r="D394" s="2">
        <v>-1.117266690845764E-2</v>
      </c>
      <c r="E394" s="2">
        <v>-4.2701085228793859E-2</v>
      </c>
      <c r="F394" s="2">
        <v>-2.4690445584491131E-2</v>
      </c>
      <c r="G394" s="2">
        <v>4.0295554860016423E-3</v>
      </c>
      <c r="H394" s="2">
        <v>1.412645956717865E-2</v>
      </c>
      <c r="I394" s="2">
        <v>5.1910387896796979E-2</v>
      </c>
      <c r="J394" s="2">
        <v>1.0775073167958371E-2</v>
      </c>
      <c r="K394" s="2">
        <v>-4.843787936797384E-4</v>
      </c>
      <c r="L394" s="2">
        <v>-2.8710105882431371E-2</v>
      </c>
      <c r="M394" s="2">
        <v>-2.5363678491855141E-2</v>
      </c>
      <c r="N394" s="2">
        <v>5.2645434224604128E-4</v>
      </c>
      <c r="O394" s="2">
        <v>2.6858763552118732E-3</v>
      </c>
      <c r="P394" s="2">
        <v>-1.7094433359300179E-2</v>
      </c>
      <c r="Q394" s="15">
        <f>AVERAGE(Tableau2[[#This Row],[AWB]:[IAM]])</f>
        <v>-2.4905295106096462E-3</v>
      </c>
      <c r="R394" s="15">
        <f>ABS(Tableau2[[#This Row],[Rm ]])</f>
        <v>2.4905295106096462E-3</v>
      </c>
      <c r="S394" s="15">
        <f>(Tableau2[[#This Row],[Rm ]]-Tableau2[[#Totals],[Rm ]])^2</f>
        <v>1.0772735741343949E-5</v>
      </c>
      <c r="T394" s="15">
        <f t="shared" si="12"/>
        <v>0.25594816652456504</v>
      </c>
      <c r="U394" s="15">
        <f t="shared" si="13"/>
        <v>0.19880882854629875</v>
      </c>
    </row>
    <row r="395" spans="1:21" x14ac:dyDescent="0.35">
      <c r="A395" s="10">
        <v>45251</v>
      </c>
      <c r="B395" s="2">
        <v>6.403437035207008E-3</v>
      </c>
      <c r="C395" s="2">
        <v>1.1700454296718571E-2</v>
      </c>
      <c r="D395" s="2">
        <v>0</v>
      </c>
      <c r="E395" s="2">
        <v>-1.6129161081802641E-2</v>
      </c>
      <c r="F395" s="2">
        <v>6.2252677857514557E-3</v>
      </c>
      <c r="G395" s="2">
        <v>9.7822033944610989E-3</v>
      </c>
      <c r="H395" s="2">
        <v>1.348335033728699E-2</v>
      </c>
      <c r="I395" s="2">
        <v>1.773204515895024E-2</v>
      </c>
      <c r="J395" s="2">
        <v>-1.2443130268655459E-2</v>
      </c>
      <c r="K395" s="2">
        <v>-2.18261272531787E-3</v>
      </c>
      <c r="L395" s="2">
        <v>1.9231361927887589E-2</v>
      </c>
      <c r="M395" s="2">
        <v>1.5174798019235131E-2</v>
      </c>
      <c r="N395" s="2">
        <v>-2.1277398447284851E-2</v>
      </c>
      <c r="O395" s="2">
        <v>2.1921820982210511E-3</v>
      </c>
      <c r="P395" s="2">
        <v>-1.1560822401075969E-2</v>
      </c>
      <c r="Q395" s="15">
        <f>AVERAGE(Tableau2[[#This Row],[AWB]:[IAM]])</f>
        <v>2.5554650086388226E-3</v>
      </c>
      <c r="R395" s="15">
        <f>ABS(Tableau2[[#This Row],[Rm ]])</f>
        <v>2.5554650086388226E-3</v>
      </c>
      <c r="S395" s="15">
        <f>(Tableau2[[#This Row],[Rm ]]-Tableau2[[#Totals],[Rm ]])^2</f>
        <v>3.1110254350725992E-6</v>
      </c>
      <c r="T395" s="15">
        <f t="shared" si="12"/>
        <v>0.14540319419037451</v>
      </c>
      <c r="U395" s="15">
        <f t="shared" si="13"/>
        <v>0.25594816652456504</v>
      </c>
    </row>
    <row r="396" spans="1:21" x14ac:dyDescent="0.35">
      <c r="A396" s="10">
        <v>45258</v>
      </c>
      <c r="B396" s="2">
        <v>-2.7283732601730781E-2</v>
      </c>
      <c r="C396" s="2">
        <v>-1.2460044154737089E-2</v>
      </c>
      <c r="D396" s="2">
        <v>-1.696759425355239E-2</v>
      </c>
      <c r="E396" s="2">
        <v>-5.6677860024909411E-2</v>
      </c>
      <c r="F396" s="2">
        <v>-1.8806138625683928E-2</v>
      </c>
      <c r="G396" s="2">
        <v>-2.8272019881721479E-2</v>
      </c>
      <c r="H396" s="2">
        <v>-3.5904788342199602E-2</v>
      </c>
      <c r="I396" s="2">
        <v>-2.4541108916117549E-2</v>
      </c>
      <c r="J396" s="2">
        <v>-2.9258119095304218E-3</v>
      </c>
      <c r="K396" s="2">
        <v>-4.6234417436815736E-3</v>
      </c>
      <c r="L396" s="2">
        <v>-3.8839833316263887E-2</v>
      </c>
      <c r="M396" s="2">
        <v>-1.7011345826536559E-2</v>
      </c>
      <c r="N396" s="2">
        <v>-4.3103515011222119E-3</v>
      </c>
      <c r="O396" s="2">
        <v>-2.040134663882618E-2</v>
      </c>
      <c r="P396" s="2">
        <v>0</v>
      </c>
      <c r="Q396" s="15">
        <f>AVERAGE(Tableau2[[#This Row],[AWB]:[IAM]])</f>
        <v>-2.0601694515774205E-2</v>
      </c>
      <c r="R396" s="15">
        <f>ABS(Tableau2[[#This Row],[Rm ]])</f>
        <v>2.0601694515774205E-2</v>
      </c>
      <c r="S396" s="15">
        <f>(Tableau2[[#This Row],[Rm ]]-Tableau2[[#Totals],[Rm ]])^2</f>
        <v>4.5767540728230011E-4</v>
      </c>
      <c r="T396" s="15">
        <f t="shared" si="12"/>
        <v>0.15659010376187241</v>
      </c>
      <c r="U396" s="15">
        <f t="shared" si="13"/>
        <v>0.14540319419037451</v>
      </c>
    </row>
    <row r="397" spans="1:21" x14ac:dyDescent="0.35">
      <c r="A397" s="10">
        <v>45261</v>
      </c>
      <c r="B397" s="2">
        <v>1.420222011811524E-3</v>
      </c>
      <c r="C397" s="2">
        <v>1.058210933053701E-2</v>
      </c>
      <c r="D397" s="2">
        <v>-1.14933735070774E-2</v>
      </c>
      <c r="E397" s="2">
        <v>2.02161465166837E-2</v>
      </c>
      <c r="F397" s="2">
        <v>-3.2155935530907252E-2</v>
      </c>
      <c r="G397" s="2">
        <v>-6.9253000252156333E-2</v>
      </c>
      <c r="H397" s="2">
        <v>-2.9110036686252911E-2</v>
      </c>
      <c r="I397" s="2">
        <v>-8.0146232700804287E-2</v>
      </c>
      <c r="J397" s="2">
        <v>2.071325089011064E-2</v>
      </c>
      <c r="K397" s="2">
        <v>-2.4692612590371522E-2</v>
      </c>
      <c r="L397" s="2">
        <v>-1.4962872676712379E-2</v>
      </c>
      <c r="M397" s="2">
        <v>-1.2262417232442959E-3</v>
      </c>
      <c r="N397" s="2">
        <v>1.819204798727805E-2</v>
      </c>
      <c r="O397" s="2">
        <v>3.2230101037417028E-3</v>
      </c>
      <c r="P397" s="2">
        <v>0</v>
      </c>
      <c r="Q397" s="15">
        <f>AVERAGE(Tableau2[[#This Row],[AWB]:[IAM]])</f>
        <v>-1.2579567921824247E-2</v>
      </c>
      <c r="R397" s="15">
        <f>ABS(Tableau2[[#This Row],[Rm ]])</f>
        <v>1.2579567921824247E-2</v>
      </c>
      <c r="S397" s="15">
        <f>(Tableau2[[#This Row],[Rm ]]-Tableau2[[#Totals],[Rm ]])^2</f>
        <v>1.7878960478657501E-4</v>
      </c>
      <c r="T397" s="15">
        <f t="shared" si="12"/>
        <v>0.33794563575214903</v>
      </c>
      <c r="U397" s="15">
        <f t="shared" si="13"/>
        <v>0.15659010376187241</v>
      </c>
    </row>
    <row r="398" spans="1:21" x14ac:dyDescent="0.35">
      <c r="A398" s="10">
        <v>45264</v>
      </c>
      <c r="B398" s="2">
        <v>-4.8150673026010078E-3</v>
      </c>
      <c r="C398" s="2">
        <v>1.8779348242001139E-3</v>
      </c>
      <c r="D398" s="2">
        <v>-1.752146162352396E-2</v>
      </c>
      <c r="E398" s="2">
        <v>5.6814279270519666E-3</v>
      </c>
      <c r="F398" s="2">
        <v>1.2982785402081139E-2</v>
      </c>
      <c r="G398" s="2">
        <v>2.3621247688179151E-2</v>
      </c>
      <c r="H398" s="2">
        <v>5.2269066494791128E-3</v>
      </c>
      <c r="I398" s="2">
        <v>-5.3981237695573704E-3</v>
      </c>
      <c r="J398" s="2">
        <v>-8.2034459071415801E-4</v>
      </c>
      <c r="K398" s="2">
        <v>1.242251999855711E-2</v>
      </c>
      <c r="L398" s="2">
        <v>3.0680288572122009E-2</v>
      </c>
      <c r="M398" s="2">
        <v>1.158902875879082E-2</v>
      </c>
      <c r="N398" s="2">
        <v>-1.8192047987278109E-2</v>
      </c>
      <c r="O398" s="2">
        <v>-1.73417608182761E-3</v>
      </c>
      <c r="P398" s="2">
        <v>0</v>
      </c>
      <c r="Q398" s="15">
        <f>AVERAGE(Tableau2[[#This Row],[AWB]:[IAM]])</f>
        <v>3.7067278976639479E-3</v>
      </c>
      <c r="R398" s="15">
        <f>ABS(Tableau2[[#This Row],[Rm ]])</f>
        <v>3.7067278976639479E-3</v>
      </c>
      <c r="S398" s="15">
        <f>(Tableau2[[#This Row],[Rm ]]-Tableau2[[#Totals],[Rm ]])^2</f>
        <v>8.4976494838714612E-6</v>
      </c>
      <c r="T398" s="15">
        <f t="shared" si="12"/>
        <v>0.14905460672074103</v>
      </c>
      <c r="U398" s="15">
        <f t="shared" si="13"/>
        <v>0.33794563575214903</v>
      </c>
    </row>
    <row r="399" spans="1:21" x14ac:dyDescent="0.35">
      <c r="A399" s="10">
        <v>45268</v>
      </c>
      <c r="B399" s="2">
        <v>1.426806321206377E-2</v>
      </c>
      <c r="C399" s="2">
        <v>1.6560058406224029E-2</v>
      </c>
      <c r="D399" s="2">
        <v>5.89445307627595E-3</v>
      </c>
      <c r="E399" s="2">
        <v>-2.0071410212315861E-2</v>
      </c>
      <c r="F399" s="2">
        <v>6.4833645037643169E-4</v>
      </c>
      <c r="G399" s="2">
        <v>-6.2126842599152096E-3</v>
      </c>
      <c r="H399" s="2">
        <v>2.9880841211042661E-2</v>
      </c>
      <c r="I399" s="2">
        <v>6.070844952007954E-3</v>
      </c>
      <c r="J399" s="2">
        <v>8.2034459071406835E-4</v>
      </c>
      <c r="K399" s="2">
        <v>-2.500130220541727E-2</v>
      </c>
      <c r="L399" s="2">
        <v>2.3122417420854208E-2</v>
      </c>
      <c r="M399" s="2">
        <v>1.802933451794185E-2</v>
      </c>
      <c r="N399" s="2">
        <v>2.5587749948407072E-2</v>
      </c>
      <c r="O399" s="2">
        <v>-2.2340830937930662E-3</v>
      </c>
      <c r="P399" s="2">
        <v>-1.1696039763191189E-2</v>
      </c>
      <c r="Q399" s="15">
        <f>AVERAGE(Tableau2[[#This Row],[AWB]:[IAM]])</f>
        <v>5.0444616167516923E-3</v>
      </c>
      <c r="R399" s="15">
        <f>ABS(Tableau2[[#This Row],[Rm ]])</f>
        <v>5.0444616167516923E-3</v>
      </c>
      <c r="S399" s="15">
        <f>(Tableau2[[#This Row],[Rm ]]-Tableau2[[#Totals],[Rm ]])^2</f>
        <v>1.8086363368409881E-5</v>
      </c>
      <c r="T399" s="15">
        <f t="shared" si="12"/>
        <v>0.18249167166699456</v>
      </c>
      <c r="U399" s="15">
        <f t="shared" si="13"/>
        <v>0.14905460672074103</v>
      </c>
    </row>
    <row r="400" spans="1:21" x14ac:dyDescent="0.35">
      <c r="A400" s="10">
        <v>45271</v>
      </c>
      <c r="B400" s="2">
        <v>-2.815683038497416E-3</v>
      </c>
      <c r="C400" s="2">
        <v>2.0278373618668969E-3</v>
      </c>
      <c r="D400" s="2">
        <v>0</v>
      </c>
      <c r="E400" s="2">
        <v>0</v>
      </c>
      <c r="F400" s="2">
        <v>0</v>
      </c>
      <c r="G400" s="2">
        <v>-8.1829578151746251E-3</v>
      </c>
      <c r="H400" s="2">
        <v>-1.2963144490510991E-2</v>
      </c>
      <c r="I400" s="2">
        <v>-2.0195227328292709E-3</v>
      </c>
      <c r="J400" s="2">
        <v>-4.1008817470344298E-4</v>
      </c>
      <c r="K400" s="2">
        <v>4.5045972344361591E-2</v>
      </c>
      <c r="L400" s="2">
        <v>2.8170876966696221E-2</v>
      </c>
      <c r="M400" s="2">
        <v>0</v>
      </c>
      <c r="N400" s="2">
        <v>2.8536307264934301E-2</v>
      </c>
      <c r="O400" s="2">
        <v>-4.9825713444639382E-3</v>
      </c>
      <c r="P400" s="2">
        <v>2.3256862164267179E-2</v>
      </c>
      <c r="Q400" s="15">
        <f>AVERAGE(Tableau2[[#This Row],[AWB]:[IAM]])</f>
        <v>6.377592567063101E-3</v>
      </c>
      <c r="R400" s="15">
        <f>ABS(Tableau2[[#This Row],[Rm ]])</f>
        <v>6.377592567063101E-3</v>
      </c>
      <c r="S400" s="15">
        <f>(Tableau2[[#This Row],[Rm ]]-Tableau2[[#Totals],[Rm ]])^2</f>
        <v>3.1202697516608956E-5</v>
      </c>
      <c r="T400" s="15">
        <f t="shared" si="12"/>
        <v>0.1832453119866233</v>
      </c>
      <c r="U400" s="15">
        <f t="shared" si="13"/>
        <v>0.18249167166699456</v>
      </c>
    </row>
    <row r="401" spans="1:21" x14ac:dyDescent="0.35">
      <c r="A401" s="10">
        <v>45272</v>
      </c>
      <c r="B401" s="2">
        <v>4.2205571010837332E-3</v>
      </c>
      <c r="C401" s="2">
        <v>1.8399269220072949E-3</v>
      </c>
      <c r="D401" s="2">
        <v>-2.913114036569262E-3</v>
      </c>
      <c r="E401" s="2">
        <v>5.9079233524514342E-3</v>
      </c>
      <c r="F401" s="2">
        <v>5.7836457087216582E-3</v>
      </c>
      <c r="G401" s="2">
        <v>-9.6711806377471066E-4</v>
      </c>
      <c r="H401" s="2">
        <v>2.791998091031134E-3</v>
      </c>
      <c r="I401" s="2">
        <v>-4.0513222191786904E-3</v>
      </c>
      <c r="J401" s="2">
        <v>-7.4104908904847897E-3</v>
      </c>
      <c r="K401" s="2">
        <v>-7.7745775471300396E-3</v>
      </c>
      <c r="L401" s="2">
        <v>1.8349138668196621E-2</v>
      </c>
      <c r="M401" s="2">
        <v>9.4843627370097099E-3</v>
      </c>
      <c r="N401" s="2">
        <v>-2.3286951378790541E-2</v>
      </c>
      <c r="O401" s="2">
        <v>8.9508305200845777E-3</v>
      </c>
      <c r="P401" s="2">
        <v>0</v>
      </c>
      <c r="Q401" s="15">
        <f>AVERAGE(Tableau2[[#This Row],[AWB]:[IAM]])</f>
        <v>7.2832059764387511E-4</v>
      </c>
      <c r="R401" s="15">
        <f>ABS(Tableau2[[#This Row],[Rm ]])</f>
        <v>7.2832059764387511E-4</v>
      </c>
      <c r="S401" s="15">
        <f>(Tableau2[[#This Row],[Rm ]]-Tableau2[[#Totals],[Rm ]])^2</f>
        <v>4.0112577071391731E-9</v>
      </c>
      <c r="T401" s="15">
        <f t="shared" si="12"/>
        <v>0.10232387074773604</v>
      </c>
      <c r="U401" s="15">
        <f t="shared" si="13"/>
        <v>0.1832453119866233</v>
      </c>
    </row>
    <row r="402" spans="1:21" x14ac:dyDescent="0.35">
      <c r="A402" s="10">
        <v>45273</v>
      </c>
      <c r="B402" s="2">
        <v>1.1061703298664091E-2</v>
      </c>
      <c r="C402" s="2">
        <v>7.5085051961281237E-3</v>
      </c>
      <c r="D402" s="2">
        <v>5.2256650983054298E-3</v>
      </c>
      <c r="E402" s="2">
        <v>1.984112659357223E-2</v>
      </c>
      <c r="F402" s="2">
        <v>2.53220388096605E-2</v>
      </c>
      <c r="G402" s="2">
        <v>6.269613013595395E-3</v>
      </c>
      <c r="H402" s="2">
        <v>3.710579396535775E-3</v>
      </c>
      <c r="I402" s="2">
        <v>8.086297431357841E-3</v>
      </c>
      <c r="J402" s="2">
        <v>0</v>
      </c>
      <c r="K402" s="2">
        <v>-1.2270092591814359E-2</v>
      </c>
      <c r="L402" s="2">
        <v>0</v>
      </c>
      <c r="M402" s="2">
        <v>2.945510229756745E-3</v>
      </c>
      <c r="N402" s="2">
        <v>2.5330896903865242E-2</v>
      </c>
      <c r="O402" s="2">
        <v>-4.9627893421290139E-3</v>
      </c>
      <c r="P402" s="2">
        <v>5.7306747089850736E-3</v>
      </c>
      <c r="Q402" s="15">
        <f>AVERAGE(Tableau2[[#This Row],[AWB]:[IAM]])</f>
        <v>6.9199819164322048E-3</v>
      </c>
      <c r="R402" s="15">
        <f>ABS(Tableau2[[#This Row],[Rm ]])</f>
        <v>6.9199819164322048E-3</v>
      </c>
      <c r="S402" s="15">
        <f>(Tableau2[[#This Row],[Rm ]]-Tableau2[[#Totals],[Rm ]])^2</f>
        <v>3.7556389712359603E-5</v>
      </c>
      <c r="T402" s="15">
        <f t="shared" si="12"/>
        <v>0.11015133340902561</v>
      </c>
      <c r="U402" s="15">
        <f t="shared" si="13"/>
        <v>0.10232387074773604</v>
      </c>
    </row>
    <row r="403" spans="1:21" x14ac:dyDescent="0.35">
      <c r="A403" s="10">
        <v>45274</v>
      </c>
      <c r="B403" s="2">
        <v>3.6247374441759159E-3</v>
      </c>
      <c r="C403" s="2">
        <v>7.0902942250246166E-3</v>
      </c>
      <c r="D403" s="2">
        <v>3.4883412557168208E-3</v>
      </c>
      <c r="E403" s="2">
        <v>1.6814195231837002E-2</v>
      </c>
      <c r="F403" s="2">
        <v>-1.2580870839932571E-2</v>
      </c>
      <c r="G403" s="2">
        <v>2.843793532053341E-2</v>
      </c>
      <c r="H403" s="2">
        <v>4.481401578979264E-2</v>
      </c>
      <c r="I403" s="2">
        <v>1.333353086946517E-2</v>
      </c>
      <c r="J403" s="2">
        <v>0</v>
      </c>
      <c r="K403" s="2">
        <v>2.943893409636052E-2</v>
      </c>
      <c r="L403" s="2">
        <v>-9.1324835632724741E-3</v>
      </c>
      <c r="M403" s="2">
        <v>0</v>
      </c>
      <c r="N403" s="2">
        <v>-4.6047663867482894E-3</v>
      </c>
      <c r="O403" s="2">
        <v>9.6547352258308933E-3</v>
      </c>
      <c r="P403" s="2">
        <v>1.699757636857108E-2</v>
      </c>
      <c r="Q403" s="15">
        <f>AVERAGE(Tableau2[[#This Row],[AWB]:[IAM]])</f>
        <v>9.8250783358236494E-3</v>
      </c>
      <c r="R403" s="15">
        <f>ABS(Tableau2[[#This Row],[Rm ]])</f>
        <v>9.8250783358236494E-3</v>
      </c>
      <c r="S403" s="15">
        <f>(Tableau2[[#This Row],[Rm ]]-Tableau2[[#Totals],[Rm ]])^2</f>
        <v>8.1602735568833906E-5</v>
      </c>
      <c r="T403" s="15">
        <f t="shared" si="12"/>
        <v>0.17507710382600494</v>
      </c>
      <c r="U403" s="15">
        <f t="shared" si="13"/>
        <v>0.11015133340902561</v>
      </c>
    </row>
    <row r="404" spans="1:21" x14ac:dyDescent="0.35">
      <c r="A404" s="10">
        <v>45275</v>
      </c>
      <c r="B404" s="2">
        <v>-6.0842371601767227E-3</v>
      </c>
      <c r="C404" s="2">
        <v>-2.539453568588338E-3</v>
      </c>
      <c r="D404" s="2">
        <v>2.8682265200177061E-2</v>
      </c>
      <c r="E404" s="2">
        <v>-2.7874582508531278E-3</v>
      </c>
      <c r="F404" s="2">
        <v>-1.9173150128826109E-2</v>
      </c>
      <c r="G404" s="2">
        <v>9.3023926623136306E-3</v>
      </c>
      <c r="H404" s="2">
        <v>1.2755836031685159E-2</v>
      </c>
      <c r="I404" s="2">
        <v>-9.9834439841832625E-3</v>
      </c>
      <c r="J404" s="2">
        <v>2.44910200082957E-2</v>
      </c>
      <c r="K404" s="2">
        <v>-4.1861454094917601E-2</v>
      </c>
      <c r="L404" s="2">
        <v>7.3126468462865572E-3</v>
      </c>
      <c r="M404" s="2">
        <v>4.1091927501331936E-3</v>
      </c>
      <c r="N404" s="2">
        <v>0</v>
      </c>
      <c r="O404" s="2">
        <v>-1.4642276736869979E-2</v>
      </c>
      <c r="P404" s="2">
        <v>0</v>
      </c>
      <c r="Q404" s="15">
        <f>AVERAGE(Tableau2[[#This Row],[AWB]:[IAM]])</f>
        <v>-6.9454136170158938E-4</v>
      </c>
      <c r="R404" s="15">
        <f>ABS(Tableau2[[#This Row],[Rm ]])</f>
        <v>6.9454136170158938E-4</v>
      </c>
      <c r="S404" s="15">
        <f>(Tableau2[[#This Row],[Rm ]]-Tableau2[[#Totals],[Rm ]])^2</f>
        <v>2.2087798880083185E-6</v>
      </c>
      <c r="T404" s="15">
        <f t="shared" si="12"/>
        <v>0.18377113018075322</v>
      </c>
      <c r="U404" s="15">
        <f t="shared" si="13"/>
        <v>0.17507710382600494</v>
      </c>
    </row>
    <row r="405" spans="1:21" x14ac:dyDescent="0.35">
      <c r="A405" s="10">
        <v>45279</v>
      </c>
      <c r="B405" s="2">
        <v>6.403437035207008E-3</v>
      </c>
      <c r="C405" s="2">
        <v>6.1560940387769096E-3</v>
      </c>
      <c r="D405" s="2">
        <v>1.0951512603594419E-2</v>
      </c>
      <c r="E405" s="2">
        <v>0</v>
      </c>
      <c r="F405" s="2">
        <v>2.7996351004879499E-2</v>
      </c>
      <c r="G405" s="2">
        <v>1.3793322132335769E-2</v>
      </c>
      <c r="H405" s="2">
        <v>2.247285585205858E-2</v>
      </c>
      <c r="I405" s="2">
        <v>5.3369039281876409E-3</v>
      </c>
      <c r="J405" s="2">
        <v>8.0321716972642527E-3</v>
      </c>
      <c r="K405" s="2">
        <v>1.980262729617973E-2</v>
      </c>
      <c r="L405" s="2">
        <v>-1.467916266304909E-2</v>
      </c>
      <c r="M405" s="2">
        <v>-1.1723330768234389E-3</v>
      </c>
      <c r="N405" s="2">
        <v>5.1151006667704089E-3</v>
      </c>
      <c r="O405" s="2">
        <v>4.9987504165099287E-4</v>
      </c>
      <c r="P405" s="2">
        <v>-5.1884835369011797E-2</v>
      </c>
      <c r="Q405" s="15">
        <f>AVERAGE(Tableau2[[#This Row],[AWB]:[IAM]])</f>
        <v>3.9215946792013935E-3</v>
      </c>
      <c r="R405" s="15">
        <f>ABS(Tableau2[[#This Row],[Rm ]])</f>
        <v>3.9215946792013935E-3</v>
      </c>
      <c r="S405" s="15">
        <f>(Tableau2[[#This Row],[Rm ]]-Tableau2[[#Totals],[Rm ]])^2</f>
        <v>9.7965218426688345E-6</v>
      </c>
      <c r="T405" s="15">
        <f t="shared" si="12"/>
        <v>0.12160285754814829</v>
      </c>
      <c r="U405" s="15">
        <f t="shared" si="13"/>
        <v>0.18377113018075322</v>
      </c>
    </row>
    <row r="406" spans="1:21" x14ac:dyDescent="0.35">
      <c r="A406" s="10">
        <v>45280</v>
      </c>
      <c r="B406" s="2">
        <v>-1.064396055786701E-3</v>
      </c>
      <c r="C406" s="2">
        <v>1.8048912602016209E-4</v>
      </c>
      <c r="D406" s="2">
        <v>1.6875189518885409E-2</v>
      </c>
      <c r="E406" s="2">
        <v>0</v>
      </c>
      <c r="F406" s="2">
        <v>2.6005703166069271E-2</v>
      </c>
      <c r="G406" s="2">
        <v>4.1011677442146068E-3</v>
      </c>
      <c r="H406" s="2">
        <v>-8.5837436913914419E-3</v>
      </c>
      <c r="I406" s="2">
        <v>-6.6755922137840583E-3</v>
      </c>
      <c r="J406" s="2">
        <v>-8.0032017076904407E-4</v>
      </c>
      <c r="K406" s="2">
        <v>0</v>
      </c>
      <c r="L406" s="2">
        <v>0</v>
      </c>
      <c r="M406" s="2">
        <v>2.9282597790883601E-3</v>
      </c>
      <c r="N406" s="2">
        <v>-5.1151006667703768E-3</v>
      </c>
      <c r="O406" s="2">
        <v>0</v>
      </c>
      <c r="P406" s="2">
        <v>5.899722127188322E-3</v>
      </c>
      <c r="Q406" s="15">
        <f>AVERAGE(Tableau2[[#This Row],[AWB]:[IAM]])</f>
        <v>2.2500919108643012E-3</v>
      </c>
      <c r="R406" s="15">
        <f>ABS(Tableau2[[#This Row],[Rm ]])</f>
        <v>2.2500919108643012E-3</v>
      </c>
      <c r="S406" s="15">
        <f>(Tableau2[[#This Row],[Rm ]]-Tableau2[[#Totals],[Rm ]])^2</f>
        <v>2.1270379654006691E-6</v>
      </c>
      <c r="T406" s="15">
        <f t="shared" si="12"/>
        <v>8.5712844027013166E-2</v>
      </c>
      <c r="U406" s="15">
        <f t="shared" si="13"/>
        <v>0.12160285754814829</v>
      </c>
    </row>
    <row r="407" spans="1:21" x14ac:dyDescent="0.35">
      <c r="A407" s="10">
        <v>45281</v>
      </c>
      <c r="B407" s="2">
        <v>-3.2000027306709031E-3</v>
      </c>
      <c r="C407" s="2">
        <v>-3.7971295962086851E-3</v>
      </c>
      <c r="D407" s="2">
        <v>1.0928464242112589E-2</v>
      </c>
      <c r="E407" s="2">
        <v>-2.0986300345169542E-2</v>
      </c>
      <c r="F407" s="2">
        <v>8.5224716048738491E-3</v>
      </c>
      <c r="G407" s="2">
        <v>-2.2534869433052589E-2</v>
      </c>
      <c r="H407" s="2">
        <v>-9.5280062516545829E-3</v>
      </c>
      <c r="I407" s="2">
        <v>-1.5525117766408461E-2</v>
      </c>
      <c r="J407" s="2">
        <v>4.002401494292776E-4</v>
      </c>
      <c r="K407" s="2">
        <v>-7.3801072976225337E-3</v>
      </c>
      <c r="L407" s="2">
        <v>0</v>
      </c>
      <c r="M407" s="2">
        <v>-2.9282597790883341E-3</v>
      </c>
      <c r="N407" s="2">
        <v>-2.0202707317519469E-2</v>
      </c>
      <c r="O407" s="2">
        <v>9.4504558115171521E-3</v>
      </c>
      <c r="P407" s="2">
        <v>0</v>
      </c>
      <c r="Q407" s="15">
        <f>AVERAGE(Tableau2[[#This Row],[AWB]:[IAM]])</f>
        <v>-5.118724580630815E-3</v>
      </c>
      <c r="R407" s="15">
        <f>ABS(Tableau2[[#This Row],[Rm ]])</f>
        <v>5.118724580630815E-3</v>
      </c>
      <c r="S407" s="15">
        <f>(Tableau2[[#This Row],[Rm ]]-Tableau2[[#Totals],[Rm ]])^2</f>
        <v>3.4932587830954442E-5</v>
      </c>
      <c r="T407" s="15">
        <f t="shared" si="12"/>
        <v>0.12611204558002911</v>
      </c>
      <c r="U407" s="15">
        <f t="shared" si="13"/>
        <v>8.5712844027013166E-2</v>
      </c>
    </row>
    <row r="408" spans="1:21" x14ac:dyDescent="0.35">
      <c r="A408" s="10">
        <v>45282</v>
      </c>
      <c r="B408" s="2">
        <v>0</v>
      </c>
      <c r="C408" s="2">
        <v>3.6166404701885148E-3</v>
      </c>
      <c r="D408" s="2">
        <v>-5.4215667208378556E-3</v>
      </c>
      <c r="E408" s="2">
        <v>6.6764456702702417E-3</v>
      </c>
      <c r="F408" s="2">
        <v>1.324134005495513E-2</v>
      </c>
      <c r="G408" s="2">
        <v>-1.8779894651596241E-2</v>
      </c>
      <c r="H408" s="2">
        <v>8.6994350854003536E-4</v>
      </c>
      <c r="I408" s="2">
        <v>-6.8259650703998706E-3</v>
      </c>
      <c r="J408" s="2">
        <v>0</v>
      </c>
      <c r="K408" s="2">
        <v>-1.2422519998557211E-2</v>
      </c>
      <c r="L408" s="2">
        <v>-1.5836381262901319E-2</v>
      </c>
      <c r="M408" s="2">
        <v>8.1776156652321724E-3</v>
      </c>
      <c r="N408" s="2">
        <v>2.0715396382838161E-2</v>
      </c>
      <c r="O408" s="2">
        <v>-9.950330853168092E-3</v>
      </c>
      <c r="P408" s="2">
        <v>0</v>
      </c>
      <c r="Q408" s="15">
        <f>AVERAGE(Tableau2[[#This Row],[AWB]:[IAM]])</f>
        <v>-1.0626184536957559E-3</v>
      </c>
      <c r="R408" s="15">
        <f>ABS(Tableau2[[#This Row],[Rm ]])</f>
        <v>1.0626184536957559E-3</v>
      </c>
      <c r="S408" s="15">
        <f>(Tableau2[[#This Row],[Rm ]]-Tableau2[[#Totals],[Rm ]])^2</f>
        <v>3.4383303685591995E-6</v>
      </c>
      <c r="T408" s="15">
        <f t="shared" si="12"/>
        <v>0.12473011844712271</v>
      </c>
      <c r="U408" s="15">
        <f t="shared" si="13"/>
        <v>0.12611204558002911</v>
      </c>
    </row>
    <row r="409" spans="1:21" x14ac:dyDescent="0.35">
      <c r="A409" s="10">
        <v>45287</v>
      </c>
      <c r="B409" s="2">
        <v>-1.290340483590784E-2</v>
      </c>
      <c r="C409" s="2">
        <v>-1.0889399799268319E-2</v>
      </c>
      <c r="D409" s="2">
        <v>5.4215667208378357E-3</v>
      </c>
      <c r="E409" s="2">
        <v>-9.6454164200721042E-3</v>
      </c>
      <c r="F409" s="2">
        <v>2.8308521544324589E-2</v>
      </c>
      <c r="G409" s="2">
        <v>2.366865010266023E-3</v>
      </c>
      <c r="H409" s="2">
        <v>-9.6112579101135989E-3</v>
      </c>
      <c r="I409" s="2">
        <v>-1.7968693542816438E-2</v>
      </c>
      <c r="J409" s="2">
        <v>1.6273429177629889E-2</v>
      </c>
      <c r="K409" s="2">
        <v>2.3472356185142072E-2</v>
      </c>
      <c r="L409" s="2">
        <v>1.398624197473987E-2</v>
      </c>
      <c r="M409" s="2">
        <v>-8.1776156652321238E-3</v>
      </c>
      <c r="N409" s="2">
        <v>-5.6540885657373804E-3</v>
      </c>
      <c r="O409" s="2">
        <v>-5.0125418235442863E-3</v>
      </c>
      <c r="P409" s="2">
        <v>0</v>
      </c>
      <c r="Q409" s="15">
        <f>AVERAGE(Tableau2[[#This Row],[AWB]:[IAM]])</f>
        <v>6.6443747001654623E-4</v>
      </c>
      <c r="R409" s="15">
        <f>ABS(Tableau2[[#This Row],[Rm ]])</f>
        <v>6.6443747001654623E-4</v>
      </c>
      <c r="S409" s="15">
        <f>(Tableau2[[#This Row],[Rm ]]-Tableau2[[#Totals],[Rm ]])^2</f>
        <v>1.6184322402655413E-8</v>
      </c>
      <c r="T409" s="15">
        <f t="shared" si="12"/>
        <v>0.17106456994699989</v>
      </c>
      <c r="U409" s="15">
        <f t="shared" si="13"/>
        <v>0.12473011844712271</v>
      </c>
    </row>
    <row r="410" spans="1:21" x14ac:dyDescent="0.35">
      <c r="A410" s="10">
        <v>45288</v>
      </c>
      <c r="B410" s="2">
        <v>4.3196611445163796E-3</v>
      </c>
      <c r="C410" s="2">
        <v>1.8246510405515201E-4</v>
      </c>
      <c r="D410" s="2">
        <v>-5.4215667208378556E-3</v>
      </c>
      <c r="E410" s="2">
        <v>-9.1050744778400639E-2</v>
      </c>
      <c r="F410" s="2">
        <v>5.7922038041703719E-3</v>
      </c>
      <c r="G410" s="2">
        <v>2.7973852042406159E-2</v>
      </c>
      <c r="H410" s="2">
        <v>9.611257910113585E-3</v>
      </c>
      <c r="I410" s="2">
        <v>-2.7932979056125989E-3</v>
      </c>
      <c r="J410" s="2">
        <v>0</v>
      </c>
      <c r="K410" s="2">
        <v>-2.3472356185142158E-2</v>
      </c>
      <c r="L410" s="2">
        <v>1.8349138668196621E-2</v>
      </c>
      <c r="M410" s="2">
        <v>-0.1050347296963197</v>
      </c>
      <c r="N410" s="2">
        <v>-1.036278703554655E-2</v>
      </c>
      <c r="O410" s="2">
        <v>-1.264239341517647E-2</v>
      </c>
      <c r="P410" s="2">
        <v>0</v>
      </c>
      <c r="Q410" s="15">
        <f>AVERAGE(Tableau2[[#This Row],[AWB]:[IAM]])</f>
        <v>-1.2303286470905181E-2</v>
      </c>
      <c r="R410" s="15">
        <f>ABS(Tableau2[[#This Row],[Rm ]])</f>
        <v>1.2303286470905181E-2</v>
      </c>
      <c r="S410" s="15">
        <f>(Tableau2[[#This Row],[Rm ]]-Tableau2[[#Totals],[Rm ]])^2</f>
        <v>1.7147749443909588E-4</v>
      </c>
      <c r="T410" s="15">
        <f t="shared" si="12"/>
        <v>0.3544910890099916</v>
      </c>
      <c r="U410" s="15">
        <f t="shared" si="13"/>
        <v>0.17106456994699989</v>
      </c>
    </row>
    <row r="411" spans="1:21" x14ac:dyDescent="0.35">
      <c r="A411" s="10">
        <v>45289</v>
      </c>
      <c r="B411" s="2">
        <v>-8.6580627431145415E-3</v>
      </c>
      <c r="C411" s="2">
        <v>3.4605261744457411E-3</v>
      </c>
      <c r="D411" s="2">
        <v>-1.9323461036287969E-2</v>
      </c>
      <c r="E411" s="2">
        <v>9.4019715528202638E-2</v>
      </c>
      <c r="F411" s="2">
        <v>1.7195301873100029E-2</v>
      </c>
      <c r="G411" s="2">
        <v>-2.3014969882792741E-3</v>
      </c>
      <c r="H411" s="2">
        <v>4.3384015985981411E-3</v>
      </c>
      <c r="I411" s="2">
        <v>2.095704574218738E-3</v>
      </c>
      <c r="J411" s="2">
        <v>0</v>
      </c>
      <c r="K411" s="2">
        <v>0</v>
      </c>
      <c r="L411" s="2">
        <v>0</v>
      </c>
      <c r="M411" s="2">
        <v>9.0263412376007116E-2</v>
      </c>
      <c r="N411" s="2">
        <v>0</v>
      </c>
      <c r="O411" s="2">
        <v>-7.6628727455691371E-3</v>
      </c>
      <c r="P411" s="2">
        <v>0</v>
      </c>
      <c r="Q411" s="15">
        <f>AVERAGE(Tableau2[[#This Row],[AWB]:[IAM]])</f>
        <v>1.1561811240754763E-2</v>
      </c>
      <c r="R411" s="15">
        <f>ABS(Tableau2[[#This Row],[Rm ]])</f>
        <v>1.1561811240754763E-2</v>
      </c>
      <c r="S411" s="15">
        <f>(Tableau2[[#This Row],[Rm ]]-Tableau2[[#Totals],[Rm ]])^2</f>
        <v>1.1599626354817953E-4</v>
      </c>
      <c r="T411" s="15">
        <f t="shared" si="12"/>
        <v>0.32279496828538645</v>
      </c>
      <c r="U411" s="15">
        <f t="shared" si="13"/>
        <v>0.3544910890099916</v>
      </c>
    </row>
    <row r="412" spans="1:21" x14ac:dyDescent="0.35">
      <c r="A412" s="10">
        <v>45294</v>
      </c>
      <c r="B412" s="2">
        <v>1.124093116136874E-2</v>
      </c>
      <c r="C412" s="2">
        <v>0</v>
      </c>
      <c r="D412" s="2">
        <v>2.7673470912387751E-3</v>
      </c>
      <c r="E412" s="2">
        <v>-1.158303038882609E-2</v>
      </c>
      <c r="F412" s="2">
        <v>6.2229576529278303E-2</v>
      </c>
      <c r="G412" s="2">
        <v>3.5313764479076498E-2</v>
      </c>
      <c r="H412" s="2">
        <v>0.1182639204937343</v>
      </c>
      <c r="I412" s="2">
        <v>5.5645290115297633E-2</v>
      </c>
      <c r="J412" s="2">
        <v>-1.5873349156290122E-2</v>
      </c>
      <c r="K412" s="2">
        <v>0</v>
      </c>
      <c r="L412" s="2">
        <v>3.1322471129041067E-2</v>
      </c>
      <c r="M412" s="2">
        <v>5.9506101131099687E-4</v>
      </c>
      <c r="N412" s="2">
        <v>1.5504186535965249E-2</v>
      </c>
      <c r="O412" s="2">
        <v>2.531780798428979E-2</v>
      </c>
      <c r="P412" s="2">
        <v>3.4685557987890109E-2</v>
      </c>
      <c r="Q412" s="15">
        <f>AVERAGE(Tableau2[[#This Row],[AWB]:[IAM]])</f>
        <v>2.4361968998225018E-2</v>
      </c>
      <c r="R412" s="15">
        <f>ABS(Tableau2[[#This Row],[Rm ]])</f>
        <v>2.4361968998225018E-2</v>
      </c>
      <c r="S412" s="15">
        <f>(Tableau2[[#This Row],[Rm ]]-Tableau2[[#Totals],[Rm ]])^2</f>
        <v>5.5555969781223048E-4</v>
      </c>
      <c r="T412" s="15">
        <f t="shared" si="12"/>
        <v>0.37485386173837776</v>
      </c>
      <c r="U412" s="15">
        <f t="shared" si="13"/>
        <v>0.32279496828538645</v>
      </c>
    </row>
    <row r="413" spans="1:21" x14ac:dyDescent="0.35">
      <c r="A413" s="10">
        <v>45295</v>
      </c>
      <c r="B413" s="2">
        <v>5.1458089534039539E-3</v>
      </c>
      <c r="C413" s="2">
        <v>3.6297680505787311E-3</v>
      </c>
      <c r="D413" s="2">
        <v>0</v>
      </c>
      <c r="E413" s="2">
        <v>7.1835260922521876E-3</v>
      </c>
      <c r="F413" s="2">
        <v>1.6415538532781718E-2</v>
      </c>
      <c r="G413" s="2">
        <v>3.1090409231970609E-3</v>
      </c>
      <c r="H413" s="2">
        <v>6.8736428351810958E-2</v>
      </c>
      <c r="I413" s="2">
        <v>-3.3057881344995439E-3</v>
      </c>
      <c r="J413" s="2">
        <v>1.547957084838637E-2</v>
      </c>
      <c r="K413" s="2">
        <v>0</v>
      </c>
      <c r="L413" s="2">
        <v>2.8660233472669369E-2</v>
      </c>
      <c r="M413" s="2">
        <v>-2.382371585406808E-3</v>
      </c>
      <c r="N413" s="2">
        <v>9.6964270813331074E-3</v>
      </c>
      <c r="O413" s="2">
        <v>-1.8418585524018039E-2</v>
      </c>
      <c r="P413" s="2">
        <v>0</v>
      </c>
      <c r="Q413" s="15">
        <f>AVERAGE(Tableau2[[#This Row],[AWB]:[IAM]])</f>
        <v>8.9299731374992714E-3</v>
      </c>
      <c r="R413" s="15">
        <f>ABS(Tableau2[[#This Row],[Rm ]])</f>
        <v>8.9299731374992714E-3</v>
      </c>
      <c r="S413" s="15">
        <f>(Tableau2[[#This Row],[Rm ]]-Tableau2[[#Totals],[Rm ]])^2</f>
        <v>6.6232220669862441E-5</v>
      </c>
      <c r="T413" s="15">
        <f t="shared" si="12"/>
        <v>0.180342023603971</v>
      </c>
      <c r="U413" s="15">
        <f t="shared" si="13"/>
        <v>0.37485386173837776</v>
      </c>
    </row>
    <row r="414" spans="1:21" x14ac:dyDescent="0.35">
      <c r="A414" s="10">
        <v>45296</v>
      </c>
      <c r="B414" s="2">
        <v>5.1194651061907742E-3</v>
      </c>
      <c r="C414" s="2">
        <v>1.421015007775215E-2</v>
      </c>
      <c r="D414" s="2">
        <v>1.1049216423774291E-2</v>
      </c>
      <c r="E414" s="2">
        <v>-7.1835260922520844E-3</v>
      </c>
      <c r="F414" s="2">
        <v>1.3560032556483151E-2</v>
      </c>
      <c r="G414" s="2">
        <v>7.9505719157645493E-3</v>
      </c>
      <c r="H414" s="2">
        <v>1.2489011570774771E-2</v>
      </c>
      <c r="I414" s="2">
        <v>4.2145621450763532E-2</v>
      </c>
      <c r="J414" s="2">
        <v>-1.5479570848386351E-2</v>
      </c>
      <c r="K414" s="2">
        <v>2.4692612590371411E-2</v>
      </c>
      <c r="L414" s="2">
        <v>8.5252008233596271E-3</v>
      </c>
      <c r="M414" s="2">
        <v>1.4209830572652999E-2</v>
      </c>
      <c r="N414" s="2">
        <v>5.5710450494554286E-3</v>
      </c>
      <c r="O414" s="2">
        <v>3.304947713970008E-3</v>
      </c>
      <c r="P414" s="2">
        <v>0</v>
      </c>
      <c r="Q414" s="15">
        <f>AVERAGE(Tableau2[[#This Row],[AWB]:[IAM]])</f>
        <v>9.3443072607116168E-3</v>
      </c>
      <c r="R414" s="15">
        <f>ABS(Tableau2[[#This Row],[Rm ]])</f>
        <v>9.3443072607116168E-3</v>
      </c>
      <c r="S414" s="15">
        <f>(Tableau2[[#This Row],[Rm ]]-Tableau2[[#Totals],[Rm ]])^2</f>
        <v>7.3147859182193893E-5</v>
      </c>
      <c r="T414" s="15">
        <f t="shared" si="12"/>
        <v>0.12517129539185112</v>
      </c>
      <c r="U414" s="15">
        <f t="shared" si="13"/>
        <v>0.180342023603971</v>
      </c>
    </row>
    <row r="415" spans="1:21" x14ac:dyDescent="0.35">
      <c r="A415" s="10">
        <v>45299</v>
      </c>
      <c r="B415" s="2">
        <v>0</v>
      </c>
      <c r="C415" s="2">
        <v>1.7858737434743341E-4</v>
      </c>
      <c r="D415" s="2">
        <v>4.9520201349371427E-3</v>
      </c>
      <c r="E415" s="2">
        <v>-1.4494480755522871E-2</v>
      </c>
      <c r="F415" s="2">
        <v>-5.7141052898915384E-3</v>
      </c>
      <c r="G415" s="2">
        <v>8.5139851150247373E-2</v>
      </c>
      <c r="H415" s="2">
        <v>1.861989504713028E-2</v>
      </c>
      <c r="I415" s="2">
        <v>4.5913771299865389E-2</v>
      </c>
      <c r="J415" s="2">
        <v>0</v>
      </c>
      <c r="K415" s="2">
        <v>-2.4692612590371522E-2</v>
      </c>
      <c r="L415" s="2">
        <v>1.8503471564559729E-2</v>
      </c>
      <c r="M415" s="2">
        <v>9.362268501613695E-3</v>
      </c>
      <c r="N415" s="2">
        <v>7.0458268332026543E-3</v>
      </c>
      <c r="O415" s="2">
        <v>-7.6433493125680121E-3</v>
      </c>
      <c r="P415" s="2">
        <v>0</v>
      </c>
      <c r="Q415" s="15">
        <f>AVERAGE(Tableau2[[#This Row],[AWB]:[IAM]])</f>
        <v>9.1447429305033176E-3</v>
      </c>
      <c r="R415" s="15">
        <f>ABS(Tableau2[[#This Row],[Rm ]])</f>
        <v>9.1447429305033176E-3</v>
      </c>
      <c r="S415" s="15">
        <f>(Tableau2[[#This Row],[Rm ]]-Tableau2[[#Totals],[Rm ]])^2</f>
        <v>6.9774076499503089E-5</v>
      </c>
      <c r="T415" s="15">
        <f t="shared" si="12"/>
        <v>0.2550959924199967</v>
      </c>
      <c r="U415" s="15">
        <f t="shared" si="13"/>
        <v>0.12517129539185112</v>
      </c>
    </row>
    <row r="416" spans="1:21" x14ac:dyDescent="0.35">
      <c r="A416" s="10">
        <v>45301</v>
      </c>
      <c r="B416" s="2">
        <v>1.268515952731564E-2</v>
      </c>
      <c r="C416" s="2">
        <v>1.5943650397135949E-2</v>
      </c>
      <c r="D416" s="2">
        <v>2.7159620940887821E-3</v>
      </c>
      <c r="E416" s="2">
        <v>4.3791854645064783E-3</v>
      </c>
      <c r="F416" s="2">
        <v>-2.3194053468298691E-2</v>
      </c>
      <c r="G416" s="2">
        <v>-1.015237146401796E-2</v>
      </c>
      <c r="H416" s="2">
        <v>-1.861989504713028E-2</v>
      </c>
      <c r="I416" s="2">
        <v>-1.7742894333169081E-2</v>
      </c>
      <c r="J416" s="2">
        <v>-8.0321716972642666E-3</v>
      </c>
      <c r="K416" s="2">
        <v>4.6406372814155827E-2</v>
      </c>
      <c r="L416" s="2">
        <v>2.225060893481972E-2</v>
      </c>
      <c r="M416" s="2">
        <v>1.7457089100230919E-3</v>
      </c>
      <c r="N416" s="2">
        <v>0</v>
      </c>
      <c r="O416" s="2">
        <v>1.7744445299071911E-2</v>
      </c>
      <c r="P416" s="2">
        <v>3.9002157803269183E-2</v>
      </c>
      <c r="Q416" s="15">
        <f>AVERAGE(Tableau2[[#This Row],[AWB]:[IAM]])</f>
        <v>5.6754576823004202E-3</v>
      </c>
      <c r="R416" s="15">
        <f>ABS(Tableau2[[#This Row],[Rm ]])</f>
        <v>5.6754576823004202E-3</v>
      </c>
      <c r="S416" s="15">
        <f>(Tableau2[[#This Row],[Rm ]]-Tableau2[[#Totals],[Rm ]])^2</f>
        <v>2.3851527777129111E-5</v>
      </c>
      <c r="T416" s="15">
        <f t="shared" si="12"/>
        <v>0.20885437725102729</v>
      </c>
      <c r="U416" s="15">
        <f t="shared" si="13"/>
        <v>0.2550959924199967</v>
      </c>
    </row>
    <row r="417" spans="1:21" x14ac:dyDescent="0.35">
      <c r="A417" s="10">
        <v>45303</v>
      </c>
      <c r="B417" s="2">
        <v>8.3682496705165792E-3</v>
      </c>
      <c r="C417" s="2">
        <v>1.755926702265013E-3</v>
      </c>
      <c r="D417" s="2">
        <v>3.260482013086736E-3</v>
      </c>
      <c r="E417" s="2">
        <v>-1.16912417706712E-2</v>
      </c>
      <c r="F417" s="2">
        <v>1.3244727958823411E-2</v>
      </c>
      <c r="G417" s="2">
        <v>-2.06192872027357E-2</v>
      </c>
      <c r="H417" s="2">
        <v>-2.87789645500434E-2</v>
      </c>
      <c r="I417" s="2">
        <v>-1.24225199985571E-2</v>
      </c>
      <c r="J417" s="2">
        <v>0</v>
      </c>
      <c r="K417" s="2">
        <v>2.1456677680098059E-3</v>
      </c>
      <c r="L417" s="2">
        <v>1.6286648551232809E-3</v>
      </c>
      <c r="M417" s="2">
        <v>2.3228814161397292E-3</v>
      </c>
      <c r="N417" s="2">
        <v>3.0045090202987222E-3</v>
      </c>
      <c r="O417" s="2">
        <v>-2.0305266160745569E-2</v>
      </c>
      <c r="P417" s="2">
        <v>1.0869672236903889E-2</v>
      </c>
      <c r="Q417" s="15">
        <f>AVERAGE(Tableau2[[#This Row],[AWB]:[IAM]])</f>
        <v>-3.1477665361057203E-3</v>
      </c>
      <c r="R417" s="15">
        <f>ABS(Tableau2[[#This Row],[Rm ]])</f>
        <v>3.1477665361057203E-3</v>
      </c>
      <c r="S417" s="15">
        <f>(Tableau2[[#This Row],[Rm ]]-Tableau2[[#Totals],[Rm ]])^2</f>
        <v>1.5519042734864541E-5</v>
      </c>
      <c r="T417" s="15">
        <f t="shared" si="12"/>
        <v>0.14307395114963975</v>
      </c>
      <c r="U417" s="15">
        <f t="shared" si="13"/>
        <v>0.20885437725102729</v>
      </c>
    </row>
    <row r="418" spans="1:21" x14ac:dyDescent="0.35">
      <c r="A418" s="10">
        <v>45307</v>
      </c>
      <c r="B418" s="2">
        <v>-4.1753714104806206E-3</v>
      </c>
      <c r="C418" s="2">
        <v>0</v>
      </c>
      <c r="D418" s="2">
        <v>-8.1434125895309337E-3</v>
      </c>
      <c r="E418" s="2">
        <v>0</v>
      </c>
      <c r="F418" s="2">
        <v>-1.217845378206125E-2</v>
      </c>
      <c r="G418" s="2">
        <v>-1.6383479250524059E-2</v>
      </c>
      <c r="H418" s="2">
        <v>1.8083675433295331E-2</v>
      </c>
      <c r="I418" s="2">
        <v>-1.765493523872071E-2</v>
      </c>
      <c r="J418" s="2">
        <v>8.0321716972642527E-3</v>
      </c>
      <c r="K418" s="2">
        <v>-1.173806745944924E-2</v>
      </c>
      <c r="L418" s="2">
        <v>-1.6286648551233399E-3</v>
      </c>
      <c r="M418" s="2">
        <v>-4.6511711757308439E-3</v>
      </c>
      <c r="N418" s="2">
        <v>3.6331929247390198E-2</v>
      </c>
      <c r="O418" s="2">
        <v>1.020417017424167E-2</v>
      </c>
      <c r="P418" s="2">
        <v>0</v>
      </c>
      <c r="Q418" s="15">
        <f>AVERAGE(Tableau2[[#This Row],[AWB]:[IAM]])</f>
        <v>-2.6010728062863706E-4</v>
      </c>
      <c r="R418" s="15">
        <f>ABS(Tableau2[[#This Row],[Rm ]])</f>
        <v>2.6010728062863706E-4</v>
      </c>
      <c r="S418" s="15">
        <f>(Tableau2[[#This Row],[Rm ]]-Tableau2[[#Totals],[Rm ]])^2</f>
        <v>1.1062040807021569E-6</v>
      </c>
      <c r="T418" s="15">
        <f t="shared" si="12"/>
        <v>0.1487026282379304</v>
      </c>
      <c r="U418" s="15">
        <f t="shared" si="13"/>
        <v>0.14307395114963975</v>
      </c>
    </row>
    <row r="419" spans="1:21" x14ac:dyDescent="0.35">
      <c r="A419" s="10">
        <v>45308</v>
      </c>
      <c r="B419" s="2">
        <v>6.6722516090677196E-3</v>
      </c>
      <c r="C419" s="2">
        <v>0</v>
      </c>
      <c r="D419" s="2">
        <v>9.2462525138260077E-3</v>
      </c>
      <c r="E419" s="2">
        <v>0</v>
      </c>
      <c r="F419" s="2">
        <v>-9.102507466725843E-3</v>
      </c>
      <c r="G419" s="2">
        <v>2.6746266286070589E-2</v>
      </c>
      <c r="H419" s="2">
        <v>5.2367985517315939E-2</v>
      </c>
      <c r="I419" s="2">
        <v>3.6231320811656142E-2</v>
      </c>
      <c r="J419" s="2">
        <v>-2.0202707317519469E-2</v>
      </c>
      <c r="K419" s="2">
        <v>1.197619104671562E-2</v>
      </c>
      <c r="L419" s="2">
        <v>1.857138558543529E-2</v>
      </c>
      <c r="M419" s="2">
        <v>8.1254074439169321E-3</v>
      </c>
      <c r="N419" s="2">
        <v>-1.93050253005785E-3</v>
      </c>
      <c r="O419" s="2">
        <v>-1.9477806959570989E-2</v>
      </c>
      <c r="P419" s="2">
        <v>0</v>
      </c>
      <c r="Q419" s="15">
        <f>AVERAGE(Tableau2[[#This Row],[AWB]:[IAM]])</f>
        <v>7.9482357693420047E-3</v>
      </c>
      <c r="R419" s="15">
        <f>ABS(Tableau2[[#This Row],[Rm ]])</f>
        <v>7.9482357693420047E-3</v>
      </c>
      <c r="S419" s="15">
        <f>(Tableau2[[#This Row],[Rm ]]-Tableau2[[#Totals],[Rm ]])^2</f>
        <v>5.1216647044210711E-5</v>
      </c>
      <c r="T419" s="15">
        <f t="shared" si="12"/>
        <v>0.20783596425436573</v>
      </c>
      <c r="U419" s="15">
        <f t="shared" si="13"/>
        <v>0.1487026282379304</v>
      </c>
    </row>
    <row r="420" spans="1:21" x14ac:dyDescent="0.35">
      <c r="A420" s="10">
        <v>45309</v>
      </c>
      <c r="B420" s="2">
        <v>9.9256397999699982E-3</v>
      </c>
      <c r="C420" s="2">
        <v>2.4264621999631301E-2</v>
      </c>
      <c r="D420" s="2">
        <v>1.4553271410036201E-2</v>
      </c>
      <c r="E420" s="2">
        <v>-4.4307982926564014E-3</v>
      </c>
      <c r="F420" s="2">
        <v>8.0362332899635812E-3</v>
      </c>
      <c r="G420" s="2">
        <v>3.0459207484708439E-2</v>
      </c>
      <c r="H420" s="2">
        <v>5.2992530140510377E-2</v>
      </c>
      <c r="I420" s="2">
        <v>3.021377859649663E-2</v>
      </c>
      <c r="J420" s="2">
        <v>1.9402387146750331E-2</v>
      </c>
      <c r="K420" s="2">
        <v>-1.1976191046715649E-2</v>
      </c>
      <c r="L420" s="2">
        <v>0</v>
      </c>
      <c r="M420" s="2">
        <v>-2.2801338593244291E-2</v>
      </c>
      <c r="N420" s="2">
        <v>-5.3281792316252656E-3</v>
      </c>
      <c r="O420" s="2">
        <v>6.706241280083328E-3</v>
      </c>
      <c r="P420" s="2">
        <v>2.139118998131756E-2</v>
      </c>
      <c r="Q420" s="15">
        <f>AVERAGE(Tableau2[[#This Row],[AWB]:[IAM]])</f>
        <v>1.1560572931015074E-2</v>
      </c>
      <c r="R420" s="15">
        <f>ABS(Tableau2[[#This Row],[Rm ]])</f>
        <v>1.1560572931015074E-2</v>
      </c>
      <c r="S420" s="15">
        <f>(Tableau2[[#This Row],[Rm ]]-Tableau2[[#Totals],[Rm ]])^2</f>
        <v>1.1596959150306743E-4</v>
      </c>
      <c r="T420" s="15">
        <f t="shared" si="12"/>
        <v>0.21553070990440831</v>
      </c>
      <c r="U420" s="15">
        <f t="shared" si="13"/>
        <v>0.20783596425436573</v>
      </c>
    </row>
    <row r="421" spans="1:21" x14ac:dyDescent="0.35">
      <c r="A421" s="10">
        <v>45310</v>
      </c>
      <c r="B421" s="2">
        <v>1.1310473675043219E-3</v>
      </c>
      <c r="C421" s="2">
        <v>3.4188067487854611E-3</v>
      </c>
      <c r="D421" s="2">
        <v>2.954140008320167E-2</v>
      </c>
      <c r="E421" s="2">
        <v>-9.040416048659761E-3</v>
      </c>
      <c r="F421" s="2">
        <v>-1.342799670024665E-2</v>
      </c>
      <c r="G421" s="2">
        <v>0</v>
      </c>
      <c r="H421" s="2">
        <v>-1.364100398423001E-2</v>
      </c>
      <c r="I421" s="2">
        <v>5.342844410495446E-3</v>
      </c>
      <c r="J421" s="2">
        <v>-2.2673036014873089E-2</v>
      </c>
      <c r="K421" s="2">
        <v>-1.212136053234485E-2</v>
      </c>
      <c r="L421" s="2">
        <v>0</v>
      </c>
      <c r="M421" s="2">
        <v>2.164460046542058E-2</v>
      </c>
      <c r="N421" s="2">
        <v>-1.5663560575789381E-2</v>
      </c>
      <c r="O421" s="2">
        <v>2.5673955052457329E-3</v>
      </c>
      <c r="P421" s="2">
        <v>0</v>
      </c>
      <c r="Q421" s="15">
        <f>AVERAGE(Tableau2[[#This Row],[AWB]:[IAM]])</f>
        <v>-1.5280852850327021E-3</v>
      </c>
      <c r="R421" s="15">
        <f>ABS(Tableau2[[#This Row],[Rm ]])</f>
        <v>1.5280852850327021E-3</v>
      </c>
      <c r="S421" s="15">
        <f>(Tableau2[[#This Row],[Rm ]]-Tableau2[[#Totals],[Rm ]])^2</f>
        <v>5.3811953996868999E-6</v>
      </c>
      <c r="T421" s="15">
        <f t="shared" si="12"/>
        <v>0.15337151135919788</v>
      </c>
      <c r="U421" s="15">
        <f t="shared" si="13"/>
        <v>0.21553070990440831</v>
      </c>
    </row>
    <row r="422" spans="1:21" x14ac:dyDescent="0.35">
      <c r="A422" s="10">
        <v>45314</v>
      </c>
      <c r="B422" s="2">
        <v>-2.9846160168270782E-3</v>
      </c>
      <c r="C422" s="2">
        <v>4.0871991502698544E-3</v>
      </c>
      <c r="D422" s="2">
        <v>5.9412882777065256E-3</v>
      </c>
      <c r="E422" s="2">
        <v>-7.0449215899888746E-3</v>
      </c>
      <c r="F422" s="2">
        <v>1.0222335506852869E-2</v>
      </c>
      <c r="G422" s="2">
        <v>0.11118352896061511</v>
      </c>
      <c r="H422" s="2">
        <v>2.007189431452033E-2</v>
      </c>
      <c r="I422" s="2">
        <v>-1.671680719450528E-2</v>
      </c>
      <c r="J422" s="2">
        <v>1.301889828178333E-2</v>
      </c>
      <c r="K422" s="2">
        <v>0</v>
      </c>
      <c r="L422" s="2">
        <v>1.192857086527381E-2</v>
      </c>
      <c r="M422" s="2">
        <v>1.265111755355873E-2</v>
      </c>
      <c r="N422" s="2">
        <v>1.128292568045392E-2</v>
      </c>
      <c r="O422" s="2">
        <v>0</v>
      </c>
      <c r="P422" s="2">
        <v>-1.063839820505575E-2</v>
      </c>
      <c r="Q422" s="15">
        <f>AVERAGE(Tableau2[[#This Row],[AWB]:[IAM]])</f>
        <v>1.0866867705643834E-2</v>
      </c>
      <c r="R422" s="15">
        <f>ABS(Tableau2[[#This Row],[Rm ]])</f>
        <v>1.0866867705643834E-2</v>
      </c>
      <c r="S422" s="15">
        <f>(Tableau2[[#This Row],[Rm ]]-Tableau2[[#Totals],[Rm ]])^2</f>
        <v>1.0150990928460987E-4</v>
      </c>
      <c r="T422" s="15">
        <f t="shared" si="12"/>
        <v>0.20979987732803154</v>
      </c>
      <c r="U422" s="15">
        <f t="shared" si="13"/>
        <v>0.15337151135919788</v>
      </c>
    </row>
    <row r="423" spans="1:21" x14ac:dyDescent="0.35">
      <c r="A423" s="10">
        <v>45315</v>
      </c>
      <c r="B423" s="2">
        <v>-2.0616431368765991E-4</v>
      </c>
      <c r="C423" s="2">
        <v>-6.8004082865551435E-4</v>
      </c>
      <c r="D423" s="2">
        <v>-7.8663768904189751E-4</v>
      </c>
      <c r="E423" s="2">
        <v>8.5374591804948993E-3</v>
      </c>
      <c r="F423" s="2">
        <v>-2.6568699027311252E-2</v>
      </c>
      <c r="G423" s="2">
        <v>1.456767634494527E-2</v>
      </c>
      <c r="H423" s="2">
        <v>0</v>
      </c>
      <c r="I423" s="2">
        <v>1.8045117678591391E-3</v>
      </c>
      <c r="J423" s="2">
        <v>5.6429009066367901E-3</v>
      </c>
      <c r="K423" s="2">
        <v>2.4387269966008021E-4</v>
      </c>
      <c r="L423" s="2">
        <v>-1.112889069470952E-2</v>
      </c>
      <c r="M423" s="2">
        <v>-1.7291497110060991E-2</v>
      </c>
      <c r="N423" s="2">
        <v>-2.4420036555517438E-3</v>
      </c>
      <c r="O423" s="2">
        <v>0</v>
      </c>
      <c r="P423" s="2">
        <v>2.6386755173195029E-2</v>
      </c>
      <c r="Q423" s="15">
        <f>AVERAGE(Tableau2[[#This Row],[AWB]:[IAM]])</f>
        <v>-1.280504830818247E-4</v>
      </c>
      <c r="R423" s="15">
        <f>ABS(Tableau2[[#This Row],[Rm ]])</f>
        <v>1.280504830818247E-4</v>
      </c>
      <c r="S423" s="15">
        <f>(Tableau2[[#This Row],[Rm ]]-Tableau2[[#Totals],[Rm ]])^2</f>
        <v>8.4585833803757045E-7</v>
      </c>
      <c r="T423" s="15">
        <f t="shared" si="12"/>
        <v>9.1668007929033207E-2</v>
      </c>
      <c r="U423" s="15">
        <f t="shared" si="13"/>
        <v>0.20979987732803154</v>
      </c>
    </row>
    <row r="424" spans="1:21" x14ac:dyDescent="0.35">
      <c r="A424" s="10">
        <v>45317</v>
      </c>
      <c r="B424" s="2">
        <v>-2.063984220851483E-3</v>
      </c>
      <c r="C424" s="2">
        <v>-2.06192872027357E-2</v>
      </c>
      <c r="D424" s="2">
        <v>1.0282196071156369E-2</v>
      </c>
      <c r="E424" s="2">
        <v>-8.838346801239249E-3</v>
      </c>
      <c r="F424" s="2">
        <v>3.2435216400898838E-2</v>
      </c>
      <c r="G424" s="2">
        <v>-8.1459632312969547E-3</v>
      </c>
      <c r="H424" s="2">
        <v>-1.9418085857101631E-2</v>
      </c>
      <c r="I424" s="2">
        <v>-2.0644327580345869E-2</v>
      </c>
      <c r="J424" s="2">
        <v>4.8115569972221172E-3</v>
      </c>
      <c r="K424" s="2">
        <v>2.1921820982210511E-3</v>
      </c>
      <c r="L424" s="2">
        <v>-1.8556401759823399E-2</v>
      </c>
      <c r="M424" s="2">
        <v>-5.8309203107932096E-3</v>
      </c>
      <c r="N424" s="2">
        <v>-1.7263067423780708E-2</v>
      </c>
      <c r="O424" s="2">
        <v>-3.6557595733797577E-2</v>
      </c>
      <c r="P424" s="2">
        <v>-1.5748356968139171E-2</v>
      </c>
      <c r="Q424" s="15">
        <f>AVERAGE(Tableau2[[#This Row],[AWB]:[IAM]])</f>
        <v>-8.2643457014937721E-3</v>
      </c>
      <c r="R424" s="15">
        <f>ABS(Tableau2[[#This Row],[Rm ]])</f>
        <v>8.2643457014937721E-3</v>
      </c>
      <c r="S424" s="15">
        <f>(Tableau2[[#This Row],[Rm ]]-Tableau2[[#Totals],[Rm ]])^2</f>
        <v>8.2011150304812404E-5</v>
      </c>
      <c r="T424" s="15">
        <f t="shared" si="12"/>
        <v>0.17607633024782388</v>
      </c>
      <c r="U424" s="15">
        <f t="shared" si="13"/>
        <v>9.1668007929033207E-2</v>
      </c>
    </row>
    <row r="425" spans="1:21" x14ac:dyDescent="0.35">
      <c r="A425" s="10">
        <v>45320</v>
      </c>
      <c r="B425" s="2">
        <v>-7.2576783062845282E-3</v>
      </c>
      <c r="C425" s="2">
        <v>0</v>
      </c>
      <c r="D425" s="2">
        <v>-1.285620006632926E-2</v>
      </c>
      <c r="E425" s="2">
        <v>8.9874781116341743E-3</v>
      </c>
      <c r="F425" s="2">
        <v>-2.2050803351373251E-2</v>
      </c>
      <c r="G425" s="2">
        <v>-1.1445046245872821E-2</v>
      </c>
      <c r="H425" s="2">
        <v>-1.5810606026642311E-2</v>
      </c>
      <c r="I425" s="2">
        <v>-1.7951580804093231E-2</v>
      </c>
      <c r="J425" s="2">
        <v>6.7769842790236694E-3</v>
      </c>
      <c r="K425" s="2">
        <v>9.6853057344636791E-3</v>
      </c>
      <c r="L425" s="2">
        <v>-9.820046180975461E-3</v>
      </c>
      <c r="M425" s="2">
        <v>-5.8651194523981339E-3</v>
      </c>
      <c r="N425" s="2">
        <v>-4.9875415110390512E-3</v>
      </c>
      <c r="O425" s="2">
        <v>5.3050522296930981E-3</v>
      </c>
      <c r="P425" s="2">
        <v>-7.1263020021490417E-2</v>
      </c>
      <c r="Q425" s="15">
        <f>AVERAGE(Tableau2[[#This Row],[AWB]:[IAM]])</f>
        <v>-9.9035214407789222E-3</v>
      </c>
      <c r="R425" s="15">
        <f>ABS(Tableau2[[#This Row],[Rm ]])</f>
        <v>9.9035214407789222E-3</v>
      </c>
      <c r="S425" s="15">
        <f>(Tableau2[[#This Row],[Rm ]]-Tableau2[[#Totals],[Rm ]])^2</f>
        <v>1.1438680098823976E-4</v>
      </c>
      <c r="T425" s="15">
        <f t="shared" si="12"/>
        <v>0.1266433904002581</v>
      </c>
      <c r="U425" s="15">
        <f t="shared" si="13"/>
        <v>0.17607633024782388</v>
      </c>
    </row>
    <row r="426" spans="1:21" x14ac:dyDescent="0.35">
      <c r="A426" s="10">
        <v>45321</v>
      </c>
      <c r="B426" s="2">
        <v>3.116885640253148E-3</v>
      </c>
      <c r="C426" s="2">
        <v>-6.9686693160933158E-3</v>
      </c>
      <c r="D426" s="2">
        <v>0</v>
      </c>
      <c r="E426" s="2">
        <v>0</v>
      </c>
      <c r="F426" s="2">
        <v>-2.087779469787257E-2</v>
      </c>
      <c r="G426" s="2">
        <v>7.168489478612497E-3</v>
      </c>
      <c r="H426" s="2">
        <v>2.5566780972006931E-2</v>
      </c>
      <c r="I426" s="2">
        <v>-6.2480476884219582E-4</v>
      </c>
      <c r="J426" s="2">
        <v>-9.5809116117578658E-3</v>
      </c>
      <c r="K426" s="2">
        <v>5.8496206681608633E-2</v>
      </c>
      <c r="L426" s="2">
        <v>-1.324522675002068E-2</v>
      </c>
      <c r="M426" s="2">
        <v>1.1696039763191239E-2</v>
      </c>
      <c r="N426" s="2">
        <v>-3.045920748470857E-2</v>
      </c>
      <c r="O426" s="2">
        <v>-1.063839820505575E-2</v>
      </c>
      <c r="P426" s="2">
        <v>-1.1428695823622969E-2</v>
      </c>
      <c r="Q426" s="15">
        <f>AVERAGE(Tableau2[[#This Row],[AWB]:[IAM]])</f>
        <v>1.4804625851323552E-4</v>
      </c>
      <c r="R426" s="15">
        <f>ABS(Tableau2[[#This Row],[Rm ]])</f>
        <v>1.4804625851323552E-4</v>
      </c>
      <c r="S426" s="15">
        <f>(Tableau2[[#This Row],[Rm ]]-Tableau2[[#Totals],[Rm ]])^2</f>
        <v>4.1423232578424826E-7</v>
      </c>
      <c r="T426" s="15">
        <f t="shared" si="12"/>
        <v>0.19980338320955207</v>
      </c>
      <c r="U426" s="15">
        <f t="shared" si="13"/>
        <v>0.1266433904002581</v>
      </c>
    </row>
    <row r="427" spans="1:21" x14ac:dyDescent="0.35">
      <c r="A427" s="10">
        <v>45323</v>
      </c>
      <c r="B427" s="2">
        <v>6.2047768868828696E-3</v>
      </c>
      <c r="C427" s="2">
        <v>0</v>
      </c>
      <c r="D427" s="2">
        <v>0</v>
      </c>
      <c r="E427" s="2">
        <v>0</v>
      </c>
      <c r="F427" s="2">
        <v>1.661817734634654E-3</v>
      </c>
      <c r="G427" s="2">
        <v>1.769957709940086E-2</v>
      </c>
      <c r="H427" s="2">
        <v>9.6619109117368901E-3</v>
      </c>
      <c r="I427" s="2">
        <v>-1.8767600128601319E-3</v>
      </c>
      <c r="J427" s="2">
        <v>2.8039273327342992E-3</v>
      </c>
      <c r="K427" s="2">
        <v>-1.1888571665252491E-2</v>
      </c>
      <c r="L427" s="2">
        <v>-4.1753714104806206E-3</v>
      </c>
      <c r="M427" s="2">
        <v>-8.759180089881578E-3</v>
      </c>
      <c r="N427" s="2">
        <v>1.0256500167189059E-2</v>
      </c>
      <c r="O427" s="2">
        <v>5.0673531556004172E-3</v>
      </c>
      <c r="P427" s="2">
        <v>-1.1560822401075969E-2</v>
      </c>
      <c r="Q427" s="15">
        <f>AVERAGE(Tableau2[[#This Row],[AWB]:[IAM]])</f>
        <v>1.0063438472418839E-3</v>
      </c>
      <c r="R427" s="15">
        <f>ABS(Tableau2[[#This Row],[Rm ]])</f>
        <v>1.0063438472418839E-3</v>
      </c>
      <c r="S427" s="15">
        <f>(Tableau2[[#This Row],[Rm ]]-Tableau2[[#Totals],[Rm ]])^2</f>
        <v>4.6091263214418562E-8</v>
      </c>
      <c r="T427" s="15">
        <f t="shared" si="12"/>
        <v>8.0893557549875067E-2</v>
      </c>
      <c r="U427" s="15">
        <f t="shared" si="13"/>
        <v>0.19980338320955207</v>
      </c>
    </row>
    <row r="428" spans="1:21" x14ac:dyDescent="0.35">
      <c r="A428" s="10">
        <v>45324</v>
      </c>
      <c r="B428" s="2">
        <v>0</v>
      </c>
      <c r="C428" s="2">
        <v>3.490404939768568E-3</v>
      </c>
      <c r="D428" s="2">
        <v>0</v>
      </c>
      <c r="E428" s="2">
        <v>-8.8370229845919114E-3</v>
      </c>
      <c r="F428" s="2">
        <v>8.8315639137124483E-3</v>
      </c>
      <c r="G428" s="2">
        <v>-5.7777800666811492E-2</v>
      </c>
      <c r="H428" s="2">
        <v>-1.420295017799339E-2</v>
      </c>
      <c r="I428" s="2">
        <v>-1.8802888648522091E-3</v>
      </c>
      <c r="J428" s="2">
        <v>3.9920212695374567E-3</v>
      </c>
      <c r="K428" s="2">
        <v>-4.8054464301781022E-2</v>
      </c>
      <c r="L428" s="2">
        <v>0</v>
      </c>
      <c r="M428" s="2">
        <v>-1.1737090549289279E-3</v>
      </c>
      <c r="N428" s="2">
        <v>1.0152371464017909E-2</v>
      </c>
      <c r="O428" s="2">
        <v>1.084810215029931E-2</v>
      </c>
      <c r="P428" s="2">
        <v>0</v>
      </c>
      <c r="Q428" s="15">
        <f>AVERAGE(Tableau2[[#This Row],[AWB]:[IAM]])</f>
        <v>-6.3074514875748845E-3</v>
      </c>
      <c r="R428" s="15">
        <f>ABS(Tableau2[[#This Row],[Rm ]])</f>
        <v>6.3074514875748845E-3</v>
      </c>
      <c r="S428" s="15">
        <f>(Tableau2[[#This Row],[Rm ]]-Tableau2[[#Totals],[Rm ]])^2</f>
        <v>5.0397314175682532E-5</v>
      </c>
      <c r="T428" s="15">
        <f t="shared" si="12"/>
        <v>0.20139790964002</v>
      </c>
      <c r="U428" s="15">
        <f t="shared" si="13"/>
        <v>8.0893557549875067E-2</v>
      </c>
    </row>
    <row r="429" spans="1:21" x14ac:dyDescent="0.35">
      <c r="A429" s="10">
        <v>45328</v>
      </c>
      <c r="B429" s="2">
        <v>1.8386626250439249E-2</v>
      </c>
      <c r="C429" s="2">
        <v>1.0571106152452169E-2</v>
      </c>
      <c r="D429" s="2">
        <v>1.285620006632919E-2</v>
      </c>
      <c r="E429" s="2">
        <v>2.066656842500697E-2</v>
      </c>
      <c r="F429" s="2">
        <v>1.472589806490964E-2</v>
      </c>
      <c r="G429" s="2">
        <v>2.9306126585499491E-2</v>
      </c>
      <c r="H429" s="2">
        <v>1.299545342085426E-3</v>
      </c>
      <c r="I429" s="2">
        <v>3.7570488777123419E-3</v>
      </c>
      <c r="J429" s="2">
        <v>-4.3921012908771399E-3</v>
      </c>
      <c r="K429" s="2">
        <v>2.9483828482324989E-2</v>
      </c>
      <c r="L429" s="2">
        <v>-4.1928782600359274E-3</v>
      </c>
      <c r="M429" s="2">
        <v>-7.6628727455691371E-3</v>
      </c>
      <c r="N429" s="2">
        <v>4.5351551653913628E-3</v>
      </c>
      <c r="O429" s="2">
        <v>0</v>
      </c>
      <c r="P429" s="2">
        <v>-1.7595761890379601E-2</v>
      </c>
      <c r="Q429" s="15">
        <f>AVERAGE(Tableau2[[#This Row],[AWB]:[IAM]])</f>
        <v>7.4496326150192685E-3</v>
      </c>
      <c r="R429" s="15">
        <f>ABS(Tableau2[[#This Row],[Rm ]])</f>
        <v>7.4496326150192685E-3</v>
      </c>
      <c r="S429" s="15">
        <f>(Tableau2[[#This Row],[Rm ]]-Tableau2[[#Totals],[Rm ]])^2</f>
        <v>4.4328664746249582E-5</v>
      </c>
      <c r="T429" s="15">
        <f t="shared" si="12"/>
        <v>0.14432214990528136</v>
      </c>
      <c r="U429" s="15">
        <f t="shared" si="13"/>
        <v>0.20139790964002</v>
      </c>
    </row>
    <row r="430" spans="1:21" x14ac:dyDescent="0.35">
      <c r="A430" s="10">
        <v>45329</v>
      </c>
      <c r="B430" s="2">
        <v>-2.8380315014849161E-3</v>
      </c>
      <c r="C430" s="2">
        <v>8.6154911851092685E-4</v>
      </c>
      <c r="D430" s="2">
        <v>1.269301392082345E-2</v>
      </c>
      <c r="E430" s="2">
        <v>5.8480558104423118E-3</v>
      </c>
      <c r="F430" s="2">
        <v>-1.6926487638355681E-2</v>
      </c>
      <c r="G430" s="2">
        <v>-2.5595547188963771E-2</v>
      </c>
      <c r="H430" s="2">
        <v>1.610340756657867E-2</v>
      </c>
      <c r="I430" s="2">
        <v>1.857638557293546E-2</v>
      </c>
      <c r="J430" s="2">
        <v>-7.6320916759245122E-3</v>
      </c>
      <c r="K430" s="2">
        <v>-3.0449545602283929E-2</v>
      </c>
      <c r="L430" s="2">
        <v>4.1928782600359578E-3</v>
      </c>
      <c r="M430" s="2">
        <v>5.899722127188322E-3</v>
      </c>
      <c r="N430" s="2">
        <v>-2.0130857326814038E-3</v>
      </c>
      <c r="O430" s="2">
        <v>0</v>
      </c>
      <c r="P430" s="2">
        <v>-1.190490250631831E-2</v>
      </c>
      <c r="Q430" s="15">
        <f>AVERAGE(Tableau2[[#This Row],[AWB]:[IAM]])</f>
        <v>-2.2123119646331613E-3</v>
      </c>
      <c r="R430" s="15">
        <f>ABS(Tableau2[[#This Row],[Rm ]])</f>
        <v>2.2123119646331613E-3</v>
      </c>
      <c r="S430" s="15">
        <f>(Tableau2[[#This Row],[Rm ]]-Tableau2[[#Totals],[Rm ]])^2</f>
        <v>9.0238180551301583E-6</v>
      </c>
      <c r="T430" s="15">
        <f t="shared" si="12"/>
        <v>0.15509905081215816</v>
      </c>
      <c r="U430" s="15">
        <f t="shared" si="13"/>
        <v>0.14432214990528136</v>
      </c>
    </row>
    <row r="431" spans="1:21" x14ac:dyDescent="0.35">
      <c r="A431" s="10">
        <v>45331</v>
      </c>
      <c r="B431" s="2">
        <v>2.3870354107225971E-2</v>
      </c>
      <c r="C431" s="2">
        <v>1.6060485309235501E-2</v>
      </c>
      <c r="D431" s="2">
        <v>-1.524065353414078E-2</v>
      </c>
      <c r="E431" s="2">
        <v>2.8823435270549109E-2</v>
      </c>
      <c r="F431" s="2">
        <v>2.7471931154370022E-3</v>
      </c>
      <c r="G431" s="2">
        <v>-1.6807118316381171E-2</v>
      </c>
      <c r="H431" s="2">
        <v>3.1897953681000808E-3</v>
      </c>
      <c r="I431" s="2">
        <v>0</v>
      </c>
      <c r="J431" s="2">
        <v>-8.0972102326193618E-3</v>
      </c>
      <c r="K431" s="2">
        <v>1.4388737452099671E-2</v>
      </c>
      <c r="L431" s="2">
        <v>2.5073143097835461E-3</v>
      </c>
      <c r="M431" s="2">
        <v>1.1696039763191239E-2</v>
      </c>
      <c r="N431" s="2">
        <v>1.2515807931830601E-2</v>
      </c>
      <c r="O431" s="2">
        <v>-1.5915455305899572E-2</v>
      </c>
      <c r="P431" s="2">
        <v>5.9701669865039747E-3</v>
      </c>
      <c r="Q431" s="15">
        <f>AVERAGE(Tableau2[[#This Row],[AWB]:[IAM]])</f>
        <v>4.3805928149943862E-3</v>
      </c>
      <c r="R431" s="15">
        <f>ABS(Tableau2[[#This Row],[Rm ]])</f>
        <v>4.3805928149943862E-3</v>
      </c>
      <c r="S431" s="15">
        <f>(Tableau2[[#This Row],[Rm ]]-Tableau2[[#Totals],[Rm ]])^2</f>
        <v>1.2880474006063726E-5</v>
      </c>
      <c r="T431" s="15">
        <f t="shared" si="12"/>
        <v>0.16383815167127511</v>
      </c>
      <c r="U431" s="15">
        <f t="shared" si="13"/>
        <v>0.15509905081215816</v>
      </c>
    </row>
    <row r="432" spans="1:21" x14ac:dyDescent="0.35">
      <c r="A432" s="10">
        <v>45334</v>
      </c>
      <c r="B432" s="2">
        <v>-4.9677201019344454E-3</v>
      </c>
      <c r="C432" s="2">
        <v>1.693480506333148E-3</v>
      </c>
      <c r="D432" s="2">
        <v>3.5290560006753839E-2</v>
      </c>
      <c r="E432" s="2">
        <v>-5.6814279270518998E-3</v>
      </c>
      <c r="F432" s="2">
        <v>4.3843125445505206E-3</v>
      </c>
      <c r="G432" s="2">
        <v>-4.822535195447334E-2</v>
      </c>
      <c r="H432" s="2">
        <v>-6.38979809877101E-3</v>
      </c>
      <c r="I432" s="2">
        <v>-1.048421567559921E-2</v>
      </c>
      <c r="J432" s="2">
        <v>0</v>
      </c>
      <c r="K432" s="2">
        <v>0</v>
      </c>
      <c r="L432" s="2">
        <v>0</v>
      </c>
      <c r="M432" s="2">
        <v>5.8122640404064882E-4</v>
      </c>
      <c r="N432" s="2">
        <v>0</v>
      </c>
      <c r="O432" s="2">
        <v>0</v>
      </c>
      <c r="P432" s="2">
        <v>2.3530497410194039E-2</v>
      </c>
      <c r="Q432" s="15">
        <f>AVERAGE(Tableau2[[#This Row],[AWB]:[IAM]])</f>
        <v>-6.8456245906384704E-4</v>
      </c>
      <c r="R432" s="15">
        <f>ABS(Tableau2[[#This Row],[Rm ]])</f>
        <v>6.8456245906384704E-4</v>
      </c>
      <c r="S432" s="15">
        <f>(Tableau2[[#This Row],[Rm ]]-Tableau2[[#Totals],[Rm ]])^2</f>
        <v>2.1792182471558495E-6</v>
      </c>
      <c r="T432" s="15">
        <f t="shared" si="12"/>
        <v>0.12205068038038062</v>
      </c>
      <c r="U432" s="15">
        <f t="shared" si="13"/>
        <v>0.16383815167127511</v>
      </c>
    </row>
    <row r="433" spans="1:21" x14ac:dyDescent="0.35">
      <c r="A433" s="10">
        <v>45335</v>
      </c>
      <c r="B433" s="2">
        <v>3.182182478462991E-3</v>
      </c>
      <c r="C433" s="2">
        <v>-1.693480506333032E-3</v>
      </c>
      <c r="D433" s="2">
        <v>1.7139575567911548E-2</v>
      </c>
      <c r="E433" s="2">
        <v>-5.7426866982668119E-3</v>
      </c>
      <c r="F433" s="2">
        <v>-8.7823313076292944E-3</v>
      </c>
      <c r="G433" s="2">
        <v>7.8740564309058656E-3</v>
      </c>
      <c r="H433" s="2">
        <v>-6.4308903302904034E-3</v>
      </c>
      <c r="I433" s="2">
        <v>-8.0921698973361426E-3</v>
      </c>
      <c r="J433" s="2">
        <v>0</v>
      </c>
      <c r="K433" s="2">
        <v>-1.1976191046715649E-2</v>
      </c>
      <c r="L433" s="2">
        <v>-8.3822787528043882E-3</v>
      </c>
      <c r="M433" s="2">
        <v>-5.812264040406975E-4</v>
      </c>
      <c r="N433" s="2">
        <v>-1.2515807931830649E-2</v>
      </c>
      <c r="O433" s="2">
        <v>5.3461642545726514E-4</v>
      </c>
      <c r="P433" s="2">
        <v>0</v>
      </c>
      <c r="Q433" s="15">
        <f>AVERAGE(Tableau2[[#This Row],[AWB]:[IAM]])</f>
        <v>-2.3644421315006264E-3</v>
      </c>
      <c r="R433" s="15">
        <f>ABS(Tableau2[[#This Row],[Rm ]])</f>
        <v>2.3644421315006264E-3</v>
      </c>
      <c r="S433" s="15">
        <f>(Tableau2[[#This Row],[Rm ]]-Tableau2[[#Totals],[Rm ]])^2</f>
        <v>9.9609496608565849E-6</v>
      </c>
      <c r="T433" s="15">
        <f t="shared" si="12"/>
        <v>8.8535709432670653E-2</v>
      </c>
      <c r="U433" s="15">
        <f t="shared" si="13"/>
        <v>0.12205068038038062</v>
      </c>
    </row>
    <row r="434" spans="1:21" x14ac:dyDescent="0.35">
      <c r="A434" s="10">
        <v>45336</v>
      </c>
      <c r="B434" s="2">
        <v>1.38902691248753E-3</v>
      </c>
      <c r="C434" s="2">
        <v>0</v>
      </c>
      <c r="D434" s="2">
        <v>-2.423524197311038E-3</v>
      </c>
      <c r="E434" s="2">
        <v>1.696020553152236E-2</v>
      </c>
      <c r="F434" s="2">
        <v>1.1027180034785501E-3</v>
      </c>
      <c r="G434" s="2">
        <v>9.7561749453646558E-3</v>
      </c>
      <c r="H434" s="2">
        <v>0</v>
      </c>
      <c r="I434" s="2">
        <v>-5.0125418235442863E-3</v>
      </c>
      <c r="J434" s="2">
        <v>8.0972102326193028E-3</v>
      </c>
      <c r="K434" s="2">
        <v>-2.1925360628965659E-2</v>
      </c>
      <c r="L434" s="2">
        <v>4.2033381706552318E-2</v>
      </c>
      <c r="M434" s="2">
        <v>-5.8309203107932096E-3</v>
      </c>
      <c r="N434" s="2">
        <v>1.0025146619378859E-2</v>
      </c>
      <c r="O434" s="2">
        <v>2.6720107039399999E-4</v>
      </c>
      <c r="P434" s="2">
        <v>0</v>
      </c>
      <c r="Q434" s="15">
        <f>AVERAGE(Tableau2[[#This Row],[AWB]:[IAM]])</f>
        <v>3.6292478707455589E-3</v>
      </c>
      <c r="R434" s="15">
        <f>ABS(Tableau2[[#This Row],[Rm ]])</f>
        <v>3.6292478707455589E-3</v>
      </c>
      <c r="S434" s="15">
        <f>(Tableau2[[#This Row],[Rm ]]-Tableau2[[#Totals],[Rm ]])^2</f>
        <v>8.0519327989661441E-6</v>
      </c>
      <c r="T434" s="15">
        <f t="shared" si="12"/>
        <v>0.13406446135072358</v>
      </c>
      <c r="U434" s="15">
        <f t="shared" si="13"/>
        <v>8.8535709432670653E-2</v>
      </c>
    </row>
    <row r="435" spans="1:21" x14ac:dyDescent="0.35">
      <c r="A435" s="10">
        <v>45338</v>
      </c>
      <c r="B435" s="2">
        <v>1.387100192680259E-3</v>
      </c>
      <c r="C435" s="2">
        <v>3.3840979842404942E-3</v>
      </c>
      <c r="D435" s="2">
        <v>-2.471613470518404E-2</v>
      </c>
      <c r="E435" s="2">
        <v>1.1093080701188271E-2</v>
      </c>
      <c r="F435" s="2">
        <v>2.3410794647623721E-2</v>
      </c>
      <c r="G435" s="2">
        <v>0.13119857663656961</v>
      </c>
      <c r="H435" s="2">
        <v>3.174869831458027E-2</v>
      </c>
      <c r="I435" s="2">
        <v>5.082207785483845E-2</v>
      </c>
      <c r="J435" s="2">
        <v>0</v>
      </c>
      <c r="K435" s="2">
        <v>3.8652154434279121E-2</v>
      </c>
      <c r="L435" s="2">
        <v>-4.1191984938360592E-2</v>
      </c>
      <c r="M435" s="2">
        <v>2.9197101033348462E-3</v>
      </c>
      <c r="N435" s="2">
        <v>2.49066131245183E-3</v>
      </c>
      <c r="O435" s="2">
        <v>2.0101179321087091E-2</v>
      </c>
      <c r="P435" s="2">
        <v>-1.1696039763191189E-2</v>
      </c>
      <c r="Q435" s="15">
        <f>AVERAGE(Tableau2[[#This Row],[AWB]:[IAM]])</f>
        <v>1.5973598139742543E-2</v>
      </c>
      <c r="R435" s="15">
        <f>ABS(Tableau2[[#This Row],[Rm ]])</f>
        <v>1.5973598139742543E-2</v>
      </c>
      <c r="S435" s="15">
        <f>(Tableau2[[#This Row],[Rm ]]-Tableau2[[#Totals],[Rm ]])^2</f>
        <v>2.3049139481713221E-4</v>
      </c>
      <c r="T435" s="15">
        <f t="shared" si="12"/>
        <v>0.37435878936497452</v>
      </c>
      <c r="U435" s="15">
        <f t="shared" si="13"/>
        <v>0.13406446135072358</v>
      </c>
    </row>
    <row r="436" spans="1:21" x14ac:dyDescent="0.35">
      <c r="A436" s="10">
        <v>45343</v>
      </c>
      <c r="B436" s="2">
        <v>1.063630275522031E-2</v>
      </c>
      <c r="C436" s="2">
        <v>1.3423020332140771E-2</v>
      </c>
      <c r="D436" s="2">
        <v>0</v>
      </c>
      <c r="E436" s="2">
        <v>3.326389449796073E-2</v>
      </c>
      <c r="F436" s="2">
        <v>-2.066209743001433E-2</v>
      </c>
      <c r="G436" s="2">
        <v>6.80966999416341E-4</v>
      </c>
      <c r="H436" s="2">
        <v>-1.2895287985732839E-2</v>
      </c>
      <c r="I436" s="2">
        <v>-1.685771408152659E-2</v>
      </c>
      <c r="J436" s="2">
        <v>-1.6260520871780291E-2</v>
      </c>
      <c r="K436" s="2">
        <v>7.0838548884050419E-3</v>
      </c>
      <c r="L436" s="2">
        <v>9.2089390853099078E-3</v>
      </c>
      <c r="M436" s="2">
        <v>5.8292044786727572E-4</v>
      </c>
      <c r="N436" s="2">
        <v>-4.9875415110390512E-3</v>
      </c>
      <c r="O436" s="2">
        <v>3.6255417023010113E-2</v>
      </c>
      <c r="P436" s="2">
        <v>2.8987536873252191E-2</v>
      </c>
      <c r="Q436" s="15">
        <f>AVERAGE(Tableau2[[#This Row],[AWB]:[IAM]])</f>
        <v>4.5639794014993044E-3</v>
      </c>
      <c r="R436" s="15">
        <f>ABS(Tableau2[[#This Row],[Rm ]])</f>
        <v>4.5639794014993044E-3</v>
      </c>
      <c r="S436" s="15">
        <f>(Tableau2[[#This Row],[Rm ]]-Tableau2[[#Totals],[Rm ]])^2</f>
        <v>1.4230430723926706E-5</v>
      </c>
      <c r="T436" s="15">
        <f t="shared" si="12"/>
        <v>0.19102689898263847</v>
      </c>
      <c r="U436" s="15">
        <f t="shared" si="13"/>
        <v>0.37435878936497452</v>
      </c>
    </row>
    <row r="437" spans="1:21" x14ac:dyDescent="0.35">
      <c r="A437" s="10">
        <v>45344</v>
      </c>
      <c r="B437" s="2">
        <v>3.1298930089277868E-3</v>
      </c>
      <c r="C437" s="2">
        <v>0</v>
      </c>
      <c r="D437" s="2">
        <v>0</v>
      </c>
      <c r="E437" s="2">
        <v>0</v>
      </c>
      <c r="F437" s="2">
        <v>1.9048616035647579E-2</v>
      </c>
      <c r="G437" s="2">
        <v>2.0549822015186531E-2</v>
      </c>
      <c r="H437" s="2">
        <v>3.1650577887261112E-4</v>
      </c>
      <c r="I437" s="2">
        <v>1.8198367169861211E-3</v>
      </c>
      <c r="J437" s="2">
        <v>8.1633106391608354E-3</v>
      </c>
      <c r="K437" s="2">
        <v>1.656787401347061E-2</v>
      </c>
      <c r="L437" s="2">
        <v>2.225060893481972E-2</v>
      </c>
      <c r="M437" s="2">
        <v>-6.4308903302904034E-3</v>
      </c>
      <c r="N437" s="2">
        <v>-1.5011261262670909E-3</v>
      </c>
      <c r="O437" s="2">
        <v>-1.5011094741869679E-2</v>
      </c>
      <c r="P437" s="2">
        <v>2.2599831917240781E-2</v>
      </c>
      <c r="Q437" s="15">
        <f>AVERAGE(Tableau2[[#This Row],[AWB]:[IAM]])</f>
        <v>6.1002125241256941E-3</v>
      </c>
      <c r="R437" s="15">
        <f>ABS(Tableau2[[#This Row],[Rm ]])</f>
        <v>6.1002125241256941E-3</v>
      </c>
      <c r="S437" s="15">
        <f>(Tableau2[[#This Row],[Rm ]]-Tableau2[[#Totals],[Rm ]])^2</f>
        <v>2.8180782049421005E-5</v>
      </c>
      <c r="T437" s="15">
        <f t="shared" si="12"/>
        <v>0.12975793205463637</v>
      </c>
      <c r="U437" s="15">
        <f t="shared" si="13"/>
        <v>0.19102689898263847</v>
      </c>
    </row>
    <row r="438" spans="1:21" x14ac:dyDescent="0.35">
      <c r="A438" s="10">
        <v>45345</v>
      </c>
      <c r="B438" s="2">
        <v>5.648082012587847E-3</v>
      </c>
      <c r="C438" s="2">
        <v>6.6445427186685108E-3</v>
      </c>
      <c r="D438" s="2">
        <v>5.0125418235444138E-3</v>
      </c>
      <c r="E438" s="2">
        <v>2.2442160872581159E-2</v>
      </c>
      <c r="F438" s="2">
        <v>0</v>
      </c>
      <c r="G438" s="2">
        <v>4.115538342149274E-2</v>
      </c>
      <c r="H438" s="2">
        <v>3.4217957310341253E-2</v>
      </c>
      <c r="I438" s="2">
        <v>3.8637792705413919E-2</v>
      </c>
      <c r="J438" s="2">
        <v>1.4528100562909809E-2</v>
      </c>
      <c r="K438" s="2">
        <v>-9.5338473560907019E-3</v>
      </c>
      <c r="L438" s="2">
        <v>1.857138558543529E-2</v>
      </c>
      <c r="M438" s="2">
        <v>1.0501846810312399E-2</v>
      </c>
      <c r="N438" s="2">
        <v>3.9980063248543926E-3</v>
      </c>
      <c r="O438" s="2">
        <v>5.1255767395850475E-4</v>
      </c>
      <c r="P438" s="2">
        <v>5.5710450494554286E-3</v>
      </c>
      <c r="Q438" s="15">
        <f>AVERAGE(Tableau2[[#This Row],[AWB]:[IAM]])</f>
        <v>1.3193837034364332E-2</v>
      </c>
      <c r="R438" s="15">
        <f>ABS(Tableau2[[#This Row],[Rm ]])</f>
        <v>1.3193837034364332E-2</v>
      </c>
      <c r="S438" s="15">
        <f>(Tableau2[[#This Row],[Rm ]]-Tableau2[[#Totals],[Rm ]])^2</f>
        <v>1.5381411702319235E-4</v>
      </c>
      <c r="T438" s="15">
        <f t="shared" si="12"/>
        <v>0.17366491065139472</v>
      </c>
      <c r="U438" s="15">
        <f t="shared" si="13"/>
        <v>0.12975793205463637</v>
      </c>
    </row>
    <row r="439" spans="1:21" x14ac:dyDescent="0.35">
      <c r="A439" s="10">
        <v>45348</v>
      </c>
      <c r="B439" s="2">
        <v>1.941936116404199E-4</v>
      </c>
      <c r="C439" s="2">
        <v>9.5568366193392769E-3</v>
      </c>
      <c r="D439" s="2">
        <v>-5.0125418235442863E-3</v>
      </c>
      <c r="E439" s="2">
        <v>-2.2442160872581191E-2</v>
      </c>
      <c r="F439" s="2">
        <v>2.689510895093779E-3</v>
      </c>
      <c r="G439" s="2">
        <v>-1.0939620038385559E-2</v>
      </c>
      <c r="H439" s="2">
        <v>1.9382799419440089E-2</v>
      </c>
      <c r="I439" s="2">
        <v>2.5900728432157391E-2</v>
      </c>
      <c r="J439" s="2">
        <v>1.601281366973828E-3</v>
      </c>
      <c r="K439" s="2">
        <v>0</v>
      </c>
      <c r="L439" s="2">
        <v>2.3716526617316061E-2</v>
      </c>
      <c r="M439" s="2">
        <v>0</v>
      </c>
      <c r="N439" s="2">
        <v>1.9930250742648632E-3</v>
      </c>
      <c r="O439" s="2">
        <v>5.366053504638606E-3</v>
      </c>
      <c r="P439" s="2">
        <v>0</v>
      </c>
      <c r="Q439" s="15">
        <f>AVERAGE(Tableau2[[#This Row],[AWB]:[IAM]])</f>
        <v>3.4671088537568855E-3</v>
      </c>
      <c r="R439" s="15">
        <f>ABS(Tableau2[[#This Row],[Rm ]])</f>
        <v>3.4671088537568855E-3</v>
      </c>
      <c r="S439" s="15">
        <f>(Tableau2[[#This Row],[Rm ]]-Tableau2[[#Totals],[Rm ]])^2</f>
        <v>7.158052851077641E-6</v>
      </c>
      <c r="T439" s="15">
        <f t="shared" si="12"/>
        <v>0.12993883238470758</v>
      </c>
      <c r="U439" s="15">
        <f t="shared" si="13"/>
        <v>0.17366491065139472</v>
      </c>
    </row>
    <row r="440" spans="1:21" x14ac:dyDescent="0.35">
      <c r="A440" s="10">
        <v>45349</v>
      </c>
      <c r="B440" s="2">
        <v>-9.7134538963189205E-4</v>
      </c>
      <c r="C440" s="2">
        <v>3.2792261320255359E-4</v>
      </c>
      <c r="D440" s="2">
        <v>0</v>
      </c>
      <c r="E440" s="2">
        <v>-7.8851895859020412E-3</v>
      </c>
      <c r="F440" s="2">
        <v>-3.2789822822990838E-2</v>
      </c>
      <c r="G440" s="2">
        <v>-4.6689492798250798E-2</v>
      </c>
      <c r="H440" s="2">
        <v>3.6517602932496701E-2</v>
      </c>
      <c r="I440" s="2">
        <v>-3.9852031109630136E-3</v>
      </c>
      <c r="J440" s="2">
        <v>-1.6129381929883641E-2</v>
      </c>
      <c r="K440" s="2">
        <v>4.6620131058113714E-3</v>
      </c>
      <c r="L440" s="2">
        <v>5.453850682463725E-3</v>
      </c>
      <c r="M440" s="2">
        <v>9.2432778263533411E-3</v>
      </c>
      <c r="N440" s="2">
        <v>-4.4899052728520792E-3</v>
      </c>
      <c r="O440" s="2">
        <v>-5.6222995021971969E-3</v>
      </c>
      <c r="P440" s="2">
        <v>0</v>
      </c>
      <c r="Q440" s="15">
        <f>AVERAGE(Tableau2[[#This Row],[AWB]:[IAM]])</f>
        <v>-4.1571982168229198E-3</v>
      </c>
      <c r="R440" s="15">
        <f>ABS(Tableau2[[#This Row],[Rm ]])</f>
        <v>4.1571982168229198E-3</v>
      </c>
      <c r="S440" s="15">
        <f>(Tableau2[[#This Row],[Rm ]]-Tableau2[[#Totals],[Rm ]])^2</f>
        <v>2.4491149035662649E-5</v>
      </c>
      <c r="T440" s="15">
        <f t="shared" si="12"/>
        <v>0.17344575355324343</v>
      </c>
      <c r="U440" s="15">
        <f t="shared" si="13"/>
        <v>0.12993883238470758</v>
      </c>
    </row>
    <row r="441" spans="1:21" x14ac:dyDescent="0.35">
      <c r="A441" s="10">
        <v>45350</v>
      </c>
      <c r="B441" s="2">
        <v>0</v>
      </c>
      <c r="C441" s="2">
        <v>1.30295002903339E-2</v>
      </c>
      <c r="D441" s="2">
        <v>1.4662797655706029E-2</v>
      </c>
      <c r="E441" s="2">
        <v>-4.3772126902432221E-3</v>
      </c>
      <c r="F441" s="2">
        <v>2.0894857865389829E-2</v>
      </c>
      <c r="G441" s="2">
        <v>-3.3955890011382718E-3</v>
      </c>
      <c r="H441" s="2">
        <v>-1.6914955638983119E-2</v>
      </c>
      <c r="I441" s="2">
        <v>-1.9004315113735851E-2</v>
      </c>
      <c r="J441" s="2">
        <v>1.218769194129425E-3</v>
      </c>
      <c r="K441" s="2">
        <v>5.7971176843259146E-3</v>
      </c>
      <c r="L441" s="2">
        <v>-3.1573261916090237E-2</v>
      </c>
      <c r="M441" s="2">
        <v>-4.0334252319025174E-3</v>
      </c>
      <c r="N441" s="2">
        <v>1.9980026626730579E-3</v>
      </c>
      <c r="O441" s="2">
        <v>1.3491359018697861E-2</v>
      </c>
      <c r="P441" s="2">
        <v>1.1049836186584941E-2</v>
      </c>
      <c r="Q441" s="15">
        <f>AVERAGE(Tableau2[[#This Row],[AWB]:[IAM]])</f>
        <v>1.895653977165155E-4</v>
      </c>
      <c r="R441" s="15">
        <f>ABS(Tableau2[[#This Row],[Rm ]])</f>
        <v>1.895653977165155E-4</v>
      </c>
      <c r="S441" s="15">
        <f>(Tableau2[[#This Row],[Rm ]]-Tableau2[[#Totals],[Rm ]])^2</f>
        <v>3.62511995511369E-7</v>
      </c>
      <c r="T441" s="15">
        <f t="shared" si="12"/>
        <v>0.15111518201594049</v>
      </c>
      <c r="U441" s="15">
        <f t="shared" si="13"/>
        <v>0.17344575355324343</v>
      </c>
    </row>
    <row r="442" spans="1:21" x14ac:dyDescent="0.35">
      <c r="A442" s="10">
        <v>45351</v>
      </c>
      <c r="B442" s="2">
        <v>-1.8637125998744428E-2</v>
      </c>
      <c r="C442" s="2">
        <v>-1.30295002903338E-2</v>
      </c>
      <c r="D442" s="2">
        <v>-1.4662797655706021E-2</v>
      </c>
      <c r="E442" s="2">
        <v>-1.5138828863662621E-2</v>
      </c>
      <c r="F442" s="2">
        <v>-2.0894857865389891E-2</v>
      </c>
      <c r="G442" s="2">
        <v>9.5000917392705692E-2</v>
      </c>
      <c r="H442" s="2">
        <v>2.350177344953673E-3</v>
      </c>
      <c r="I442" s="2">
        <v>4.5462374076757413E-2</v>
      </c>
      <c r="J442" s="2">
        <v>-1.7612578969805861E-2</v>
      </c>
      <c r="K442" s="2">
        <v>0</v>
      </c>
      <c r="L442" s="2">
        <v>-3.8419109903944787E-2</v>
      </c>
      <c r="M442" s="2">
        <v>-4.0497596569203046E-3</v>
      </c>
      <c r="N442" s="2">
        <v>-2.498127704355365E-3</v>
      </c>
      <c r="O442" s="2">
        <v>-1.914544758443509E-2</v>
      </c>
      <c r="P442" s="2">
        <v>0</v>
      </c>
      <c r="Q442" s="15">
        <f>AVERAGE(Tableau2[[#This Row],[AWB]:[IAM]])</f>
        <v>-1.4183110452587596E-3</v>
      </c>
      <c r="R442" s="15">
        <f>ABS(Tableau2[[#This Row],[Rm ]])</f>
        <v>1.4183110452587596E-3</v>
      </c>
      <c r="S442" s="15">
        <f>(Tableau2[[#This Row],[Rm ]]-Tableau2[[#Totals],[Rm ]])^2</f>
        <v>4.8839503114929969E-6</v>
      </c>
      <c r="T442" s="15">
        <f t="shared" si="12"/>
        <v>0.29848629110584629</v>
      </c>
      <c r="U442" s="15">
        <f t="shared" si="13"/>
        <v>0.15111518201594049</v>
      </c>
    </row>
    <row r="443" spans="1:21" x14ac:dyDescent="0.35">
      <c r="A443" s="10">
        <v>45352</v>
      </c>
      <c r="B443" s="2">
        <v>-9.9058948169617931E-4</v>
      </c>
      <c r="C443" s="2">
        <v>-9.8847592325419734E-3</v>
      </c>
      <c r="D443" s="2">
        <v>0</v>
      </c>
      <c r="E443" s="2">
        <v>1.379446606739234E-2</v>
      </c>
      <c r="F443" s="2">
        <v>2.1436108941774879E-2</v>
      </c>
      <c r="G443" s="2">
        <v>2.0511969729138609E-2</v>
      </c>
      <c r="H443" s="2">
        <v>-4.4111231649762274E-3</v>
      </c>
      <c r="I443" s="2">
        <v>2.1978906718775171E-2</v>
      </c>
      <c r="J443" s="2">
        <v>2.2876814653754612E-2</v>
      </c>
      <c r="K443" s="2">
        <v>0</v>
      </c>
      <c r="L443" s="2">
        <v>0</v>
      </c>
      <c r="M443" s="2">
        <v>0</v>
      </c>
      <c r="N443" s="2">
        <v>-1.309182847778468E-2</v>
      </c>
      <c r="O443" s="2">
        <v>0</v>
      </c>
      <c r="P443" s="2">
        <v>-1.1049836186584941E-2</v>
      </c>
      <c r="Q443" s="15">
        <f>AVERAGE(Tableau2[[#This Row],[AWB]:[IAM]])</f>
        <v>4.0780086378167735E-3</v>
      </c>
      <c r="R443" s="15">
        <f>ABS(Tableau2[[#This Row],[Rm ]])</f>
        <v>4.0780086378167735E-3</v>
      </c>
      <c r="S443" s="15">
        <f>(Tableau2[[#This Row],[Rm ]]-Tableau2[[#Totals],[Rm ]])^2</f>
        <v>1.0800119652397192E-5</v>
      </c>
      <c r="T443" s="15">
        <f t="shared" si="12"/>
        <v>0.14629712400739522</v>
      </c>
      <c r="U443" s="15">
        <f t="shared" si="13"/>
        <v>0.29848629110584629</v>
      </c>
    </row>
    <row r="444" spans="1:21" x14ac:dyDescent="0.35">
      <c r="A444" s="10">
        <v>45356</v>
      </c>
      <c r="B444" s="2">
        <v>-8.9597413714718691E-3</v>
      </c>
      <c r="C444" s="2">
        <v>0</v>
      </c>
      <c r="D444" s="2">
        <v>-1.004982313802958E-2</v>
      </c>
      <c r="E444" s="2">
        <v>1.3606765072415501E-2</v>
      </c>
      <c r="F444" s="2">
        <v>-3.8240358900018687E-2</v>
      </c>
      <c r="G444" s="2">
        <v>9.5310179804324741E-2</v>
      </c>
      <c r="H444" s="2">
        <v>4.523311768523125E-2</v>
      </c>
      <c r="I444" s="2">
        <v>5.8063800954761331E-2</v>
      </c>
      <c r="J444" s="2">
        <v>-6.4830048780781541E-3</v>
      </c>
      <c r="K444" s="2">
        <v>-5.7971176843259571E-3</v>
      </c>
      <c r="L444" s="2">
        <v>0</v>
      </c>
      <c r="M444" s="2">
        <v>1.38171455531419E-2</v>
      </c>
      <c r="N444" s="2">
        <v>1.359195351946707E-2</v>
      </c>
      <c r="O444" s="2">
        <v>5.1413995004186523E-3</v>
      </c>
      <c r="P444" s="2">
        <v>4.3485111939738891E-2</v>
      </c>
      <c r="Q444" s="15">
        <f>AVERAGE(Tableau2[[#This Row],[AWB]:[IAM]])</f>
        <v>1.4581295203838338E-2</v>
      </c>
      <c r="R444" s="15">
        <f>ABS(Tableau2[[#This Row],[Rm ]])</f>
        <v>1.4581295203838338E-2</v>
      </c>
      <c r="S444" s="15">
        <f>(Tableau2[[#This Row],[Rm ]]-Tableau2[[#Totals],[Rm ]])^2</f>
        <v>1.901541745159622E-4</v>
      </c>
      <c r="T444" s="15">
        <f t="shared" si="12"/>
        <v>0.34055716351723181</v>
      </c>
      <c r="U444" s="15">
        <f t="shared" si="13"/>
        <v>0.14629712400739522</v>
      </c>
    </row>
    <row r="445" spans="1:21" x14ac:dyDescent="0.35">
      <c r="A445" s="10">
        <v>45357</v>
      </c>
      <c r="B445" s="2">
        <v>-6.0180723255630212E-3</v>
      </c>
      <c r="C445" s="2">
        <v>-6.6445427186686131E-3</v>
      </c>
      <c r="D445" s="2">
        <v>-1.0151848285236039E-2</v>
      </c>
      <c r="E445" s="2">
        <v>0</v>
      </c>
      <c r="F445" s="2">
        <v>-5.101450336685312E-3</v>
      </c>
      <c r="G445" s="2">
        <v>2.7510333718900192E-3</v>
      </c>
      <c r="H445" s="2">
        <v>2.8129413766146581E-3</v>
      </c>
      <c r="I445" s="2">
        <v>-1.550418653596531E-2</v>
      </c>
      <c r="J445" s="2">
        <v>0</v>
      </c>
      <c r="K445" s="2">
        <v>-2.9740214044507721E-2</v>
      </c>
      <c r="L445" s="2">
        <v>0</v>
      </c>
      <c r="M445" s="2">
        <v>5.7012697189561994E-3</v>
      </c>
      <c r="N445" s="2">
        <v>-2.0202707317519469E-2</v>
      </c>
      <c r="O445" s="2">
        <v>0</v>
      </c>
      <c r="P445" s="2">
        <v>-1.6086137751624381E-2</v>
      </c>
      <c r="Q445" s="15">
        <f>AVERAGE(Tableau2[[#This Row],[AWB]:[IAM]])</f>
        <v>-6.5455943232205997E-3</v>
      </c>
      <c r="R445" s="15">
        <f>ABS(Tableau2[[#This Row],[Rm ]])</f>
        <v>6.5455943232205997E-3</v>
      </c>
      <c r="S445" s="15">
        <f>(Tableau2[[#This Row],[Rm ]]-Tableau2[[#Totals],[Rm ]])^2</f>
        <v>5.3835228926913656E-5</v>
      </c>
      <c r="T445" s="15">
        <f t="shared" si="12"/>
        <v>0.10920763422855234</v>
      </c>
      <c r="U445" s="15">
        <f t="shared" si="13"/>
        <v>0.34055716351723181</v>
      </c>
    </row>
    <row r="446" spans="1:21" x14ac:dyDescent="0.35">
      <c r="A446" s="10">
        <v>45359</v>
      </c>
      <c r="B446" s="2">
        <v>-4.0322635279384511E-3</v>
      </c>
      <c r="C446" s="2">
        <v>-1.342302033214066E-2</v>
      </c>
      <c r="D446" s="2">
        <v>3.5674623570567349E-3</v>
      </c>
      <c r="E446" s="2">
        <v>-1.360676507241548E-2</v>
      </c>
      <c r="F446" s="2">
        <v>5.1014503366853224E-3</v>
      </c>
      <c r="G446" s="2">
        <v>-4.1293933420111784E-3</v>
      </c>
      <c r="H446" s="2">
        <v>-1.1299555253933389E-2</v>
      </c>
      <c r="I446" s="2">
        <v>-1.6277597520317651E-2</v>
      </c>
      <c r="J446" s="2">
        <v>-7.7535585334483894E-3</v>
      </c>
      <c r="K446" s="2">
        <v>1.8044174281316459E-2</v>
      </c>
      <c r="L446" s="2">
        <v>1.6529301951210509E-2</v>
      </c>
      <c r="M446" s="2">
        <v>-3.4117214693250693E-2</v>
      </c>
      <c r="N446" s="2">
        <v>2.0202707317519469E-2</v>
      </c>
      <c r="O446" s="2">
        <v>-4.6260683887823029E-3</v>
      </c>
      <c r="P446" s="2">
        <v>-5.4200674693392556E-3</v>
      </c>
      <c r="Q446" s="15">
        <f>AVERAGE(Tableau2[[#This Row],[AWB]:[IAM]])</f>
        <v>-3.4160271926525969E-3</v>
      </c>
      <c r="R446" s="15">
        <f>ABS(Tableau2[[#This Row],[Rm ]])</f>
        <v>3.4160271926525969E-3</v>
      </c>
      <c r="S446" s="15">
        <f>(Tableau2[[#This Row],[Rm ]]-Tableau2[[#Totals],[Rm ]])^2</f>
        <v>1.7704590177473568E-5</v>
      </c>
      <c r="T446" s="15">
        <f t="shared" si="12"/>
        <v>0.15918002682252874</v>
      </c>
      <c r="U446" s="15">
        <f t="shared" si="13"/>
        <v>0.10920763422855234</v>
      </c>
    </row>
    <row r="447" spans="1:21" x14ac:dyDescent="0.35">
      <c r="A447" s="10">
        <v>45363</v>
      </c>
      <c r="B447" s="2">
        <v>-4.0485885260002196E-3</v>
      </c>
      <c r="C447" s="2">
        <v>-6.4396087641109909E-3</v>
      </c>
      <c r="D447" s="2">
        <v>-8.6562676059615592E-3</v>
      </c>
      <c r="E447" s="2">
        <v>5.4485603051737047E-3</v>
      </c>
      <c r="F447" s="2">
        <v>9.6142509707026393E-3</v>
      </c>
      <c r="G447" s="2">
        <v>-4.8031831087004942E-2</v>
      </c>
      <c r="H447" s="2">
        <v>1.703094365672766E-3</v>
      </c>
      <c r="I447" s="2">
        <v>1.5868821103141981E-3</v>
      </c>
      <c r="J447" s="2">
        <v>7.7535585334483738E-3</v>
      </c>
      <c r="K447" s="2">
        <v>0</v>
      </c>
      <c r="L447" s="2">
        <v>-1.6529301951210579E-2</v>
      </c>
      <c r="M447" s="2">
        <v>0</v>
      </c>
      <c r="N447" s="2">
        <v>-1.765493523872071E-2</v>
      </c>
      <c r="O447" s="2">
        <v>-5.1533111163642954E-4</v>
      </c>
      <c r="P447" s="2">
        <v>-1.643872634315972E-2</v>
      </c>
      <c r="Q447" s="15">
        <f>AVERAGE(Tableau2[[#This Row],[AWB]:[IAM]])</f>
        <v>-6.1472162894995646E-3</v>
      </c>
      <c r="R447" s="15">
        <f>ABS(Tableau2[[#This Row],[Rm ]])</f>
        <v>6.1472162894995646E-3</v>
      </c>
      <c r="S447" s="15">
        <f>(Tableau2[[#This Row],[Rm ]]-Tableau2[[#Totals],[Rm ]])^2</f>
        <v>4.814793599769735E-5</v>
      </c>
      <c r="T447" s="15">
        <f t="shared" si="12"/>
        <v>0.14412933712292611</v>
      </c>
      <c r="U447" s="15">
        <f t="shared" si="13"/>
        <v>0.15918002682252874</v>
      </c>
    </row>
    <row r="448" spans="1:21" x14ac:dyDescent="0.35">
      <c r="A448" s="10">
        <v>45364</v>
      </c>
      <c r="B448" s="2">
        <v>1.6296507922988972E-2</v>
      </c>
      <c r="C448" s="2">
        <v>6.439608764111036E-3</v>
      </c>
      <c r="D448" s="2">
        <v>2.6026078277183791E-4</v>
      </c>
      <c r="E448" s="2">
        <v>0</v>
      </c>
      <c r="F448" s="2">
        <v>-2.8449521322312511E-3</v>
      </c>
      <c r="G448" s="2">
        <v>-1.663543396989298E-2</v>
      </c>
      <c r="H448" s="2">
        <v>8.5046071745429382E-4</v>
      </c>
      <c r="I448" s="2">
        <v>4.2194155427080684E-3</v>
      </c>
      <c r="J448" s="2">
        <v>-8.1633106391609811E-3</v>
      </c>
      <c r="K448" s="2">
        <v>0</v>
      </c>
      <c r="L448" s="2">
        <v>0</v>
      </c>
      <c r="M448" s="2">
        <v>2.9368596733097062E-3</v>
      </c>
      <c r="N448" s="2">
        <v>2.5412974286725481E-3</v>
      </c>
      <c r="O448" s="2">
        <v>-5.1679701584425612E-3</v>
      </c>
      <c r="P448" s="2">
        <v>-5.540180375615468E-3</v>
      </c>
      <c r="Q448" s="15">
        <f>AVERAGE(Tableau2[[#This Row],[AWB]:[IAM]])</f>
        <v>-3.2049576288845186E-4</v>
      </c>
      <c r="R448" s="15">
        <f>ABS(Tableau2[[#This Row],[Rm ]])</f>
        <v>3.2049576288845186E-4</v>
      </c>
      <c r="S448" s="15">
        <f>(Tableau2[[#This Row],[Rm ]]-Tableau2[[#Totals],[Rm ]])^2</f>
        <v>1.236879515807423E-6</v>
      </c>
      <c r="T448" s="15">
        <f t="shared" si="12"/>
        <v>6.8627031283256743E-2</v>
      </c>
      <c r="U448" s="15">
        <f t="shared" si="13"/>
        <v>0.14412933712292611</v>
      </c>
    </row>
    <row r="449" spans="1:21" x14ac:dyDescent="0.35">
      <c r="A449" s="10">
        <v>45365</v>
      </c>
      <c r="B449" s="2">
        <v>1.1705321625504131E-2</v>
      </c>
      <c r="C449" s="2">
        <v>3.3778078348518692E-4</v>
      </c>
      <c r="D449" s="2">
        <v>7.4149311758619557E-3</v>
      </c>
      <c r="E449" s="2">
        <v>-2.7308973898497441E-4</v>
      </c>
      <c r="F449" s="2">
        <v>2.8449521322313452E-3</v>
      </c>
      <c r="G449" s="2">
        <v>2.8432434543548862E-2</v>
      </c>
      <c r="H449" s="2">
        <v>1.155105109841484E-2</v>
      </c>
      <c r="I449" s="2">
        <v>1.46293100159591E-2</v>
      </c>
      <c r="J449" s="2">
        <v>0</v>
      </c>
      <c r="K449" s="2">
        <v>0</v>
      </c>
      <c r="L449" s="2">
        <v>1.5709293705179879E-2</v>
      </c>
      <c r="M449" s="2">
        <v>2.9282597790883601E-3</v>
      </c>
      <c r="N449" s="2">
        <v>1.361251168378097E-2</v>
      </c>
      <c r="O449" s="2">
        <v>-5.1948168771040228E-3</v>
      </c>
      <c r="P449" s="2">
        <v>0</v>
      </c>
      <c r="Q449" s="15">
        <f>AVERAGE(Tableau2[[#This Row],[AWB]:[IAM]])</f>
        <v>6.9131959951310423E-3</v>
      </c>
      <c r="R449" s="15">
        <f>ABS(Tableau2[[#This Row],[Rm ]])</f>
        <v>6.9131959951310423E-3</v>
      </c>
      <c r="S449" s="15">
        <f>(Tableau2[[#This Row],[Rm ]]-Tableau2[[#Totals],[Rm ]])^2</f>
        <v>3.7473263073960543E-5</v>
      </c>
      <c r="T449" s="15">
        <f t="shared" si="12"/>
        <v>0.10287264750254257</v>
      </c>
      <c r="U449" s="15">
        <f t="shared" si="13"/>
        <v>6.8627031283256743E-2</v>
      </c>
    </row>
    <row r="450" spans="1:21" x14ac:dyDescent="0.35">
      <c r="A450" s="10">
        <v>45366</v>
      </c>
      <c r="B450" s="2">
        <v>1.3712261863982011E-2</v>
      </c>
      <c r="C450" s="2">
        <v>9.7463382831408339E-3</v>
      </c>
      <c r="D450" s="2">
        <v>1.262850458487871E-2</v>
      </c>
      <c r="E450" s="2">
        <v>2.7308973898485401E-4</v>
      </c>
      <c r="F450" s="2">
        <v>0</v>
      </c>
      <c r="G450" s="2">
        <v>1.5328145694035429E-2</v>
      </c>
      <c r="H450" s="2">
        <v>3.0347156389291741E-2</v>
      </c>
      <c r="I450" s="2">
        <v>3.666398437159131E-2</v>
      </c>
      <c r="J450" s="2">
        <v>8.1633106391608354E-3</v>
      </c>
      <c r="K450" s="2">
        <v>1.1696039763191239E-2</v>
      </c>
      <c r="L450" s="2">
        <v>-1.6420364937442991E-3</v>
      </c>
      <c r="M450" s="2">
        <v>1.7391742711869239E-2</v>
      </c>
      <c r="N450" s="2">
        <v>1.5011261262671909E-3</v>
      </c>
      <c r="O450" s="2">
        <v>0</v>
      </c>
      <c r="P450" s="2">
        <v>0</v>
      </c>
      <c r="Q450" s="15">
        <f>AVERAGE(Tableau2[[#This Row],[AWB]:[IAM]])</f>
        <v>1.0387310911509939E-2</v>
      </c>
      <c r="R450" s="15">
        <f>ABS(Tableau2[[#This Row],[Rm ]])</f>
        <v>1.0387310911509939E-2</v>
      </c>
      <c r="S450" s="15">
        <f>(Tableau2[[#This Row],[Rm ]]-Tableau2[[#Totals],[Rm ]])^2</f>
        <v>9.2076610677431844E-5</v>
      </c>
      <c r="T450" s="15">
        <f t="shared" si="12"/>
        <v>0.12041849447913093</v>
      </c>
      <c r="U450" s="15">
        <f t="shared" si="13"/>
        <v>0.10287264750254257</v>
      </c>
    </row>
    <row r="451" spans="1:21" x14ac:dyDescent="0.35">
      <c r="A451" s="10">
        <v>45370</v>
      </c>
      <c r="B451" s="2">
        <v>-1.3712261863981889E-2</v>
      </c>
      <c r="C451" s="2">
        <v>-1.0084119066626049E-2</v>
      </c>
      <c r="D451" s="2">
        <v>-5.0630430093716186E-3</v>
      </c>
      <c r="E451" s="2">
        <v>-1.8964707417248719E-2</v>
      </c>
      <c r="F451" s="2">
        <v>6.7950431328288076E-3</v>
      </c>
      <c r="G451" s="2">
        <v>2.7505553966986299E-2</v>
      </c>
      <c r="H451" s="2">
        <v>3.7337670437644313E-2</v>
      </c>
      <c r="I451" s="2">
        <v>8.6177696241052412E-2</v>
      </c>
      <c r="J451" s="2">
        <v>-4.0733253876357864E-3</v>
      </c>
      <c r="K451" s="2">
        <v>0</v>
      </c>
      <c r="L451" s="2">
        <v>2.4620447397751249E-3</v>
      </c>
      <c r="M451" s="2">
        <v>-2.032000249095749E-2</v>
      </c>
      <c r="N451" s="2">
        <v>-5.5151806881101112E-3</v>
      </c>
      <c r="O451" s="2">
        <v>0</v>
      </c>
      <c r="P451" s="2">
        <v>0</v>
      </c>
      <c r="Q451" s="15">
        <f>AVERAGE(Tableau2[[#This Row],[AWB]:[IAM]])</f>
        <v>5.5030245729570208E-3</v>
      </c>
      <c r="R451" s="15">
        <f>ABS(Tableau2[[#This Row],[Rm ]])</f>
        <v>5.5030245729570208E-3</v>
      </c>
      <c r="S451" s="15">
        <f>(Tableau2[[#This Row],[Rm ]]-Tableau2[[#Totals],[Rm ]])^2</f>
        <v>2.2197002420922516E-5</v>
      </c>
      <c r="T451" s="15">
        <f t="shared" ref="T451:T514" si="14">(ABS(B451-$Q451)+ABS(C451-$Q451)+ABS(D451-$Q451)+ABS(E451-$Q451)+ABS(F451-$Q451)+ABS(G451-$Q451)+ABS(H451-$Q451)+ABS(I451-$Q451)+ABS(J451-$Q451)+ABS(K451-$Q451)+ABS(L451-$Q451)+ABS(M451-$Q451)+ABS(N451-$Q451)+ABS(O451-$Q451)+ABS(P451-$Q451)/15)</f>
        <v>0.26647157470527433</v>
      </c>
      <c r="U451" s="15">
        <f t="shared" si="13"/>
        <v>0.12041849447913093</v>
      </c>
    </row>
    <row r="452" spans="1:21" x14ac:dyDescent="0.35">
      <c r="A452" s="10">
        <v>45371</v>
      </c>
      <c r="B452" s="2">
        <v>-6.7287014209910286E-3</v>
      </c>
      <c r="C452" s="2">
        <v>-1.29209550074613E-2</v>
      </c>
      <c r="D452" s="2">
        <v>-1.1914420022001229E-2</v>
      </c>
      <c r="E452" s="2">
        <v>1.351614711207502E-2</v>
      </c>
      <c r="F452" s="2">
        <v>-3.958161797629112E-3</v>
      </c>
      <c r="G452" s="2">
        <v>-1.407502192596932E-2</v>
      </c>
      <c r="H452" s="2">
        <v>-3.1917602968305092E-2</v>
      </c>
      <c r="I452" s="2">
        <v>-3.7387532071620329E-2</v>
      </c>
      <c r="J452" s="2">
        <v>4.0733253876358688E-3</v>
      </c>
      <c r="K452" s="2">
        <v>0</v>
      </c>
      <c r="L452" s="2">
        <v>0</v>
      </c>
      <c r="M452" s="2">
        <v>2.9282597790883601E-3</v>
      </c>
      <c r="N452" s="2">
        <v>0</v>
      </c>
      <c r="O452" s="2">
        <v>5.19481687710393E-3</v>
      </c>
      <c r="P452" s="2">
        <v>0</v>
      </c>
      <c r="Q452" s="15">
        <f>AVERAGE(Tableau2[[#This Row],[AWB]:[IAM]])</f>
        <v>-6.2126564038716145E-3</v>
      </c>
      <c r="R452" s="15">
        <f>ABS(Tableau2[[#This Row],[Rm ]])</f>
        <v>6.2126564038716145E-3</v>
      </c>
      <c r="S452" s="15">
        <f>(Tableau2[[#This Row],[Rm ]]-Tableau2[[#Totals],[Rm ]])^2</f>
        <v>4.9060379479419155E-5</v>
      </c>
      <c r="T452" s="15">
        <f t="shared" si="14"/>
        <v>0.14953811067595701</v>
      </c>
      <c r="U452" s="15">
        <f t="shared" ref="U452:U515" si="15">T451</f>
        <v>0.26647157470527433</v>
      </c>
    </row>
    <row r="453" spans="1:21" x14ac:dyDescent="0.35">
      <c r="A453" s="10">
        <v>45379</v>
      </c>
      <c r="B453" s="2">
        <v>8.6991454082896713E-3</v>
      </c>
      <c r="C453" s="2">
        <v>4.4391399515520879E-3</v>
      </c>
      <c r="D453" s="2">
        <v>-3.3262335121396259E-3</v>
      </c>
      <c r="E453" s="2">
        <v>4.9023062288258562E-3</v>
      </c>
      <c r="F453" s="2">
        <v>-2.0029281875572531E-2</v>
      </c>
      <c r="G453" s="2">
        <v>-4.4906664143034333E-2</v>
      </c>
      <c r="H453" s="2">
        <v>5.7758834152192469E-2</v>
      </c>
      <c r="I453" s="2">
        <v>2.3530497410194039E-2</v>
      </c>
      <c r="J453" s="2">
        <v>8.0972102326193028E-3</v>
      </c>
      <c r="K453" s="2">
        <v>-1.16960397631913E-2</v>
      </c>
      <c r="L453" s="2">
        <v>-1.6529301951210579E-2</v>
      </c>
      <c r="M453" s="2">
        <v>0</v>
      </c>
      <c r="N453" s="2">
        <v>-4.5351551653912622E-3</v>
      </c>
      <c r="O453" s="2">
        <v>4.2602791379576392E-2</v>
      </c>
      <c r="P453" s="2">
        <v>1.1049836186584941E-2</v>
      </c>
      <c r="Q453" s="15">
        <f>AVERAGE(Tableau2[[#This Row],[AWB]:[IAM]])</f>
        <v>4.003805635953009E-3</v>
      </c>
      <c r="R453" s="15">
        <f>ABS(Tableau2[[#This Row],[Rm ]])</f>
        <v>4.003805635953009E-3</v>
      </c>
      <c r="S453" s="15">
        <f>(Tableau2[[#This Row],[Rm ]]-Tableau2[[#Totals],[Rm ]])^2</f>
        <v>1.0317911140763771E-5</v>
      </c>
      <c r="T453" s="15">
        <f t="shared" si="14"/>
        <v>0.2515223365438316</v>
      </c>
      <c r="U453" s="15">
        <f t="shared" si="15"/>
        <v>0.14953811067595701</v>
      </c>
    </row>
    <row r="454" spans="1:21" x14ac:dyDescent="0.35">
      <c r="A454" s="10">
        <v>45387</v>
      </c>
      <c r="B454" s="2">
        <v>-5.9230183031220556E-3</v>
      </c>
      <c r="C454" s="2">
        <v>-5.1238369998693953E-3</v>
      </c>
      <c r="D454" s="2">
        <v>1.0203377398332811E-2</v>
      </c>
      <c r="E454" s="2">
        <v>4.8421924630007447E-2</v>
      </c>
      <c r="F454" s="2">
        <v>3.129700672191478E-2</v>
      </c>
      <c r="G454" s="2">
        <v>0.26838367847372829</v>
      </c>
      <c r="H454" s="2">
        <v>0.1941560144409574</v>
      </c>
      <c r="I454" s="2">
        <v>0.17765954368814321</v>
      </c>
      <c r="J454" s="2">
        <v>2.390552085355439E-2</v>
      </c>
      <c r="K454" s="2">
        <v>-1.18344576470028E-2</v>
      </c>
      <c r="L454" s="2">
        <v>4.08219945202552E-2</v>
      </c>
      <c r="M454" s="2">
        <v>-5.8651194523981339E-3</v>
      </c>
      <c r="N454" s="2">
        <v>-1.015237146401796E-2</v>
      </c>
      <c r="O454" s="2">
        <v>-2.208925154647344E-2</v>
      </c>
      <c r="P454" s="2">
        <v>-3.3522692038643449E-2</v>
      </c>
      <c r="Q454" s="15">
        <f>AVERAGE(Tableau2[[#This Row],[AWB]:[IAM]])</f>
        <v>4.6689220885024432E-2</v>
      </c>
      <c r="R454" s="15">
        <f>ABS(Tableau2[[#This Row],[Rm ]])</f>
        <v>4.6689220885024432E-2</v>
      </c>
      <c r="S454" s="15">
        <f>(Tableau2[[#This Row],[Rm ]]-Tableau2[[#Totals],[Rm ]])^2</f>
        <v>2.1065865460643089E-3</v>
      </c>
      <c r="T454" s="15">
        <f t="shared" si="14"/>
        <v>0.92886410332338742</v>
      </c>
      <c r="U454" s="15">
        <f t="shared" si="15"/>
        <v>0.2515223365438316</v>
      </c>
    </row>
    <row r="455" spans="1:21" x14ac:dyDescent="0.35">
      <c r="A455" s="10">
        <v>45390</v>
      </c>
      <c r="B455" s="2">
        <v>3.9525743158233418E-3</v>
      </c>
      <c r="C455" s="2">
        <v>5.9752631900870214E-3</v>
      </c>
      <c r="D455" s="2">
        <v>0</v>
      </c>
      <c r="E455" s="2">
        <v>-2.5801757886545372E-3</v>
      </c>
      <c r="F455" s="2">
        <v>3.4144285985500608E-2</v>
      </c>
      <c r="G455" s="2">
        <v>9.5128304671206199E-2</v>
      </c>
      <c r="H455" s="2">
        <v>9.5119176079171627E-2</v>
      </c>
      <c r="I455" s="2">
        <v>9.5026933803280908E-2</v>
      </c>
      <c r="J455" s="2">
        <v>-1.576044455465766E-3</v>
      </c>
      <c r="K455" s="2">
        <v>0</v>
      </c>
      <c r="L455" s="2">
        <v>-8.003201707691552E-4</v>
      </c>
      <c r="M455" s="2">
        <v>5.88062351554223E-4</v>
      </c>
      <c r="N455" s="2">
        <v>0</v>
      </c>
      <c r="O455" s="2">
        <v>6.5773067877619058E-3</v>
      </c>
      <c r="P455" s="2">
        <v>0</v>
      </c>
      <c r="Q455" s="15">
        <f>AVERAGE(Tableau2[[#This Row],[AWB]:[IAM]])</f>
        <v>2.210369111796643E-2</v>
      </c>
      <c r="R455" s="15">
        <f>ABS(Tableau2[[#This Row],[Rm ]])</f>
        <v>2.210369111796643E-2</v>
      </c>
      <c r="S455" s="15">
        <f>(Tableau2[[#This Row],[Rm ]]-Tableau2[[#Totals],[Rm ]])^2</f>
        <v>4.542028797296425E-4</v>
      </c>
      <c r="T455" s="15">
        <f t="shared" si="14"/>
        <v>0.44137776042448534</v>
      </c>
      <c r="U455" s="15">
        <f t="shared" si="15"/>
        <v>0.92886410332338742</v>
      </c>
    </row>
    <row r="456" spans="1:21" x14ac:dyDescent="0.35">
      <c r="A456" s="10">
        <v>45397</v>
      </c>
      <c r="B456" s="2">
        <v>-2.5673955052458088E-3</v>
      </c>
      <c r="C456" s="2">
        <v>7.6303888656917328E-3</v>
      </c>
      <c r="D456" s="2">
        <v>1.137482162454926E-2</v>
      </c>
      <c r="E456" s="2">
        <v>-1.3107449185417839E-2</v>
      </c>
      <c r="F456" s="2">
        <v>7.808335321657528E-2</v>
      </c>
      <c r="G456" s="2">
        <v>0.1904399549002658</v>
      </c>
      <c r="H456" s="2">
        <v>6.7399753418603381E-2</v>
      </c>
      <c r="I456" s="2">
        <v>0.19031595629532769</v>
      </c>
      <c r="J456" s="2">
        <v>5.2987442104771833E-2</v>
      </c>
      <c r="K456" s="2">
        <v>-8.3682496705165792E-3</v>
      </c>
      <c r="L456" s="2">
        <v>3.229898723014011E-2</v>
      </c>
      <c r="M456" s="2">
        <v>1.2270092591814399E-2</v>
      </c>
      <c r="N456" s="2">
        <v>5.0890695074712281E-3</v>
      </c>
      <c r="O456" s="2">
        <v>-6.5773067877618512E-3</v>
      </c>
      <c r="P456" s="2">
        <v>-3.4685557987890102E-2</v>
      </c>
      <c r="Q456" s="15">
        <f>AVERAGE(Tableau2[[#This Row],[AWB]:[IAM]])</f>
        <v>3.8838924041225249E-2</v>
      </c>
      <c r="R456" s="15">
        <f>ABS(Tableau2[[#This Row],[Rm ]])</f>
        <v>3.8838924041225249E-2</v>
      </c>
      <c r="S456" s="15">
        <f>(Tableau2[[#This Row],[Rm ]]-Tableau2[[#Totals],[Rm ]])^2</f>
        <v>1.447594674775948E-3</v>
      </c>
      <c r="T456" s="15">
        <f t="shared" si="14"/>
        <v>0.70144082956499476</v>
      </c>
      <c r="U456" s="15">
        <f t="shared" si="15"/>
        <v>0.44137776042448534</v>
      </c>
    </row>
    <row r="457" spans="1:21" x14ac:dyDescent="0.35">
      <c r="A457" s="10">
        <v>45400</v>
      </c>
      <c r="B457" s="2">
        <v>5.9306120152819678E-4</v>
      </c>
      <c r="C457" s="2">
        <v>-1.36056520557786E-2</v>
      </c>
      <c r="D457" s="2">
        <v>-1.137482162454927E-2</v>
      </c>
      <c r="E457" s="2">
        <v>-2.4029840812345469E-2</v>
      </c>
      <c r="F457" s="2">
        <v>9.7265748110646463E-2</v>
      </c>
      <c r="G457" s="2">
        <v>9.7646239601872742E-2</v>
      </c>
      <c r="H457" s="2">
        <v>-0.1061544815590027</v>
      </c>
      <c r="I457" s="2">
        <v>5.8003749911356428E-2</v>
      </c>
      <c r="J457" s="2">
        <v>2.2413158430139172E-3</v>
      </c>
      <c r="K457" s="2">
        <v>8.3682496705165792E-3</v>
      </c>
      <c r="L457" s="2">
        <v>3.0536723860081699E-2</v>
      </c>
      <c r="M457" s="2">
        <v>1.898245091229003E-2</v>
      </c>
      <c r="N457" s="2">
        <v>2.506396866321622E-2</v>
      </c>
      <c r="O457" s="2">
        <v>4.8107448141510604E-3</v>
      </c>
      <c r="P457" s="2">
        <v>-2.985296314968116E-2</v>
      </c>
      <c r="Q457" s="15">
        <f>AVERAGE(Tableau2[[#This Row],[AWB]:[IAM]])</f>
        <v>1.056629955915441E-2</v>
      </c>
      <c r="R457" s="15">
        <f>ABS(Tableau2[[#This Row],[Rm ]])</f>
        <v>1.056629955915441E-2</v>
      </c>
      <c r="S457" s="15">
        <f>(Tableau2[[#This Row],[Rm ]]-Tableau2[[#Totals],[Rm ]])^2</f>
        <v>9.5543674531532385E-5</v>
      </c>
      <c r="T457" s="15">
        <f t="shared" si="14"/>
        <v>0.49047752221416097</v>
      </c>
      <c r="U457" s="15">
        <f t="shared" si="15"/>
        <v>0.70144082956499476</v>
      </c>
    </row>
    <row r="458" spans="1:21" x14ac:dyDescent="0.35">
      <c r="A458" s="10">
        <v>45401</v>
      </c>
      <c r="B458" s="2">
        <v>-1.978240012105708E-3</v>
      </c>
      <c r="C458" s="2">
        <v>0</v>
      </c>
      <c r="D458" s="2">
        <v>-1.020337739833284E-2</v>
      </c>
      <c r="E458" s="2">
        <v>1.3397381061153931E-2</v>
      </c>
      <c r="F458" s="2">
        <v>5.0497884993872817E-2</v>
      </c>
      <c r="G458" s="2">
        <v>3.7179003241754029E-2</v>
      </c>
      <c r="H458" s="2">
        <v>-4.7996198268255588E-2</v>
      </c>
      <c r="I458" s="2">
        <v>-1.9526422350355378E-2</v>
      </c>
      <c r="J458" s="2">
        <v>1.11318403688442E-2</v>
      </c>
      <c r="K458" s="2">
        <v>0</v>
      </c>
      <c r="L458" s="2">
        <v>-2.35842045451999E-2</v>
      </c>
      <c r="M458" s="2">
        <v>-2.8530689824063991E-3</v>
      </c>
      <c r="N458" s="2">
        <v>1.230027808165169E-2</v>
      </c>
      <c r="O458" s="2">
        <v>2.5255714239576498E-4</v>
      </c>
      <c r="P458" s="2">
        <v>-6.0790460763822263E-3</v>
      </c>
      <c r="Q458" s="15">
        <f>AVERAGE(Tableau2[[#This Row],[AWB]:[IAM]])</f>
        <v>8.3589248377562695E-4</v>
      </c>
      <c r="R458" s="15">
        <f>ABS(Tableau2[[#This Row],[Rm ]])</f>
        <v>8.3589248377562695E-4</v>
      </c>
      <c r="S458" s="15">
        <f>(Tableau2[[#This Row],[Rm ]]-Tableau2[[#Totals],[Rm ]])^2</f>
        <v>1.9569471581398537E-9</v>
      </c>
      <c r="T458" s="15">
        <f t="shared" si="14"/>
        <v>0.23419990800064977</v>
      </c>
      <c r="U458" s="15">
        <f t="shared" si="15"/>
        <v>0.49047752221416097</v>
      </c>
    </row>
    <row r="459" spans="1:21" x14ac:dyDescent="0.35">
      <c r="A459" s="10">
        <v>45405</v>
      </c>
      <c r="B459" s="2">
        <v>-8.7510502776859938E-3</v>
      </c>
      <c r="C459" s="2">
        <v>-3.4305350967892478E-3</v>
      </c>
      <c r="D459" s="2">
        <v>-1.552940289845748E-2</v>
      </c>
      <c r="E459" s="2">
        <v>4.0004320472358012E-3</v>
      </c>
      <c r="F459" s="2">
        <v>-3.7408102066169999E-2</v>
      </c>
      <c r="G459" s="2">
        <v>-6.40520214928504E-2</v>
      </c>
      <c r="H459" s="2">
        <v>-1.6807118316381289E-2</v>
      </c>
      <c r="I459" s="2">
        <v>-8.890818118789301E-2</v>
      </c>
      <c r="J459" s="2">
        <v>-1.8622512098001798E-2</v>
      </c>
      <c r="K459" s="2">
        <v>0</v>
      </c>
      <c r="L459" s="2">
        <v>-1.473465975693667E-2</v>
      </c>
      <c r="M459" s="2">
        <v>-1.438873745209956E-2</v>
      </c>
      <c r="N459" s="2">
        <v>-2.225060893481981E-2</v>
      </c>
      <c r="O459" s="2">
        <v>0</v>
      </c>
      <c r="P459" s="2">
        <v>-6.1162270174359816E-3</v>
      </c>
      <c r="Q459" s="15">
        <f>AVERAGE(Tableau2[[#This Row],[AWB]:[IAM]])</f>
        <v>-2.0466581636552364E-2</v>
      </c>
      <c r="R459" s="15">
        <f>ABS(Tableau2[[#This Row],[Rm ]])</f>
        <v>2.0466581636552364E-2</v>
      </c>
      <c r="S459" s="15">
        <f>(Tableau2[[#This Row],[Rm ]]-Tableau2[[#Totals],[Rm ]])^2</f>
        <v>4.5191262865001893E-4</v>
      </c>
      <c r="T459" s="15">
        <f t="shared" si="14"/>
        <v>0.24811150995987225</v>
      </c>
      <c r="U459" s="15">
        <f t="shared" si="15"/>
        <v>0.23419990800064977</v>
      </c>
    </row>
    <row r="460" spans="1:21" x14ac:dyDescent="0.35">
      <c r="A460" s="10">
        <v>45406</v>
      </c>
      <c r="B460" s="2">
        <v>2.7927406940553511E-3</v>
      </c>
      <c r="C460" s="2">
        <v>3.4305350967892218E-3</v>
      </c>
      <c r="D460" s="2">
        <v>2.9538781908071691E-2</v>
      </c>
      <c r="E460" s="2">
        <v>-4.0004320472358263E-3</v>
      </c>
      <c r="F460" s="2">
        <v>0</v>
      </c>
      <c r="G460" s="2">
        <v>-3.898640415657309E-3</v>
      </c>
      <c r="H460" s="2">
        <v>-1.279335145990947E-2</v>
      </c>
      <c r="I460" s="2">
        <v>-1.33273319267981E-2</v>
      </c>
      <c r="J460" s="2">
        <v>-7.5472056353829663E-3</v>
      </c>
      <c r="K460" s="2">
        <v>0</v>
      </c>
      <c r="L460" s="2">
        <v>1.5504186535965249E-2</v>
      </c>
      <c r="M460" s="2">
        <v>-8.7336799687545534E-3</v>
      </c>
      <c r="N460" s="2">
        <v>-5.0125418235442863E-3</v>
      </c>
      <c r="O460" s="2">
        <v>-5.063301956546762E-3</v>
      </c>
      <c r="P460" s="2">
        <v>0</v>
      </c>
      <c r="Q460" s="15">
        <f>AVERAGE(Tableau2[[#This Row],[AWB]:[IAM]])</f>
        <v>-6.0734939992985039E-4</v>
      </c>
      <c r="R460" s="15">
        <f>ABS(Tableau2[[#This Row],[Rm ]])</f>
        <v>6.0734939992985039E-4</v>
      </c>
      <c r="S460" s="15">
        <f>(Tableau2[[#This Row],[Rm ]]-Tableau2[[#Totals],[Rm ]])^2</f>
        <v>1.9572135580976124E-6</v>
      </c>
      <c r="T460" s="15">
        <f t="shared" si="14"/>
        <v>0.11046852062884639</v>
      </c>
      <c r="U460" s="15">
        <f t="shared" si="15"/>
        <v>0.24811150995987225</v>
      </c>
    </row>
    <row r="461" spans="1:21" x14ac:dyDescent="0.35">
      <c r="A461" s="10">
        <v>45408</v>
      </c>
      <c r="B461" s="2">
        <v>5.9583095836306249E-3</v>
      </c>
      <c r="C461" s="2">
        <v>0</v>
      </c>
      <c r="D461" s="2">
        <v>-2.261281670732499E-3</v>
      </c>
      <c r="E461" s="2">
        <v>0</v>
      </c>
      <c r="F461" s="2">
        <v>1.9978466930886299E-2</v>
      </c>
      <c r="G461" s="2">
        <v>0.1903620617898302</v>
      </c>
      <c r="H461" s="2">
        <v>1.7021687569430521E-2</v>
      </c>
      <c r="I461" s="2">
        <v>2.9210378099801201E-2</v>
      </c>
      <c r="J461" s="2">
        <v>5.919757911974672E-2</v>
      </c>
      <c r="K461" s="2">
        <v>0</v>
      </c>
      <c r="L461" s="2">
        <v>0</v>
      </c>
      <c r="M461" s="2">
        <v>2.1978906718775171E-2</v>
      </c>
      <c r="N461" s="2">
        <v>0</v>
      </c>
      <c r="O461" s="2">
        <v>4.052690450623289E-3</v>
      </c>
      <c r="P461" s="2">
        <v>-1.8576385572935419E-2</v>
      </c>
      <c r="Q461" s="15">
        <f>AVERAGE(Tableau2[[#This Row],[AWB]:[IAM]])</f>
        <v>2.1794827534603742E-2</v>
      </c>
      <c r="R461" s="15">
        <f>ABS(Tableau2[[#This Row],[Rm ]])</f>
        <v>2.1794827534603742E-2</v>
      </c>
      <c r="S461" s="15">
        <f>(Tableau2[[#This Row],[Rm ]]-Tableau2[[#Totals],[Rm ]])^2</f>
        <v>4.4113325280901745E-4</v>
      </c>
      <c r="T461" s="15">
        <f t="shared" si="14"/>
        <v>0.38945943227910679</v>
      </c>
      <c r="U461" s="15">
        <f t="shared" si="15"/>
        <v>0.11046852062884639</v>
      </c>
    </row>
    <row r="462" spans="1:21" x14ac:dyDescent="0.35">
      <c r="A462" s="10">
        <v>45411</v>
      </c>
      <c r="B462" s="2">
        <v>-5.9583095836306353E-3</v>
      </c>
      <c r="C462" s="2">
        <v>6.8259650703998906E-3</v>
      </c>
      <c r="D462" s="2">
        <v>-1.1748097338881819E-2</v>
      </c>
      <c r="E462" s="2">
        <v>2.112689464607663E-2</v>
      </c>
      <c r="F462" s="2">
        <v>2.8170876966696221E-2</v>
      </c>
      <c r="G462" s="2">
        <v>7.4636815400896412E-3</v>
      </c>
      <c r="H462" s="2">
        <v>-6.986373287979933E-3</v>
      </c>
      <c r="I462" s="2">
        <v>1.4739325339633021E-2</v>
      </c>
      <c r="J462" s="2">
        <v>0</v>
      </c>
      <c r="K462" s="2">
        <v>0</v>
      </c>
      <c r="L462" s="2">
        <v>2.281467776617126E-2</v>
      </c>
      <c r="M462" s="2">
        <v>-5.7224608142423074E-4</v>
      </c>
      <c r="N462" s="2">
        <v>5.0125418235441926E-3</v>
      </c>
      <c r="O462" s="2">
        <v>5.7971176843256943E-3</v>
      </c>
      <c r="P462" s="2">
        <v>0</v>
      </c>
      <c r="Q462" s="15">
        <f>AVERAGE(Tableau2[[#This Row],[AWB]:[IAM]])</f>
        <v>5.7790703030013288E-3</v>
      </c>
      <c r="R462" s="15">
        <f>ABS(Tableau2[[#This Row],[Rm ]])</f>
        <v>5.7790703030013288E-3</v>
      </c>
      <c r="S462" s="15">
        <f>(Tableau2[[#This Row],[Rm ]]-Tableau2[[#Totals],[Rm ]])^2</f>
        <v>2.4874310523797413E-5</v>
      </c>
      <c r="T462" s="15">
        <f t="shared" si="14"/>
        <v>0.1275762948352982</v>
      </c>
      <c r="U462" s="15">
        <f t="shared" si="15"/>
        <v>0.38945943227910679</v>
      </c>
    </row>
    <row r="463" spans="1:21" x14ac:dyDescent="0.35">
      <c r="A463" s="10">
        <v>45412</v>
      </c>
      <c r="B463" s="2">
        <v>-7.9713037301816633E-4</v>
      </c>
      <c r="C463" s="2">
        <v>-6.8259650703998706E-3</v>
      </c>
      <c r="D463" s="2">
        <v>-1.552940289845748E-2</v>
      </c>
      <c r="E463" s="2">
        <v>-1.0494434894885029E-2</v>
      </c>
      <c r="F463" s="2">
        <v>-8.5506631973338747E-4</v>
      </c>
      <c r="G463" s="2">
        <v>-1.9418085857101631E-2</v>
      </c>
      <c r="H463" s="2">
        <v>-9.6062218054398674E-3</v>
      </c>
      <c r="I463" s="2">
        <v>-3.3088464007829672E-2</v>
      </c>
      <c r="J463" s="2">
        <v>2.781379786988299E-2</v>
      </c>
      <c r="K463" s="2">
        <v>0</v>
      </c>
      <c r="L463" s="2">
        <v>-2.2814677766171399E-2</v>
      </c>
      <c r="M463" s="2">
        <v>7.4137778981408654E-3</v>
      </c>
      <c r="N463" s="2">
        <v>0</v>
      </c>
      <c r="O463" s="2">
        <v>-4.7865061784022967E-3</v>
      </c>
      <c r="P463" s="2">
        <v>0</v>
      </c>
      <c r="Q463" s="15">
        <f>AVERAGE(Tableau2[[#This Row],[AWB]:[IAM]])</f>
        <v>-5.93255862689433E-3</v>
      </c>
      <c r="R463" s="15">
        <f>ABS(Tableau2[[#This Row],[Rm ]])</f>
        <v>5.93255862689433E-3</v>
      </c>
      <c r="S463" s="15">
        <f>(Tableau2[[#This Row],[Rm ]]-Tableau2[[#Totals],[Rm ]])^2</f>
        <v>4.5215050087657268E-5</v>
      </c>
      <c r="T463" s="15">
        <f t="shared" si="14"/>
        <v>0.14696162910561458</v>
      </c>
      <c r="U463" s="15">
        <f t="shared" si="15"/>
        <v>0.1275762948352982</v>
      </c>
    </row>
    <row r="464" spans="1:21" x14ac:dyDescent="0.35">
      <c r="A464" s="10">
        <v>45414</v>
      </c>
      <c r="B464" s="2">
        <v>5.9790734217705672E-4</v>
      </c>
      <c r="C464" s="2">
        <v>-1.032711415584963E-2</v>
      </c>
      <c r="D464" s="2">
        <v>5.2859711559608219E-4</v>
      </c>
      <c r="E464" s="2">
        <v>2.6141734695789669E-3</v>
      </c>
      <c r="F464" s="2">
        <v>1.4015944033391729E-2</v>
      </c>
      <c r="G464" s="2">
        <v>7.8125397367936247E-3</v>
      </c>
      <c r="H464" s="2">
        <v>1.278789804975569E-2</v>
      </c>
      <c r="I464" s="2">
        <v>-3.0911925696728579E-3</v>
      </c>
      <c r="J464" s="2">
        <v>2.739897418811435E-2</v>
      </c>
      <c r="K464" s="2">
        <v>0</v>
      </c>
      <c r="L464" s="2">
        <v>3.7740327982847113E-2</v>
      </c>
      <c r="M464" s="2">
        <v>-5.6834329463933454E-4</v>
      </c>
      <c r="N464" s="2">
        <v>9.950330853168092E-3</v>
      </c>
      <c r="O464" s="2">
        <v>-1.5267472130788421E-2</v>
      </c>
      <c r="P464" s="2">
        <v>0</v>
      </c>
      <c r="Q464" s="15">
        <f>AVERAGE(Tableau2[[#This Row],[AWB]:[IAM]])</f>
        <v>5.612838041364831E-3</v>
      </c>
      <c r="R464" s="15">
        <f>ABS(Tableau2[[#This Row],[Rm ]])</f>
        <v>5.612838041364831E-3</v>
      </c>
      <c r="S464" s="15">
        <f>(Tableau2[[#This Row],[Rm ]]-Tableau2[[#Totals],[Rm ]])^2</f>
        <v>2.3243805066887264E-5</v>
      </c>
      <c r="T464" s="15">
        <f t="shared" si="14"/>
        <v>0.14681932435315606</v>
      </c>
      <c r="U464" s="15">
        <f t="shared" si="15"/>
        <v>0.14696162910561458</v>
      </c>
    </row>
    <row r="465" spans="1:21" x14ac:dyDescent="0.35">
      <c r="A465" s="10">
        <v>45415</v>
      </c>
      <c r="B465" s="2">
        <v>1.385063693389893E-2</v>
      </c>
      <c r="C465" s="2">
        <v>2.054866822738776E-2</v>
      </c>
      <c r="D465" s="2">
        <v>2.4688745821192661E-2</v>
      </c>
      <c r="E465" s="2">
        <v>0</v>
      </c>
      <c r="F465" s="2">
        <v>1.090614836897884E-2</v>
      </c>
      <c r="G465" s="2">
        <v>-6.1654659256497421E-2</v>
      </c>
      <c r="H465" s="2">
        <v>-2.8788239396196891E-2</v>
      </c>
      <c r="I465" s="2">
        <v>-5.7340546615244778E-2</v>
      </c>
      <c r="J465" s="2">
        <v>2.0067563050809169E-2</v>
      </c>
      <c r="K465" s="2">
        <v>2.3530497410194039E-2</v>
      </c>
      <c r="L465" s="2">
        <v>2.2703281976817091E-2</v>
      </c>
      <c r="M465" s="2">
        <v>5.1034984600306452E-3</v>
      </c>
      <c r="N465" s="2">
        <v>-9.950330853168092E-3</v>
      </c>
      <c r="O465" s="2">
        <v>1.273902577742971E-2</v>
      </c>
      <c r="P465" s="2">
        <v>0</v>
      </c>
      <c r="Q465" s="15">
        <f>AVERAGE(Tableau2[[#This Row],[AWB]:[IAM]])</f>
        <v>-2.3971400629122197E-4</v>
      </c>
      <c r="R465" s="15">
        <f>ABS(Tableau2[[#This Row],[Rm ]])</f>
        <v>2.3971400629122197E-4</v>
      </c>
      <c r="S465" s="15">
        <f>(Tableau2[[#This Row],[Rm ]]-Tableau2[[#Totals],[Rm ]])^2</f>
        <v>1.0637222092855448E-6</v>
      </c>
      <c r="T465" s="15">
        <f t="shared" si="14"/>
        <v>0.31332610711934611</v>
      </c>
      <c r="U465" s="15">
        <f t="shared" si="15"/>
        <v>0.14681932435315606</v>
      </c>
    </row>
    <row r="466" spans="1:21" x14ac:dyDescent="0.35">
      <c r="A466" s="10">
        <v>45419</v>
      </c>
      <c r="B466" s="2">
        <v>1.374570663166785E-3</v>
      </c>
      <c r="C466" s="2">
        <v>-3.3904051858937151E-4</v>
      </c>
      <c r="D466" s="2">
        <v>-4.5991347894262808E-3</v>
      </c>
      <c r="E466" s="2">
        <v>0</v>
      </c>
      <c r="F466" s="2">
        <v>-2.6206064331386621E-2</v>
      </c>
      <c r="G466" s="2">
        <v>6.8118805876386718E-2</v>
      </c>
      <c r="H466" s="2">
        <v>-1.1398632841673291E-2</v>
      </c>
      <c r="I466" s="2">
        <v>-1.6529301951210579E-2</v>
      </c>
      <c r="J466" s="2">
        <v>-6.6445427186686131E-3</v>
      </c>
      <c r="K466" s="2">
        <v>2.933299214687379E-2</v>
      </c>
      <c r="L466" s="2">
        <v>1.437839292771491E-2</v>
      </c>
      <c r="M466" s="2">
        <v>-1.0233176280028971E-2</v>
      </c>
      <c r="N466" s="2">
        <v>0</v>
      </c>
      <c r="O466" s="2">
        <v>-7.6239251106593707E-3</v>
      </c>
      <c r="P466" s="2">
        <v>0</v>
      </c>
      <c r="Q466" s="15">
        <f>AVERAGE(Tableau2[[#This Row],[AWB]:[IAM]])</f>
        <v>1.975396204833274E-3</v>
      </c>
      <c r="R466" s="15">
        <f>ABS(Tableau2[[#This Row],[Rm ]])</f>
        <v>1.975396204833274E-3</v>
      </c>
      <c r="S466" s="15">
        <f>(Tableau2[[#This Row],[Rm ]]-Tableau2[[#Totals],[Rm ]])^2</f>
        <v>1.4012430309626877E-6</v>
      </c>
      <c r="T466" s="15">
        <f t="shared" si="14"/>
        <v>0.20996430154844012</v>
      </c>
      <c r="U466" s="15">
        <f t="shared" si="15"/>
        <v>0.31332610711934611</v>
      </c>
    </row>
    <row r="467" spans="1:21" x14ac:dyDescent="0.35">
      <c r="A467" s="10">
        <v>45420</v>
      </c>
      <c r="B467" s="2">
        <v>4.8938142105510764E-3</v>
      </c>
      <c r="C467" s="2">
        <v>3.385243584933501E-3</v>
      </c>
      <c r="D467" s="2">
        <v>1.015184828523598E-2</v>
      </c>
      <c r="E467" s="2">
        <v>0</v>
      </c>
      <c r="F467" s="2">
        <v>1.064972791665815E-2</v>
      </c>
      <c r="G467" s="2">
        <v>4.5347819978459263E-2</v>
      </c>
      <c r="H467" s="2">
        <v>1.18344576470028E-2</v>
      </c>
      <c r="I467" s="2">
        <v>-9.0407446521490707E-3</v>
      </c>
      <c r="J467" s="2">
        <v>0</v>
      </c>
      <c r="K467" s="2">
        <v>-2.933299214687372E-2</v>
      </c>
      <c r="L467" s="2">
        <v>2.7456846233039289E-2</v>
      </c>
      <c r="M467" s="2">
        <v>5.7126536829220831E-4</v>
      </c>
      <c r="N467" s="2">
        <v>-4.510155477886019E-3</v>
      </c>
      <c r="O467" s="2">
        <v>0</v>
      </c>
      <c r="P467" s="2">
        <v>0</v>
      </c>
      <c r="Q467" s="15">
        <f>AVERAGE(Tableau2[[#This Row],[AWB]:[IAM]])</f>
        <v>4.7604753964842301E-3</v>
      </c>
      <c r="R467" s="15">
        <f>ABS(Tableau2[[#This Row],[Rm ]])</f>
        <v>4.7604753964842301E-3</v>
      </c>
      <c r="S467" s="15">
        <f>(Tableau2[[#This Row],[Rm ]]-Tableau2[[#Totals],[Rm ]])^2</f>
        <v>1.5751534638626213E-5</v>
      </c>
      <c r="T467" s="15">
        <f t="shared" si="14"/>
        <v>0.15910021341403041</v>
      </c>
      <c r="U467" s="15">
        <f t="shared" si="15"/>
        <v>0.20996430154844012</v>
      </c>
    </row>
    <row r="468" spans="1:21" x14ac:dyDescent="0.35">
      <c r="A468" s="10">
        <v>45421</v>
      </c>
      <c r="B468" s="2">
        <v>1.0876005439351039E-2</v>
      </c>
      <c r="C468" s="2">
        <v>3.3789491789637722E-4</v>
      </c>
      <c r="D468" s="2">
        <v>-7.5654615755069996E-3</v>
      </c>
      <c r="E468" s="2">
        <v>1.4374044758267521E-2</v>
      </c>
      <c r="F468" s="2">
        <v>1.6807118316381191E-2</v>
      </c>
      <c r="G468" s="2">
        <v>4.5736009322684082E-2</v>
      </c>
      <c r="H468" s="2">
        <v>3.8466280827796143E-2</v>
      </c>
      <c r="I468" s="2">
        <v>2.884337194832878E-2</v>
      </c>
      <c r="J468" s="2">
        <v>-1.7485314341019499E-2</v>
      </c>
      <c r="K468" s="2">
        <v>0</v>
      </c>
      <c r="L468" s="2">
        <v>-2.2472855852058628E-2</v>
      </c>
      <c r="M468" s="2">
        <v>1.9231361927887589E-2</v>
      </c>
      <c r="N468" s="2">
        <v>4.5101554778861092E-3</v>
      </c>
      <c r="O468" s="2">
        <v>0</v>
      </c>
      <c r="P468" s="2">
        <v>0</v>
      </c>
      <c r="Q468" s="15">
        <f>AVERAGE(Tableau2[[#This Row],[AWB]:[IAM]])</f>
        <v>8.7772407445262466E-3</v>
      </c>
      <c r="R468" s="15">
        <f>ABS(Tableau2[[#This Row],[Rm ]])</f>
        <v>8.7772407445262466E-3</v>
      </c>
      <c r="S468" s="15">
        <f>(Tableau2[[#This Row],[Rm ]]-Tableau2[[#Totals],[Rm ]])^2</f>
        <v>6.3769578272867314E-5</v>
      </c>
      <c r="T468" s="15">
        <f t="shared" si="14"/>
        <v>0.2175949232964674</v>
      </c>
      <c r="U468" s="15">
        <f t="shared" si="15"/>
        <v>0.15910021341403041</v>
      </c>
    </row>
    <row r="469" spans="1:21" x14ac:dyDescent="0.35">
      <c r="A469" s="10">
        <v>45422</v>
      </c>
      <c r="B469" s="2">
        <v>-9.1200787370861996E-3</v>
      </c>
      <c r="C469" s="2">
        <v>0</v>
      </c>
      <c r="D469" s="2">
        <v>2.52818543969915E-3</v>
      </c>
      <c r="E469" s="2">
        <v>3.891661200518631E-3</v>
      </c>
      <c r="F469" s="2">
        <v>0</v>
      </c>
      <c r="G469" s="2">
        <v>-5.8997221271882708E-3</v>
      </c>
      <c r="H469" s="2">
        <v>4.3083586136311698E-2</v>
      </c>
      <c r="I469" s="2">
        <v>1.62078102268533E-2</v>
      </c>
      <c r="J469" s="2">
        <v>0</v>
      </c>
      <c r="K469" s="2">
        <v>-2.3258518537229929E-4</v>
      </c>
      <c r="L469" s="2">
        <v>1.6901810802603251E-2</v>
      </c>
      <c r="M469" s="2">
        <v>-1.240151181586918E-2</v>
      </c>
      <c r="N469" s="2">
        <v>1.9312311032372881E-2</v>
      </c>
      <c r="O469" s="2">
        <v>-2.551345848767935E-4</v>
      </c>
      <c r="P469" s="2">
        <v>0</v>
      </c>
      <c r="Q469" s="15">
        <f>AVERAGE(Tableau2[[#This Row],[AWB]:[IAM]])</f>
        <v>4.9344221591977443E-3</v>
      </c>
      <c r="R469" s="15">
        <f>ABS(Tableau2[[#This Row],[Rm ]])</f>
        <v>4.9344221591977443E-3</v>
      </c>
      <c r="S469" s="15">
        <f>(Tableau2[[#This Row],[Rm ]]-Tableau2[[#Totals],[Rm ]])^2</f>
        <v>1.7162519003684033E-5</v>
      </c>
      <c r="T469" s="15">
        <f t="shared" si="14"/>
        <v>0.14693019844078239</v>
      </c>
      <c r="U469" s="15">
        <f t="shared" si="15"/>
        <v>0.2175949232964674</v>
      </c>
    </row>
    <row r="470" spans="1:21" x14ac:dyDescent="0.35">
      <c r="A470" s="10">
        <v>45425</v>
      </c>
      <c r="B470" s="2">
        <v>1.558239505013623E-3</v>
      </c>
      <c r="C470" s="2">
        <v>-6.7796869853788038E-3</v>
      </c>
      <c r="D470" s="2">
        <v>0</v>
      </c>
      <c r="E470" s="2">
        <v>5.1396732329283016E-3</v>
      </c>
      <c r="F470" s="2">
        <v>-2.1053409197832381E-2</v>
      </c>
      <c r="G470" s="2">
        <v>1.759576189037966E-2</v>
      </c>
      <c r="H470" s="2">
        <v>1.197619104671562E-2</v>
      </c>
      <c r="I470" s="2">
        <v>2.6964361638355201E-2</v>
      </c>
      <c r="J470" s="2">
        <v>-1.16002665540772E-2</v>
      </c>
      <c r="K470" s="2">
        <v>2.555466601511863E-3</v>
      </c>
      <c r="L470" s="2">
        <v>1.2491487894029049E-2</v>
      </c>
      <c r="M470" s="2">
        <v>9.5964608882606588E-3</v>
      </c>
      <c r="N470" s="2">
        <v>-1.9312311032372801E-2</v>
      </c>
      <c r="O470" s="2">
        <v>0</v>
      </c>
      <c r="P470" s="2">
        <v>0</v>
      </c>
      <c r="Q470" s="15">
        <f>AVERAGE(Tableau2[[#This Row],[AWB]:[IAM]])</f>
        <v>1.9421312618355198E-3</v>
      </c>
      <c r="R470" s="15">
        <f>ABS(Tableau2[[#This Row],[Rm ]])</f>
        <v>1.9421312618355198E-3</v>
      </c>
      <c r="S470" s="15">
        <f>(Tableau2[[#This Row],[Rm ]]-Tableau2[[#Totals],[Rm ]])^2</f>
        <v>1.3235954258644227E-6</v>
      </c>
      <c r="T470" s="15">
        <f t="shared" si="14"/>
        <v>0.14363631287428361</v>
      </c>
      <c r="U470" s="15">
        <f t="shared" si="15"/>
        <v>0.14693019844078239</v>
      </c>
    </row>
    <row r="471" spans="1:21" x14ac:dyDescent="0.35">
      <c r="A471" s="10">
        <v>45427</v>
      </c>
      <c r="B471" s="2">
        <v>-7.423358957411713E-3</v>
      </c>
      <c r="C471" s="2">
        <v>-6.8259650703998706E-3</v>
      </c>
      <c r="D471" s="2">
        <v>-1.5370538350926111E-2</v>
      </c>
      <c r="E471" s="2">
        <v>-5.3986466637019588E-3</v>
      </c>
      <c r="F471" s="2">
        <v>-3.4100629805419551E-3</v>
      </c>
      <c r="G471" s="2">
        <v>0.1111460725816852</v>
      </c>
      <c r="H471" s="2">
        <v>1.242251999855711E-2</v>
      </c>
      <c r="I471" s="2">
        <v>1.089504940506698E-2</v>
      </c>
      <c r="J471" s="2">
        <v>1.261738818778944E-2</v>
      </c>
      <c r="K471" s="2">
        <v>-2.322881416139639E-3</v>
      </c>
      <c r="L471" s="2">
        <v>-7.1458963982144977E-2</v>
      </c>
      <c r="M471" s="2">
        <v>5.6022555486697524E-3</v>
      </c>
      <c r="N471" s="2">
        <v>-5.0012504168224286E-4</v>
      </c>
      <c r="O471" s="2">
        <v>-4.8599660818936562E-3</v>
      </c>
      <c r="P471" s="2">
        <v>0</v>
      </c>
      <c r="Q471" s="15">
        <f>AVERAGE(Tableau2[[#This Row],[AWB]:[IAM]])</f>
        <v>2.34085181179509E-3</v>
      </c>
      <c r="R471" s="15">
        <f>ABS(Tableau2[[#This Row],[Rm ]])</f>
        <v>2.34085181179509E-3</v>
      </c>
      <c r="S471" s="15">
        <f>(Tableau2[[#This Row],[Rm ]]-Tableau2[[#Totals],[Rm ]])^2</f>
        <v>2.4000104880764653E-6</v>
      </c>
      <c r="T471" s="15">
        <f t="shared" si="14"/>
        <v>0.279773258301244</v>
      </c>
      <c r="U471" s="15">
        <f t="shared" si="15"/>
        <v>0.14363631287428361</v>
      </c>
    </row>
    <row r="472" spans="1:21" x14ac:dyDescent="0.35">
      <c r="A472" s="10">
        <v>45428</v>
      </c>
      <c r="B472" s="2">
        <v>-3.142186403072505E-3</v>
      </c>
      <c r="C472" s="2">
        <v>-6.8728792877620643E-3</v>
      </c>
      <c r="D472" s="2">
        <v>1.5370538350926119E-2</v>
      </c>
      <c r="E472" s="2">
        <v>-4.9332810235191808E-3</v>
      </c>
      <c r="F472" s="2">
        <v>-8.5433580591553148E-4</v>
      </c>
      <c r="G472" s="2">
        <v>3.2652202215933977E-2</v>
      </c>
      <c r="H472" s="2">
        <v>-3.2260862218221442E-2</v>
      </c>
      <c r="I472" s="2">
        <v>-3.6252984995148667E-2</v>
      </c>
      <c r="J472" s="2">
        <v>0</v>
      </c>
      <c r="K472" s="2">
        <v>-1.6413029641330141E-2</v>
      </c>
      <c r="L472" s="2">
        <v>2.1978906718775171E-2</v>
      </c>
      <c r="M472" s="2">
        <v>5.5710450494554286E-3</v>
      </c>
      <c r="N472" s="2">
        <v>5.001250416823734E-4</v>
      </c>
      <c r="O472" s="2">
        <v>-5.1413995004186523E-3</v>
      </c>
      <c r="P472" s="2">
        <v>0</v>
      </c>
      <c r="Q472" s="15">
        <f>AVERAGE(Tableau2[[#This Row],[AWB]:[IAM]])</f>
        <v>-1.9865427665743405E-3</v>
      </c>
      <c r="R472" s="15">
        <f>ABS(Tableau2[[#This Row],[Rm ]])</f>
        <v>1.9865427665743405E-3</v>
      </c>
      <c r="S472" s="15">
        <f>(Tableau2[[#This Row],[Rm ]]-Tableau2[[#Totals],[Rm ]])^2</f>
        <v>7.7183833208489321E-6</v>
      </c>
      <c r="T472" s="15">
        <f t="shared" si="14"/>
        <v>0.18036754082476847</v>
      </c>
      <c r="U472" s="15">
        <f t="shared" si="15"/>
        <v>0.279773258301244</v>
      </c>
    </row>
    <row r="473" spans="1:21" x14ac:dyDescent="0.35">
      <c r="A473" s="10">
        <v>45429</v>
      </c>
      <c r="B473" s="2">
        <v>1.9667617331570051E-4</v>
      </c>
      <c r="C473" s="2">
        <v>1.0291686036547509E-2</v>
      </c>
      <c r="D473" s="2">
        <v>0</v>
      </c>
      <c r="E473" s="2">
        <v>9.9712052077229624E-3</v>
      </c>
      <c r="F473" s="2">
        <v>-1.4636507522742721E-2</v>
      </c>
      <c r="G473" s="2">
        <v>7.0246149369644394E-3</v>
      </c>
      <c r="H473" s="2">
        <v>1.187017257048736E-2</v>
      </c>
      <c r="I473" s="2">
        <v>1.117330059812525E-2</v>
      </c>
      <c r="J473" s="2">
        <v>-3.1322471129041268E-2</v>
      </c>
      <c r="K473" s="2">
        <v>-4.0270100613070698E-3</v>
      </c>
      <c r="L473" s="2">
        <v>-7.2727593290798087E-3</v>
      </c>
      <c r="M473" s="2">
        <v>-7.8081824478116986E-3</v>
      </c>
      <c r="N473" s="2">
        <v>8.9597413714718032E-3</v>
      </c>
      <c r="O473" s="2">
        <v>0</v>
      </c>
      <c r="P473" s="2">
        <v>0</v>
      </c>
      <c r="Q473" s="15">
        <f>AVERAGE(Tableau2[[#This Row],[AWB]:[IAM]])</f>
        <v>-3.7196890635650279E-4</v>
      </c>
      <c r="R473" s="15">
        <f>ABS(Tableau2[[#This Row],[Rm ]])</f>
        <v>3.7196890635650279E-4</v>
      </c>
      <c r="S473" s="15">
        <f>(Tableau2[[#This Row],[Rm ]]-Tableau2[[#Totals],[Rm ]])^2</f>
        <v>1.3540208009489627E-6</v>
      </c>
      <c r="T473" s="15">
        <f t="shared" si="14"/>
        <v>0.12606700093713399</v>
      </c>
      <c r="U473" s="15">
        <f t="shared" si="15"/>
        <v>0.18036754082476847</v>
      </c>
    </row>
    <row r="474" spans="1:21" x14ac:dyDescent="0.35">
      <c r="A474" s="10">
        <v>45435</v>
      </c>
      <c r="B474" s="2">
        <v>3.9254221161055119E-3</v>
      </c>
      <c r="C474" s="2">
        <v>6.8027473227526203E-3</v>
      </c>
      <c r="D474" s="2">
        <v>-5.1543736000183953E-4</v>
      </c>
      <c r="E474" s="2">
        <v>-1.2551380996377339E-2</v>
      </c>
      <c r="F474" s="2">
        <v>4.0787301810924603E-2</v>
      </c>
      <c r="G474" s="2">
        <v>-0.12749252051527671</v>
      </c>
      <c r="H474" s="2">
        <v>-4.0821994520255173E-2</v>
      </c>
      <c r="I474" s="2">
        <v>-7.2058791108786338E-2</v>
      </c>
      <c r="J474" s="2">
        <v>1.3889112160667089E-2</v>
      </c>
      <c r="K474" s="2">
        <v>-3.0904577075568551E-3</v>
      </c>
      <c r="L474" s="2">
        <v>-1.5447162614414671E-2</v>
      </c>
      <c r="M474" s="2">
        <v>4.0060226284999598E-2</v>
      </c>
      <c r="N474" s="2">
        <v>-7.9602410383884277E-3</v>
      </c>
      <c r="O474" s="2">
        <v>1.5345569674660321E-2</v>
      </c>
      <c r="P474" s="2">
        <v>0</v>
      </c>
      <c r="Q474" s="15">
        <f>AVERAGE(Tableau2[[#This Row],[AWB]:[IAM]])</f>
        <v>-1.0608507099396506E-2</v>
      </c>
      <c r="R474" s="15">
        <f>ABS(Tableau2[[#This Row],[Rm ]])</f>
        <v>1.0608507099396506E-2</v>
      </c>
      <c r="S474" s="15">
        <f>(Tableau2[[#This Row],[Rm ]]-Tableau2[[#Totals],[Rm ]])^2</f>
        <v>1.2996369790586952E-4</v>
      </c>
      <c r="T474" s="15">
        <f t="shared" si="14"/>
        <v>0.42075735522348529</v>
      </c>
      <c r="U474" s="15">
        <f t="shared" si="15"/>
        <v>0.12606700093713399</v>
      </c>
    </row>
    <row r="475" spans="1:21" x14ac:dyDescent="0.35">
      <c r="A475" s="10">
        <v>45436</v>
      </c>
      <c r="B475" s="2">
        <v>-4.712359005033976E-3</v>
      </c>
      <c r="C475" s="2">
        <v>3.3840979842404942E-3</v>
      </c>
      <c r="D475" s="2">
        <v>-1.4855100990924301E-2</v>
      </c>
      <c r="E475" s="2">
        <v>0</v>
      </c>
      <c r="F475" s="2">
        <v>-2.083768205544546E-3</v>
      </c>
      <c r="G475" s="2">
        <v>-3.8562063814806008E-2</v>
      </c>
      <c r="H475" s="2">
        <v>2.0811662038246709E-3</v>
      </c>
      <c r="I475" s="2">
        <v>6.1224681043838287E-3</v>
      </c>
      <c r="J475" s="2">
        <v>-4.3339528667765852E-2</v>
      </c>
      <c r="K475" s="2">
        <v>2.3530497410194039E-2</v>
      </c>
      <c r="L475" s="2">
        <v>1.471696908069294E-2</v>
      </c>
      <c r="M475" s="2">
        <v>-5.3937563343191674E-3</v>
      </c>
      <c r="N475" s="2">
        <v>-9.9950033308349932E-4</v>
      </c>
      <c r="O475" s="2">
        <v>-5.0890695074712932E-3</v>
      </c>
      <c r="P475" s="2">
        <v>0</v>
      </c>
      <c r="Q475" s="15">
        <f>AVERAGE(Tableau2[[#This Row],[AWB]:[IAM]])</f>
        <v>-4.3466632050408443E-3</v>
      </c>
      <c r="R475" s="15">
        <f>ABS(Tableau2[[#This Row],[Rm ]])</f>
        <v>4.3466632050408443E-3</v>
      </c>
      <c r="S475" s="15">
        <f>(Tableau2[[#This Row],[Rm ]]-Tableau2[[#Totals],[Rm ]])^2</f>
        <v>2.6402314883719172E-5</v>
      </c>
      <c r="T475" s="15">
        <f t="shared" si="14"/>
        <v>0.16768691252211293</v>
      </c>
      <c r="U475" s="15">
        <f t="shared" si="15"/>
        <v>0.42075735522348529</v>
      </c>
    </row>
    <row r="476" spans="1:21" x14ac:dyDescent="0.35">
      <c r="A476" s="10">
        <v>45439</v>
      </c>
      <c r="B476" s="2">
        <v>-2.3645331213825861E-3</v>
      </c>
      <c r="C476" s="2">
        <v>-3.3840979842405679E-3</v>
      </c>
      <c r="D476" s="2">
        <v>1.5112852880383731E-2</v>
      </c>
      <c r="E476" s="2">
        <v>-1.049327571583877E-2</v>
      </c>
      <c r="F476" s="2">
        <v>-1.9802627296179751E-2</v>
      </c>
      <c r="G476" s="2">
        <v>-2.0274993861410781E-2</v>
      </c>
      <c r="H476" s="2">
        <v>3.8740828316430623E-2</v>
      </c>
      <c r="I476" s="2">
        <v>-8.5135879456071373E-3</v>
      </c>
      <c r="J476" s="2">
        <v>8.2482088564958932E-3</v>
      </c>
      <c r="K476" s="2">
        <v>-2.3530497410194161E-2</v>
      </c>
      <c r="L476" s="2">
        <v>-2.0664942006770319E-2</v>
      </c>
      <c r="M476" s="2">
        <v>-8.1455785707146792E-3</v>
      </c>
      <c r="N476" s="2">
        <v>0</v>
      </c>
      <c r="O476" s="2">
        <v>-4.8587232778516311E-3</v>
      </c>
      <c r="P476" s="2">
        <v>0</v>
      </c>
      <c r="Q476" s="15">
        <f>AVERAGE(Tableau2[[#This Row],[AWB]:[IAM]])</f>
        <v>-3.9953978091253426E-3</v>
      </c>
      <c r="R476" s="15">
        <f>ABS(Tableau2[[#This Row],[Rm ]])</f>
        <v>3.9953978091253426E-3</v>
      </c>
      <c r="S476" s="15">
        <f>(Tableau2[[#This Row],[Rm ]]-Tableau2[[#Totals],[Rm ]])^2</f>
        <v>2.2915875442783773E-5</v>
      </c>
      <c r="T476" s="15">
        <f t="shared" si="14"/>
        <v>0.16491304926794534</v>
      </c>
      <c r="U476" s="15">
        <f t="shared" si="15"/>
        <v>0.16768691252211293</v>
      </c>
    </row>
    <row r="477" spans="1:21" x14ac:dyDescent="0.35">
      <c r="A477" s="10">
        <v>45440</v>
      </c>
      <c r="B477" s="2">
        <v>1.390951997686149E-2</v>
      </c>
      <c r="C477" s="2">
        <v>0</v>
      </c>
      <c r="D477" s="2">
        <v>-9.9456919277905766E-3</v>
      </c>
      <c r="E477" s="2">
        <v>-7.9162722616924301E-3</v>
      </c>
      <c r="F477" s="2">
        <v>6.3626937878286504E-3</v>
      </c>
      <c r="G477" s="2">
        <v>5.8496206681608633E-2</v>
      </c>
      <c r="H477" s="2">
        <v>2.254396443489444E-2</v>
      </c>
      <c r="I477" s="2">
        <v>2.8987536873252409E-2</v>
      </c>
      <c r="J477" s="2">
        <v>-5.0125418235441753E-3</v>
      </c>
      <c r="K477" s="2">
        <v>0</v>
      </c>
      <c r="L477" s="2">
        <v>-7.4599033672144487E-4</v>
      </c>
      <c r="M477" s="2">
        <v>-7.6628727455691371E-3</v>
      </c>
      <c r="N477" s="2">
        <v>0</v>
      </c>
      <c r="O477" s="2">
        <v>-2.5637738891873919E-4</v>
      </c>
      <c r="P477" s="2">
        <v>0</v>
      </c>
      <c r="Q477" s="15">
        <f>AVERAGE(Tableau2[[#This Row],[AWB]:[IAM]])</f>
        <v>6.5840116846806089E-3</v>
      </c>
      <c r="R477" s="15">
        <f>ABS(Tableau2[[#This Row],[Rm ]])</f>
        <v>6.5840116846806089E-3</v>
      </c>
      <c r="S477" s="15">
        <f>(Tableau2[[#This Row],[Rm ]]-Tableau2[[#Totals],[Rm ]])^2</f>
        <v>3.3551394939591113E-5</v>
      </c>
      <c r="T477" s="15">
        <f t="shared" si="14"/>
        <v>0.18905728488342052</v>
      </c>
      <c r="U477" s="15">
        <f t="shared" si="15"/>
        <v>0.16491304926794534</v>
      </c>
    </row>
    <row r="478" spans="1:21" x14ac:dyDescent="0.35">
      <c r="A478" s="10">
        <v>45441</v>
      </c>
      <c r="B478" s="2">
        <v>2.9140380018494979E-3</v>
      </c>
      <c r="C478" s="2">
        <v>-3.7357829149482092E-3</v>
      </c>
      <c r="D478" s="2">
        <v>-5.1671609525932331E-3</v>
      </c>
      <c r="E478" s="2">
        <v>1.971349913373242E-2</v>
      </c>
      <c r="F478" s="2">
        <v>-1.7057982904576621E-2</v>
      </c>
      <c r="G478" s="2">
        <v>-2.9990713683682179E-2</v>
      </c>
      <c r="H478" s="2">
        <v>-2.2543964434894419E-2</v>
      </c>
      <c r="I478" s="2">
        <v>-2.0134908409055921E-2</v>
      </c>
      <c r="J478" s="2">
        <v>5.0125418235441926E-3</v>
      </c>
      <c r="K478" s="2">
        <v>0</v>
      </c>
      <c r="L478" s="2">
        <v>0</v>
      </c>
      <c r="M478" s="2">
        <v>1.0385444533480019E-2</v>
      </c>
      <c r="N478" s="2">
        <v>-5.0012504168224286E-4</v>
      </c>
      <c r="O478" s="2">
        <v>-4.3685023860704896E-3</v>
      </c>
      <c r="P478" s="2">
        <v>0</v>
      </c>
      <c r="Q478" s="15">
        <f>AVERAGE(Tableau2[[#This Row],[AWB]:[IAM]])</f>
        <v>-4.3649078156598135E-3</v>
      </c>
      <c r="R478" s="15">
        <f>ABS(Tableau2[[#This Row],[Rm ]])</f>
        <v>4.3649078156598135E-3</v>
      </c>
      <c r="S478" s="15">
        <f>(Tableau2[[#This Row],[Rm ]]-Tableau2[[#Totals],[Rm ]])^2</f>
        <v>2.6590140982532605E-5</v>
      </c>
      <c r="T478" s="15">
        <f t="shared" si="14"/>
        <v>0.14207365779254549</v>
      </c>
      <c r="U478" s="15">
        <f t="shared" si="15"/>
        <v>0.18905728488342052</v>
      </c>
    </row>
    <row r="479" spans="1:21" x14ac:dyDescent="0.35">
      <c r="A479" s="10">
        <v>45442</v>
      </c>
      <c r="B479" s="2">
        <v>-6.812678417506819E-3</v>
      </c>
      <c r="C479" s="2">
        <v>-1.191590914676574E-3</v>
      </c>
      <c r="D479" s="2">
        <v>1.025596620149802E-2</v>
      </c>
      <c r="E479" s="2">
        <v>-1.166537902426504E-2</v>
      </c>
      <c r="F479" s="2">
        <v>1.069528911674795E-2</v>
      </c>
      <c r="G479" s="2">
        <v>-8.7028657017466423E-3</v>
      </c>
      <c r="H479" s="2">
        <v>-2.0002000266715569E-4</v>
      </c>
      <c r="I479" s="2">
        <v>1.413688976050235E-2</v>
      </c>
      <c r="J479" s="2">
        <v>0</v>
      </c>
      <c r="K479" s="2">
        <v>0</v>
      </c>
      <c r="L479" s="2">
        <v>-2.2413158430138699E-3</v>
      </c>
      <c r="M479" s="2">
        <v>-2.7006325769520431E-2</v>
      </c>
      <c r="N479" s="2">
        <v>-9.5502108118191344E-3</v>
      </c>
      <c r="O479" s="2">
        <v>4.3685023860705512E-3</v>
      </c>
      <c r="P479" s="2">
        <v>0</v>
      </c>
      <c r="Q479" s="15">
        <f>AVERAGE(Tableau2[[#This Row],[AWB]:[IAM]])</f>
        <v>-1.8609159346931199E-3</v>
      </c>
      <c r="R479" s="15">
        <f>ABS(Tableau2[[#This Row],[Rm ]])</f>
        <v>1.8609159346931199E-3</v>
      </c>
      <c r="S479" s="15">
        <f>(Tableau2[[#This Row],[Rm ]]-Tableau2[[#Totals],[Rm ]])^2</f>
        <v>7.0361330320423845E-6</v>
      </c>
      <c r="T479" s="15">
        <f t="shared" si="14"/>
        <v>0.10788970504704619</v>
      </c>
      <c r="U479" s="15">
        <f t="shared" si="15"/>
        <v>0.14207365779254549</v>
      </c>
    </row>
    <row r="480" spans="1:21" x14ac:dyDescent="0.35">
      <c r="A480" s="10">
        <v>45443</v>
      </c>
      <c r="B480" s="2">
        <v>5.8422756242283609E-3</v>
      </c>
      <c r="C480" s="2">
        <v>1.5317848284867521E-3</v>
      </c>
      <c r="D480" s="2">
        <v>4.3413164468013897E-3</v>
      </c>
      <c r="E480" s="2">
        <v>6.4393415225424706E-3</v>
      </c>
      <c r="F480" s="2">
        <v>-2.1506205220963619E-2</v>
      </c>
      <c r="G480" s="2">
        <v>-4.3206913508978283E-2</v>
      </c>
      <c r="H480" s="2">
        <v>-2.0002687314852351E-2</v>
      </c>
      <c r="I480" s="2">
        <v>2.6702285558788921E-3</v>
      </c>
      <c r="J480" s="2">
        <v>-1.8018505502678361E-2</v>
      </c>
      <c r="K480" s="2">
        <v>0</v>
      </c>
      <c r="L480" s="2">
        <v>-5.2493558861436782E-3</v>
      </c>
      <c r="M480" s="2">
        <v>-5.6022555486698981E-3</v>
      </c>
      <c r="N480" s="2">
        <v>-5.063301956546762E-3</v>
      </c>
      <c r="O480" s="2">
        <v>-4.111002706522318E-3</v>
      </c>
      <c r="P480" s="2">
        <v>0</v>
      </c>
      <c r="Q480" s="15">
        <f>AVERAGE(Tableau2[[#This Row],[AWB]:[IAM]])</f>
        <v>-6.7956853778278264E-3</v>
      </c>
      <c r="R480" s="15">
        <f>ABS(Tableau2[[#This Row],[Rm ]])</f>
        <v>6.7956853778278264E-3</v>
      </c>
      <c r="S480" s="15">
        <f>(Tableau2[[#This Row],[Rm ]]-Tableau2[[#Totals],[Rm ]])^2</f>
        <v>5.7567735348996938E-5</v>
      </c>
      <c r="T480" s="15">
        <f t="shared" si="14"/>
        <v>0.14476050038634997</v>
      </c>
      <c r="U480" s="15">
        <f t="shared" si="15"/>
        <v>0.10788970504704619</v>
      </c>
    </row>
    <row r="481" spans="1:21" x14ac:dyDescent="0.35">
      <c r="A481" s="10">
        <v>45449</v>
      </c>
      <c r="B481" s="2">
        <v>-5.4517268983111898E-3</v>
      </c>
      <c r="C481" s="2">
        <v>-3.4071583216143089E-3</v>
      </c>
      <c r="D481" s="2">
        <v>-1.021131070504494E-2</v>
      </c>
      <c r="E481" s="2">
        <v>-6.5711893703173678E-3</v>
      </c>
      <c r="F481" s="2">
        <v>-3.405148795304444E-2</v>
      </c>
      <c r="G481" s="2">
        <v>-5.163089973011542E-2</v>
      </c>
      <c r="H481" s="2">
        <v>-4.0899852515251661E-3</v>
      </c>
      <c r="I481" s="2">
        <v>4.9875415110389679E-3</v>
      </c>
      <c r="J481" s="2">
        <v>-5.8351733767222341E-3</v>
      </c>
      <c r="K481" s="2">
        <v>-1.077209698191107E-2</v>
      </c>
      <c r="L481" s="2">
        <v>2.1570192935344269E-2</v>
      </c>
      <c r="M481" s="2">
        <v>-1.6997576368571139E-2</v>
      </c>
      <c r="N481" s="2">
        <v>-1.0204170174241739E-2</v>
      </c>
      <c r="O481" s="2">
        <v>-3.611043387388004E-3</v>
      </c>
      <c r="P481" s="2">
        <v>6.2305497506361628E-3</v>
      </c>
      <c r="Q481" s="15">
        <f>AVERAGE(Tableau2[[#This Row],[AWB]:[IAM]])</f>
        <v>-8.669702288119174E-3</v>
      </c>
      <c r="R481" s="15">
        <f>ABS(Tableau2[[#This Row],[Rm ]])</f>
        <v>8.669702288119174E-3</v>
      </c>
      <c r="S481" s="15">
        <f>(Tableau2[[#This Row],[Rm ]]-Tableau2[[#Totals],[Rm ]])^2</f>
        <v>8.9517283404391497E-5</v>
      </c>
      <c r="T481" s="15">
        <f t="shared" si="14"/>
        <v>0.14979175446558912</v>
      </c>
      <c r="U481" s="15">
        <f t="shared" si="15"/>
        <v>0.14476050038634997</v>
      </c>
    </row>
    <row r="482" spans="1:21" x14ac:dyDescent="0.35">
      <c r="A482" s="10">
        <v>45450</v>
      </c>
      <c r="B482" s="2">
        <v>-2.149907991191022E-3</v>
      </c>
      <c r="C482" s="2">
        <v>3.2370758311965871E-3</v>
      </c>
      <c r="D482" s="2">
        <v>-9.5273714436728846E-3</v>
      </c>
      <c r="E482" s="2">
        <v>5.2604013991804097E-3</v>
      </c>
      <c r="F482" s="2">
        <v>3.4051487953044482E-2</v>
      </c>
      <c r="G482" s="2">
        <v>-2.631730831737342E-2</v>
      </c>
      <c r="H482" s="2">
        <v>-1.6529301951210579E-2</v>
      </c>
      <c r="I482" s="2">
        <v>-1.503787736454045E-2</v>
      </c>
      <c r="J482" s="2">
        <v>0</v>
      </c>
      <c r="K482" s="2">
        <v>-3.7268348296974993E-2</v>
      </c>
      <c r="L482" s="2">
        <v>-2.1570192935344221E-2</v>
      </c>
      <c r="M482" s="2">
        <v>3.422707277502139E-3</v>
      </c>
      <c r="N482" s="2">
        <v>-1.0261673553121171E-3</v>
      </c>
      <c r="O482" s="2">
        <v>2.580646593491713E-3</v>
      </c>
      <c r="P482" s="2">
        <v>0</v>
      </c>
      <c r="Q482" s="15">
        <f>AVERAGE(Tableau2[[#This Row],[AWB]:[IAM]])</f>
        <v>-5.3916104400802915E-3</v>
      </c>
      <c r="R482" s="15">
        <f>ABS(Tableau2[[#This Row],[Rm ]])</f>
        <v>5.3916104400802915E-3</v>
      </c>
      <c r="S482" s="15">
        <f>(Tableau2[[#This Row],[Rm ]]-Tableau2[[#Totals],[Rm ]])^2</f>
        <v>3.8232772594501737E-5</v>
      </c>
      <c r="T482" s="15">
        <f t="shared" si="14"/>
        <v>0.18276930559319468</v>
      </c>
      <c r="U482" s="15">
        <f t="shared" si="15"/>
        <v>0.14979175446558912</v>
      </c>
    </row>
    <row r="483" spans="1:21" x14ac:dyDescent="0.35">
      <c r="A483" s="10">
        <v>45453</v>
      </c>
      <c r="B483" s="2">
        <v>-4.1172492237112231E-3</v>
      </c>
      <c r="C483" s="2">
        <v>-6.6558825799821067E-3</v>
      </c>
      <c r="D483" s="2">
        <v>5.1413995004186523E-3</v>
      </c>
      <c r="E483" s="2">
        <v>-5.3922666331025666E-3</v>
      </c>
      <c r="F483" s="2">
        <v>0</v>
      </c>
      <c r="G483" s="2">
        <v>1.324522675002072E-2</v>
      </c>
      <c r="H483" s="2">
        <v>2.061928720273561E-2</v>
      </c>
      <c r="I483" s="2">
        <v>0</v>
      </c>
      <c r="J483" s="2">
        <v>0</v>
      </c>
      <c r="K483" s="2">
        <v>0</v>
      </c>
      <c r="L483" s="2">
        <v>-7.5472056353829663E-3</v>
      </c>
      <c r="M483" s="2">
        <v>0</v>
      </c>
      <c r="N483" s="2">
        <v>-6.6958787385982023E-3</v>
      </c>
      <c r="O483" s="2">
        <v>-5.1679701584425612E-3</v>
      </c>
      <c r="P483" s="2">
        <v>0</v>
      </c>
      <c r="Q483" s="15">
        <f>AVERAGE(Tableau2[[#This Row],[AWB]:[IAM]])</f>
        <v>2.2863069893035696E-4</v>
      </c>
      <c r="R483" s="15">
        <f>ABS(Tableau2[[#This Row],[Rm ]])</f>
        <v>2.2863069893035696E-4</v>
      </c>
      <c r="S483" s="15">
        <f>(Tableau2[[#This Row],[Rm ]]-Tableau2[[#Totals],[Rm ]])^2</f>
        <v>3.169964630292234E-7</v>
      </c>
      <c r="T483" s="15">
        <f t="shared" si="14"/>
        <v>7.6426654060432836E-2</v>
      </c>
      <c r="U483" s="15">
        <f t="shared" si="15"/>
        <v>0.18276930559319468</v>
      </c>
    </row>
    <row r="484" spans="1:21" x14ac:dyDescent="0.35">
      <c r="A484" s="10">
        <v>45457</v>
      </c>
      <c r="B484" s="2">
        <v>0</v>
      </c>
      <c r="C484" s="2">
        <v>0</v>
      </c>
      <c r="D484" s="2">
        <v>-5.1413995004186523E-3</v>
      </c>
      <c r="E484" s="2">
        <v>-2.637826446314744E-4</v>
      </c>
      <c r="F484" s="2">
        <v>0</v>
      </c>
      <c r="G484" s="2">
        <v>7.5985906977922055E-2</v>
      </c>
      <c r="H484" s="2">
        <v>2.0202707317519469E-2</v>
      </c>
      <c r="I484" s="2">
        <v>1.345895223354941E-3</v>
      </c>
      <c r="J484" s="2">
        <v>-2.196998320542052E-3</v>
      </c>
      <c r="K484" s="2">
        <v>-1.332850109740606E-2</v>
      </c>
      <c r="L484" s="2">
        <v>7.5472056353829038E-3</v>
      </c>
      <c r="M484" s="2">
        <v>2.2753138371356049E-3</v>
      </c>
      <c r="N484" s="2">
        <v>-1.300408442320657E-2</v>
      </c>
      <c r="O484" s="2">
        <v>2.0703941143084951E-3</v>
      </c>
      <c r="P484" s="2">
        <v>6.1919702479209804E-3</v>
      </c>
      <c r="Q484" s="15">
        <f>AVERAGE(Tableau2[[#This Row],[AWB]:[IAM]])</f>
        <v>5.4456418244893095E-3</v>
      </c>
      <c r="R484" s="15">
        <f>ABS(Tableau2[[#This Row],[Rm ]])</f>
        <v>5.4456418244893095E-3</v>
      </c>
      <c r="S484" s="15">
        <f>(Tableau2[[#This Row],[Rm ]]-Tableau2[[#Totals],[Rm ]])^2</f>
        <v>2.1659592540591599E-5</v>
      </c>
      <c r="T484" s="15">
        <f t="shared" si="14"/>
        <v>0.17559387256637343</v>
      </c>
      <c r="U484" s="15">
        <f t="shared" si="15"/>
        <v>7.6426654060432836E-2</v>
      </c>
    </row>
    <row r="485" spans="1:21" x14ac:dyDescent="0.35">
      <c r="A485" s="10">
        <v>45463</v>
      </c>
      <c r="B485" s="2">
        <v>3.9285013272875131E-4</v>
      </c>
      <c r="C485" s="2">
        <v>-1.7124753873519491E-4</v>
      </c>
      <c r="D485" s="2">
        <v>-1.5691585747793151E-2</v>
      </c>
      <c r="E485" s="2">
        <v>-7.5206243831385834E-3</v>
      </c>
      <c r="F485" s="2">
        <v>5.9498668475718913E-2</v>
      </c>
      <c r="G485" s="2">
        <v>-1.2270092591814359E-2</v>
      </c>
      <c r="H485" s="2">
        <v>1.153323581367308E-2</v>
      </c>
      <c r="I485" s="2">
        <v>3.361909596297075E-4</v>
      </c>
      <c r="J485" s="2">
        <v>1.465201727327963E-3</v>
      </c>
      <c r="K485" s="2">
        <v>2.500130220541719E-2</v>
      </c>
      <c r="L485" s="2">
        <v>5.249355886143745E-3</v>
      </c>
      <c r="M485" s="2">
        <v>2.247285585205858E-2</v>
      </c>
      <c r="N485" s="2">
        <v>0</v>
      </c>
      <c r="O485" s="2">
        <v>-4.1450836551687751E-3</v>
      </c>
      <c r="P485" s="2">
        <v>0</v>
      </c>
      <c r="Q485" s="15">
        <f>AVERAGE(Tableau2[[#This Row],[AWB]:[IAM]])</f>
        <v>5.7434018090698575E-3</v>
      </c>
      <c r="R485" s="15">
        <f>ABS(Tableau2[[#This Row],[Rm ]])</f>
        <v>5.7434018090698575E-3</v>
      </c>
      <c r="S485" s="15">
        <f>(Tableau2[[#This Row],[Rm ]]-Tableau2[[#Totals],[Rm ]])^2</f>
        <v>2.4519795586618412E-5</v>
      </c>
      <c r="T485" s="15">
        <f t="shared" si="14"/>
        <v>0.18570440186604481</v>
      </c>
      <c r="U485" s="15">
        <f t="shared" si="15"/>
        <v>0.17559387256637343</v>
      </c>
    </row>
    <row r="486" spans="1:21" x14ac:dyDescent="0.35">
      <c r="A486" s="10">
        <v>45464</v>
      </c>
      <c r="B486" s="2">
        <v>1.5698590351200521E-3</v>
      </c>
      <c r="C486" s="2">
        <v>-1.5425489389995369E-3</v>
      </c>
      <c r="D486" s="2">
        <v>0</v>
      </c>
      <c r="E486" s="2">
        <v>3.9792072879372888E-3</v>
      </c>
      <c r="F486" s="2">
        <v>-1.5689834656491181E-2</v>
      </c>
      <c r="G486" s="2">
        <v>-1.2422519998557211E-2</v>
      </c>
      <c r="H486" s="2">
        <v>-1.9565407510937261E-2</v>
      </c>
      <c r="I486" s="2">
        <v>-4.7169898781389101E-3</v>
      </c>
      <c r="J486" s="2">
        <v>-4.9522496681107177E-2</v>
      </c>
      <c r="K486" s="2">
        <v>0</v>
      </c>
      <c r="L486" s="2">
        <v>-7.4822300535211947E-4</v>
      </c>
      <c r="M486" s="2">
        <v>-5.5570993372293257E-4</v>
      </c>
      <c r="N486" s="2">
        <v>2.614380574070894E-3</v>
      </c>
      <c r="O486" s="2">
        <v>-1.3591427203539E-2</v>
      </c>
      <c r="P486" s="2">
        <v>-1.8692133012152522E-2</v>
      </c>
      <c r="Q486" s="15">
        <f>AVERAGE(Tableau2[[#This Row],[AWB]:[IAM]])</f>
        <v>-8.5922562614579763E-3</v>
      </c>
      <c r="R486" s="15">
        <f>ABS(Tableau2[[#This Row],[Rm ]])</f>
        <v>8.5922562614579763E-3</v>
      </c>
      <c r="S486" s="15">
        <f>(Tableau2[[#This Row],[Rm ]]-Tableau2[[#Totals],[Rm ]])^2</f>
        <v>8.8057792220185964E-5</v>
      </c>
      <c r="T486" s="15">
        <f t="shared" si="14"/>
        <v>0.14643401135409143</v>
      </c>
      <c r="U486" s="15">
        <f t="shared" si="15"/>
        <v>0.18570440186604481</v>
      </c>
    </row>
    <row r="487" spans="1:21" x14ac:dyDescent="0.35">
      <c r="A487" s="10">
        <v>45469</v>
      </c>
      <c r="B487" s="2">
        <v>1.556451654111155E-2</v>
      </c>
      <c r="C487" s="2">
        <v>2.2053480714857441E-2</v>
      </c>
      <c r="D487" s="2">
        <v>2.0832985248211758E-2</v>
      </c>
      <c r="E487" s="2">
        <v>1.9739811285552109E-2</v>
      </c>
      <c r="F487" s="2">
        <v>3.1137296298721591E-2</v>
      </c>
      <c r="G487" s="2">
        <v>-6.2696130135953734E-3</v>
      </c>
      <c r="H487" s="2">
        <v>7.4319916252317212E-3</v>
      </c>
      <c r="I487" s="2">
        <v>-2.0283982613926101E-3</v>
      </c>
      <c r="J487" s="2">
        <v>5.2446475372542517E-2</v>
      </c>
      <c r="K487" s="2">
        <v>-1.2422519998557211E-2</v>
      </c>
      <c r="L487" s="2">
        <v>-1.204833851617448E-2</v>
      </c>
      <c r="M487" s="2">
        <v>5.5570993372295479E-4</v>
      </c>
      <c r="N487" s="2">
        <v>7.2841112909826176E-3</v>
      </c>
      <c r="O487" s="2">
        <v>2.597548640326074E-2</v>
      </c>
      <c r="P487" s="2">
        <v>-1.2658396871923581E-2</v>
      </c>
      <c r="Q487" s="15">
        <f>AVERAGE(Tableau2[[#This Row],[AWB]:[IAM]])</f>
        <v>1.0506306536836783E-2</v>
      </c>
      <c r="R487" s="15">
        <f>ABS(Tableau2[[#This Row],[Rm ]])</f>
        <v>1.0506306536836783E-2</v>
      </c>
      <c r="S487" s="15">
        <f>(Tableau2[[#This Row],[Rm ]]-Tableau2[[#Totals],[Rm ]])^2</f>
        <v>9.4374452766485966E-5</v>
      </c>
      <c r="T487" s="15">
        <f t="shared" si="14"/>
        <v>0.20679142236462411</v>
      </c>
      <c r="U487" s="15">
        <f t="shared" si="15"/>
        <v>0.14643401135409143</v>
      </c>
    </row>
    <row r="488" spans="1:21" x14ac:dyDescent="0.35">
      <c r="A488" s="10">
        <v>45470</v>
      </c>
      <c r="B488" s="2">
        <v>-5.8083415957469022E-3</v>
      </c>
      <c r="C488" s="2">
        <v>-1.538621950106097E-2</v>
      </c>
      <c r="D488" s="2">
        <v>-5.1413995004186523E-3</v>
      </c>
      <c r="E488" s="2">
        <v>-5.3094705959581589E-3</v>
      </c>
      <c r="F488" s="2">
        <v>-1.1767228496417851E-2</v>
      </c>
      <c r="G488" s="2">
        <v>6.0195817583861286E-3</v>
      </c>
      <c r="H488" s="2">
        <v>-1.491963158600443E-2</v>
      </c>
      <c r="I488" s="2">
        <v>1.5446915600168649E-2</v>
      </c>
      <c r="J488" s="2">
        <v>-1.4706147389695451E-2</v>
      </c>
      <c r="K488" s="2">
        <v>0</v>
      </c>
      <c r="L488" s="2">
        <v>2.616971773338482E-2</v>
      </c>
      <c r="M488" s="2">
        <v>0</v>
      </c>
      <c r="N488" s="2">
        <v>5.1826899320211431E-4</v>
      </c>
      <c r="O488" s="2">
        <v>-2.564431351405342E-4</v>
      </c>
      <c r="P488" s="2">
        <v>0</v>
      </c>
      <c r="Q488" s="15">
        <f>AVERAGE(Tableau2[[#This Row],[AWB]:[IAM]])</f>
        <v>-1.6760265143534157E-3</v>
      </c>
      <c r="R488" s="15">
        <f>ABS(Tableau2[[#This Row],[Rm ]])</f>
        <v>1.6760265143534157E-3</v>
      </c>
      <c r="S488" s="15">
        <f>(Tableau2[[#This Row],[Rm ]]-Tableau2[[#Totals],[Rm ]])^2</f>
        <v>6.0894524920923807E-6</v>
      </c>
      <c r="T488" s="15">
        <f t="shared" si="14"/>
        <v>0.1210482147162605</v>
      </c>
      <c r="U488" s="15">
        <f t="shared" si="15"/>
        <v>0.20679142236462411</v>
      </c>
    </row>
    <row r="489" spans="1:21" x14ac:dyDescent="0.35">
      <c r="A489" s="10">
        <v>45471</v>
      </c>
      <c r="B489" s="2">
        <v>9.7040279327851447E-4</v>
      </c>
      <c r="C489" s="2">
        <v>8.6521873197169634E-3</v>
      </c>
      <c r="D489" s="2">
        <v>4.6703309512348906E-3</v>
      </c>
      <c r="E489" s="2">
        <v>1.0358482525927051E-2</v>
      </c>
      <c r="F489" s="2">
        <v>2.0202707317519469E-2</v>
      </c>
      <c r="G489" s="2">
        <v>-1.1696039763191409E-2</v>
      </c>
      <c r="H489" s="2">
        <v>-6.0957027184681148E-4</v>
      </c>
      <c r="I489" s="2">
        <v>8.9567691169722182E-3</v>
      </c>
      <c r="J489" s="2">
        <v>-2.2472855852058628E-2</v>
      </c>
      <c r="K489" s="2">
        <v>-2.5317807984289901E-2</v>
      </c>
      <c r="L489" s="2">
        <v>-4.1437189864173177E-2</v>
      </c>
      <c r="M489" s="2">
        <v>1.1049836186584941E-2</v>
      </c>
      <c r="N489" s="2">
        <v>-1.566611674439946E-2</v>
      </c>
      <c r="O489" s="2">
        <v>5.1164092170341837E-3</v>
      </c>
      <c r="P489" s="2">
        <v>1.8928009885518859E-2</v>
      </c>
      <c r="Q489" s="15">
        <f>AVERAGE(Tableau2[[#This Row],[AWB]:[IAM]])</f>
        <v>-1.8862963444114865E-3</v>
      </c>
      <c r="R489" s="15">
        <f>ABS(Tableau2[[#This Row],[Rm ]])</f>
        <v>1.8862963444114865E-3</v>
      </c>
      <c r="S489" s="15">
        <f>(Tableau2[[#This Row],[Rm ]]-Tableau2[[#Totals],[Rm ]])^2</f>
        <v>7.1714238759813088E-6</v>
      </c>
      <c r="T489" s="15">
        <f t="shared" si="14"/>
        <v>0.19489037115750865</v>
      </c>
      <c r="U489" s="15">
        <f t="shared" si="15"/>
        <v>0.1210482147162605</v>
      </c>
    </row>
    <row r="490" spans="1:21" x14ac:dyDescent="0.35">
      <c r="A490" s="10">
        <v>45474</v>
      </c>
      <c r="B490" s="2">
        <v>-9.7040279327851643E-4</v>
      </c>
      <c r="C490" s="2">
        <v>-6.7796869853788038E-3</v>
      </c>
      <c r="D490" s="2">
        <v>-1.508626565759727E-2</v>
      </c>
      <c r="E490" s="2">
        <v>-2.0851758241765789E-2</v>
      </c>
      <c r="F490" s="2">
        <v>0</v>
      </c>
      <c r="G490" s="2">
        <v>-2.562600188935624E-2</v>
      </c>
      <c r="H490" s="2">
        <v>-4.4815719742406779E-3</v>
      </c>
      <c r="I490" s="2">
        <v>-3.5976312169598422E-2</v>
      </c>
      <c r="J490" s="2">
        <v>7.5472056353829038E-3</v>
      </c>
      <c r="K490" s="2">
        <v>7.3631668262840538E-2</v>
      </c>
      <c r="L490" s="2">
        <v>2.6567027384721709E-2</v>
      </c>
      <c r="M490" s="2">
        <v>0</v>
      </c>
      <c r="N490" s="2">
        <v>1.047129986729544E-2</v>
      </c>
      <c r="O490" s="2">
        <v>2.551345848767273E-4</v>
      </c>
      <c r="P490" s="2">
        <v>1.857638557293546E-2</v>
      </c>
      <c r="Q490" s="15">
        <f>AVERAGE(Tableau2[[#This Row],[AWB]:[IAM]])</f>
        <v>1.8184481064558047E-3</v>
      </c>
      <c r="R490" s="15">
        <f>ABS(Tableau2[[#This Row],[Rm ]])</f>
        <v>1.8184481064558047E-3</v>
      </c>
      <c r="S490" s="15">
        <f>(Tableau2[[#This Row],[Rm ]]-Tableau2[[#Totals],[Rm ]])^2</f>
        <v>1.0543039021259127E-6</v>
      </c>
      <c r="T490" s="15">
        <f t="shared" si="14"/>
        <v>0.23976195074641304</v>
      </c>
      <c r="U490" s="15">
        <f t="shared" si="15"/>
        <v>0.19489037115750865</v>
      </c>
    </row>
    <row r="491" spans="1:21" x14ac:dyDescent="0.35">
      <c r="A491" s="10">
        <v>45475</v>
      </c>
      <c r="B491" s="2">
        <v>-3.8910554929665652E-3</v>
      </c>
      <c r="C491" s="2">
        <v>5.1007397178320511E-4</v>
      </c>
      <c r="D491" s="2">
        <v>2.072449515937428E-2</v>
      </c>
      <c r="E491" s="2">
        <v>0</v>
      </c>
      <c r="F491" s="2">
        <v>-4.0080213975388218E-3</v>
      </c>
      <c r="G491" s="2">
        <v>-1.2406296898484669E-2</v>
      </c>
      <c r="H491" s="2">
        <v>-2.0211040616130781E-2</v>
      </c>
      <c r="I491" s="2">
        <v>-1.41357292577494E-2</v>
      </c>
      <c r="J491" s="2">
        <v>1.4555211242259711E-2</v>
      </c>
      <c r="K491" s="2">
        <v>-6.5714374958717986E-2</v>
      </c>
      <c r="L491" s="2">
        <v>-1.205741811703529E-2</v>
      </c>
      <c r="M491" s="2">
        <v>-3.9220713153281267E-2</v>
      </c>
      <c r="N491" s="2">
        <v>-1.839736513971606E-2</v>
      </c>
      <c r="O491" s="2">
        <v>-4.6024116014517016E-3</v>
      </c>
      <c r="P491" s="2">
        <v>0</v>
      </c>
      <c r="Q491" s="15">
        <f>AVERAGE(Tableau2[[#This Row],[AWB]:[IAM]])</f>
        <v>-1.0590309750643689E-2</v>
      </c>
      <c r="R491" s="15">
        <f>ABS(Tableau2[[#This Row],[Rm ]])</f>
        <v>1.0590309750643689E-2</v>
      </c>
      <c r="S491" s="15">
        <f>(Tableau2[[#This Row],[Rm ]]-Tableau2[[#Totals],[Rm ]])^2</f>
        <v>1.2954912359503461E-4</v>
      </c>
      <c r="T491" s="15">
        <f t="shared" si="14"/>
        <v>0.20613725067261848</v>
      </c>
      <c r="U491" s="15">
        <f t="shared" si="15"/>
        <v>0.23976195074641304</v>
      </c>
    </row>
    <row r="492" spans="1:21" x14ac:dyDescent="0.35">
      <c r="A492" s="10">
        <v>45478</v>
      </c>
      <c r="B492" s="2">
        <v>2.3312875473044121E-2</v>
      </c>
      <c r="C492" s="2">
        <v>1.300364519493958E-2</v>
      </c>
      <c r="D492" s="2">
        <v>-2.6032853608090969E-4</v>
      </c>
      <c r="E492" s="2">
        <v>1.049327571583872E-2</v>
      </c>
      <c r="F492" s="2">
        <v>-3.621005766952293E-3</v>
      </c>
      <c r="G492" s="2">
        <v>1.8229671491661201E-2</v>
      </c>
      <c r="H492" s="2">
        <v>2.061928720273561E-2</v>
      </c>
      <c r="I492" s="2">
        <v>3.0771658666753691E-2</v>
      </c>
      <c r="J492" s="2">
        <v>-3.7369889008431141E-2</v>
      </c>
      <c r="K492" s="2">
        <v>4.1849195082477211E-2</v>
      </c>
      <c r="L492" s="2">
        <v>2.2489703490441319E-2</v>
      </c>
      <c r="M492" s="2">
        <v>1.1363758650315E-2</v>
      </c>
      <c r="N492" s="2">
        <v>-3.188100468645769E-3</v>
      </c>
      <c r="O492" s="2">
        <v>1.9289938230861149E-2</v>
      </c>
      <c r="P492" s="2">
        <v>1.8237587549781008E-2</v>
      </c>
      <c r="Q492" s="15">
        <f>AVERAGE(Tableau2[[#This Row],[AWB]:[IAM]])</f>
        <v>1.2348084864582564E-2</v>
      </c>
      <c r="R492" s="15">
        <f>ABS(Tableau2[[#This Row],[Rm ]])</f>
        <v>1.2348084864582564E-2</v>
      </c>
      <c r="S492" s="15">
        <f>(Tableau2[[#This Row],[Rm ]]-Tableau2[[#Totals],[Rm ]])^2</f>
        <v>1.3355106917406479E-4</v>
      </c>
      <c r="T492" s="15">
        <f t="shared" si="14"/>
        <v>0.1878447280300517</v>
      </c>
      <c r="U492" s="15">
        <f t="shared" si="15"/>
        <v>0.20613725067261848</v>
      </c>
    </row>
    <row r="493" spans="1:21" x14ac:dyDescent="0.35">
      <c r="A493" s="10">
        <v>45485</v>
      </c>
      <c r="B493" s="2">
        <v>-1.033699862941743E-2</v>
      </c>
      <c r="C493" s="2">
        <v>3.9478810973787422E-2</v>
      </c>
      <c r="D493" s="2">
        <v>2.0564025079593481E-2</v>
      </c>
      <c r="E493" s="2">
        <v>-1.366285047711779E-2</v>
      </c>
      <c r="F493" s="2">
        <v>7.6290271644910111E-3</v>
      </c>
      <c r="G493" s="2">
        <v>-6.1875403718087529E-2</v>
      </c>
      <c r="H493" s="2">
        <v>-2.4794658613216281E-2</v>
      </c>
      <c r="I493" s="2">
        <v>-3.3205172817455698E-2</v>
      </c>
      <c r="J493" s="2">
        <v>3.0305349495328839E-2</v>
      </c>
      <c r="K493" s="2">
        <v>-1.4498349549141769E-2</v>
      </c>
      <c r="L493" s="2">
        <v>-2.173184062733929E-2</v>
      </c>
      <c r="M493" s="2">
        <v>-7.3717373807776669E-3</v>
      </c>
      <c r="N493" s="2">
        <v>2.3666631812186471E-2</v>
      </c>
      <c r="O493" s="2">
        <v>-3.0111996955040968E-2</v>
      </c>
      <c r="P493" s="2">
        <v>0</v>
      </c>
      <c r="Q493" s="15">
        <f>AVERAGE(Tableau2[[#This Row],[AWB]:[IAM]])</f>
        <v>-6.3963442828138114E-3</v>
      </c>
      <c r="R493" s="15">
        <f>ABS(Tableau2[[#This Row],[Rm ]])</f>
        <v>6.3963442828138114E-3</v>
      </c>
      <c r="S493" s="15">
        <f>(Tableau2[[#This Row],[Rm ]]-Tableau2[[#Totals],[Rm ]])^2</f>
        <v>5.1667334959185712E-5</v>
      </c>
      <c r="T493" s="15">
        <f t="shared" si="14"/>
        <v>0.31407389911391398</v>
      </c>
      <c r="U493" s="15">
        <f t="shared" si="15"/>
        <v>0.1878447280300517</v>
      </c>
    </row>
    <row r="494" spans="1:21" x14ac:dyDescent="0.35">
      <c r="A494" s="10">
        <v>45488</v>
      </c>
      <c r="B494" s="2">
        <v>-9.0848213506601206E-3</v>
      </c>
      <c r="C494" s="2">
        <v>-1.298719552681119E-2</v>
      </c>
      <c r="D494" s="2">
        <v>0</v>
      </c>
      <c r="E494" s="2">
        <v>-2.0310692847563452E-2</v>
      </c>
      <c r="F494" s="2">
        <v>0</v>
      </c>
      <c r="G494" s="2">
        <v>3.6392156077534883E-2</v>
      </c>
      <c r="H494" s="2">
        <v>4.175371410480592E-3</v>
      </c>
      <c r="I494" s="2">
        <v>0</v>
      </c>
      <c r="J494" s="2">
        <v>-3.0305349495328919E-2</v>
      </c>
      <c r="K494" s="2">
        <v>0</v>
      </c>
      <c r="L494" s="2">
        <v>-7.6045993852193036E-3</v>
      </c>
      <c r="M494" s="2">
        <v>-6.8532535505696629E-3</v>
      </c>
      <c r="N494" s="2">
        <v>-1.2552466071119969E-2</v>
      </c>
      <c r="O494" s="2">
        <v>0</v>
      </c>
      <c r="P494" s="2">
        <v>1.197619104671562E-2</v>
      </c>
      <c r="Q494" s="15">
        <f>AVERAGE(Tableau2[[#This Row],[AWB]:[IAM]])</f>
        <v>-3.1436439795027677E-3</v>
      </c>
      <c r="R494" s="15">
        <f>ABS(Tableau2[[#This Row],[Rm ]])</f>
        <v>3.1436439795027677E-3</v>
      </c>
      <c r="S494" s="15">
        <f>(Tableau2[[#This Row],[Rm ]]-Tableau2[[#Totals],[Rm ]])^2</f>
        <v>1.5486578753078438E-5</v>
      </c>
      <c r="T494" s="15">
        <f t="shared" si="14"/>
        <v>0.141273894717036</v>
      </c>
      <c r="U494" s="15">
        <f t="shared" si="15"/>
        <v>0.31407389911391398</v>
      </c>
    </row>
    <row r="495" spans="1:21" x14ac:dyDescent="0.35">
      <c r="A495" s="10">
        <v>45490</v>
      </c>
      <c r="B495" s="2">
        <v>1.541456340118679E-2</v>
      </c>
      <c r="C495" s="2">
        <v>1.298719552681111E-2</v>
      </c>
      <c r="D495" s="2">
        <v>-5.1025615965744119E-4</v>
      </c>
      <c r="E495" s="2">
        <v>4.899584084642207E-2</v>
      </c>
      <c r="F495" s="2">
        <v>3.9920212695374567E-3</v>
      </c>
      <c r="G495" s="2">
        <v>2.0438285126120691E-2</v>
      </c>
      <c r="H495" s="2">
        <v>2.753410019331964E-2</v>
      </c>
      <c r="I495" s="2">
        <v>2.032800402725252E-2</v>
      </c>
      <c r="J495" s="2">
        <v>0</v>
      </c>
      <c r="K495" s="2">
        <v>0</v>
      </c>
      <c r="L495" s="2">
        <v>-7.6628727455691371E-3</v>
      </c>
      <c r="M495" s="2">
        <v>9.6949718595972165E-3</v>
      </c>
      <c r="N495" s="2">
        <v>1.566611674439946E-2</v>
      </c>
      <c r="O495" s="2">
        <v>-7.802380284184899E-3</v>
      </c>
      <c r="P495" s="2">
        <v>-1.1976191046715649E-2</v>
      </c>
      <c r="Q495" s="15">
        <f>AVERAGE(Tableau2[[#This Row],[AWB]:[IAM]])</f>
        <v>9.806626583901322E-3</v>
      </c>
      <c r="R495" s="15">
        <f>ABS(Tableau2[[#This Row],[Rm ]])</f>
        <v>9.806626583901322E-3</v>
      </c>
      <c r="S495" s="15">
        <f>(Tableau2[[#This Row],[Rm ]]-Tableau2[[#Totals],[Rm ]])^2</f>
        <v>8.1269711066437662E-5</v>
      </c>
      <c r="T495" s="15">
        <f t="shared" si="14"/>
        <v>0.16510480976783021</v>
      </c>
      <c r="U495" s="15">
        <f t="shared" si="15"/>
        <v>0.141273894717036</v>
      </c>
    </row>
    <row r="496" spans="1:21" x14ac:dyDescent="0.35">
      <c r="A496" s="10">
        <v>45491</v>
      </c>
      <c r="B496" s="2">
        <v>1.9118631164243881E-4</v>
      </c>
      <c r="C496" s="2">
        <v>0</v>
      </c>
      <c r="D496" s="2">
        <v>-2.7527996841693929E-2</v>
      </c>
      <c r="E496" s="2">
        <v>0</v>
      </c>
      <c r="F496" s="2">
        <v>5.9583095836306249E-3</v>
      </c>
      <c r="G496" s="2">
        <v>5.0449625144320751E-3</v>
      </c>
      <c r="H496" s="2">
        <v>1.3287894326935369E-2</v>
      </c>
      <c r="I496" s="2">
        <v>-1.3651879253398589E-3</v>
      </c>
      <c r="J496" s="2">
        <v>1.5267472130788381E-2</v>
      </c>
      <c r="K496" s="2">
        <v>0</v>
      </c>
      <c r="L496" s="2">
        <v>0</v>
      </c>
      <c r="M496" s="2">
        <v>-3.411032301062821E-3</v>
      </c>
      <c r="N496" s="2">
        <v>1.5424470325631731E-2</v>
      </c>
      <c r="O496" s="2">
        <v>2.6075634070807699E-3</v>
      </c>
      <c r="P496" s="2">
        <v>0</v>
      </c>
      <c r="Q496" s="15">
        <f>AVERAGE(Tableau2[[#This Row],[AWB]:[IAM]])</f>
        <v>1.698509435469652E-3</v>
      </c>
      <c r="R496" s="15">
        <f>ABS(Tableau2[[#This Row],[Rm ]])</f>
        <v>1.698509435469652E-3</v>
      </c>
      <c r="S496" s="15">
        <f>(Tableau2[[#This Row],[Rm ]]-Tableau2[[#Totals],[Rm ]])^2</f>
        <v>8.2238480697378899E-7</v>
      </c>
      <c r="T496" s="15">
        <f t="shared" si="14"/>
        <v>9.3213955878257052E-2</v>
      </c>
      <c r="U496" s="15">
        <f t="shared" si="15"/>
        <v>0.16510480976783021</v>
      </c>
    </row>
    <row r="497" spans="1:21" x14ac:dyDescent="0.35">
      <c r="A497" s="10">
        <v>45492</v>
      </c>
      <c r="B497" s="2">
        <v>8.944773692658085E-3</v>
      </c>
      <c r="C497" s="2">
        <v>-3.2789822822990838E-2</v>
      </c>
      <c r="D497" s="2">
        <v>-1.298993870153531E-2</v>
      </c>
      <c r="E497" s="2">
        <v>-2.5740039951728769E-3</v>
      </c>
      <c r="F497" s="2">
        <v>1.337549445032862E-2</v>
      </c>
      <c r="G497" s="2">
        <v>-6.3426528081425119E-3</v>
      </c>
      <c r="H497" s="2">
        <v>3.9920212695374567E-3</v>
      </c>
      <c r="I497" s="2">
        <v>-9.9537461595468196E-3</v>
      </c>
      <c r="J497" s="2">
        <v>1.0550210895152611E-2</v>
      </c>
      <c r="K497" s="2">
        <v>-7.4534506545808907E-3</v>
      </c>
      <c r="L497" s="2">
        <v>1.4509609267686571E-2</v>
      </c>
      <c r="M497" s="2">
        <v>2.5858663973221289E-2</v>
      </c>
      <c r="N497" s="2">
        <v>-5.1151006667703768E-3</v>
      </c>
      <c r="O497" s="2">
        <v>-1.0471299867295371E-2</v>
      </c>
      <c r="P497" s="2">
        <v>0</v>
      </c>
      <c r="Q497" s="15">
        <f>AVERAGE(Tableau2[[#This Row],[AWB]:[IAM]])</f>
        <v>-6.9728280849669063E-4</v>
      </c>
      <c r="R497" s="15">
        <f>ABS(Tableau2[[#This Row],[Rm ]])</f>
        <v>6.9728280849669063E-4</v>
      </c>
      <c r="S497" s="15">
        <f>(Tableau2[[#This Row],[Rm ]]-Tableau2[[#Totals],[Rm ]])^2</f>
        <v>2.2169360605283637E-6</v>
      </c>
      <c r="T497" s="15">
        <f t="shared" si="14"/>
        <v>0.16357270912819269</v>
      </c>
      <c r="U497" s="15">
        <f t="shared" si="15"/>
        <v>9.3213955878257052E-2</v>
      </c>
    </row>
    <row r="498" spans="1:21" x14ac:dyDescent="0.35">
      <c r="A498" s="10">
        <v>45495</v>
      </c>
      <c r="B498" s="2">
        <v>-1.4504071054672401E-2</v>
      </c>
      <c r="C498" s="2">
        <v>0</v>
      </c>
      <c r="D498" s="2">
        <v>5.1950922609166426E-3</v>
      </c>
      <c r="E498" s="2">
        <v>-1.545384952969768E-2</v>
      </c>
      <c r="F498" s="2">
        <v>-5.4859071751657126E-3</v>
      </c>
      <c r="G498" s="2">
        <v>6.2174021638679827E-2</v>
      </c>
      <c r="H498" s="2">
        <v>3.1375122567753842E-2</v>
      </c>
      <c r="I498" s="2">
        <v>1.7439320412209979E-2</v>
      </c>
      <c r="J498" s="2">
        <v>-7.4990629686034983E-4</v>
      </c>
      <c r="K498" s="2">
        <v>0</v>
      </c>
      <c r="L498" s="2">
        <v>7.5786286310202246E-4</v>
      </c>
      <c r="M498" s="2">
        <v>4.9820197151302153E-3</v>
      </c>
      <c r="N498" s="2">
        <v>2.281467776617126E-2</v>
      </c>
      <c r="O498" s="2">
        <v>0</v>
      </c>
      <c r="P498" s="2">
        <v>0</v>
      </c>
      <c r="Q498" s="15">
        <f>AVERAGE(Tableau2[[#This Row],[AWB]:[IAM]])</f>
        <v>7.2362922111711752E-3</v>
      </c>
      <c r="R498" s="15">
        <f>ABS(Tableau2[[#This Row],[Rm ]])</f>
        <v>7.2362922111711752E-3</v>
      </c>
      <c r="S498" s="15">
        <f>(Tableau2[[#This Row],[Rm ]]-Tableau2[[#Totals],[Rm ]])^2</f>
        <v>4.1533347645441592E-5</v>
      </c>
      <c r="T498" s="15">
        <f t="shared" si="14"/>
        <v>0.20296207434983396</v>
      </c>
      <c r="U498" s="15">
        <f t="shared" si="15"/>
        <v>0.16357270912819269</v>
      </c>
    </row>
    <row r="499" spans="1:21" x14ac:dyDescent="0.35">
      <c r="A499" s="10">
        <v>45496</v>
      </c>
      <c r="B499" s="2">
        <v>5.7653504047237749E-4</v>
      </c>
      <c r="C499" s="2">
        <v>0</v>
      </c>
      <c r="D499" s="2">
        <v>-4.9293821490837856E-3</v>
      </c>
      <c r="E499" s="2">
        <v>2.4834990870702782E-3</v>
      </c>
      <c r="F499" s="2">
        <v>1.0941883297121049E-2</v>
      </c>
      <c r="G499" s="2">
        <v>2.4707493653474921E-2</v>
      </c>
      <c r="H499" s="2">
        <v>0</v>
      </c>
      <c r="I499" s="2">
        <v>2.1794659827420289E-2</v>
      </c>
      <c r="J499" s="2">
        <v>-3.0052614654634282E-3</v>
      </c>
      <c r="K499" s="2">
        <v>-1.4569461432856449E-2</v>
      </c>
      <c r="L499" s="2">
        <v>0</v>
      </c>
      <c r="M499" s="2">
        <v>-3.3185871164320979E-3</v>
      </c>
      <c r="N499" s="2">
        <v>-2.2814677766171399E-2</v>
      </c>
      <c r="O499" s="2">
        <v>-5.2770571008437812E-3</v>
      </c>
      <c r="P499" s="2">
        <v>1.7910926566530021E-2</v>
      </c>
      <c r="Q499" s="15">
        <f>AVERAGE(Tableau2[[#This Row],[AWB]:[IAM]])</f>
        <v>1.6333713627491998E-3</v>
      </c>
      <c r="R499" s="15">
        <f>ABS(Tableau2[[#This Row],[Rm ]])</f>
        <v>1.6333713627491998E-3</v>
      </c>
      <c r="S499" s="15">
        <f>(Tableau2[[#This Row],[Rm ]]-Tableau2[[#Totals],[Rm ]])^2</f>
        <v>7.0848628666641555E-7</v>
      </c>
      <c r="T499" s="15">
        <f t="shared" si="14"/>
        <v>0.12415082637887903</v>
      </c>
      <c r="U499" s="15">
        <f t="shared" si="15"/>
        <v>0.20296207434983396</v>
      </c>
    </row>
    <row r="500" spans="1:21" x14ac:dyDescent="0.35">
      <c r="A500" s="10">
        <v>45497</v>
      </c>
      <c r="B500" s="2">
        <v>4.7915760098992633E-3</v>
      </c>
      <c r="C500" s="2">
        <v>1.324522675002072E-2</v>
      </c>
      <c r="D500" s="2">
        <v>-5.5413611532637288E-3</v>
      </c>
      <c r="E500" s="2">
        <v>3.0850775720475811E-2</v>
      </c>
      <c r="F500" s="2">
        <v>2.948710669852363E-2</v>
      </c>
      <c r="G500" s="2">
        <v>-4.1753714104806206E-3</v>
      </c>
      <c r="H500" s="2">
        <v>-1.5564516541111569E-2</v>
      </c>
      <c r="I500" s="2">
        <v>-6.3217645241756236E-3</v>
      </c>
      <c r="J500" s="2">
        <v>-1.211218441044907E-2</v>
      </c>
      <c r="K500" s="2">
        <v>1.207258123426924E-2</v>
      </c>
      <c r="L500" s="2">
        <v>-7.5786286310191686E-4</v>
      </c>
      <c r="M500" s="2">
        <v>2.9478116954462789E-2</v>
      </c>
      <c r="N500" s="2">
        <v>-3.0816665374081122E-3</v>
      </c>
      <c r="O500" s="2">
        <v>5.2770571008438193E-3</v>
      </c>
      <c r="P500" s="2">
        <v>0</v>
      </c>
      <c r="Q500" s="15">
        <f>AVERAGE(Tableau2[[#This Row],[AWB]:[IAM]])</f>
        <v>5.1765142019003082E-3</v>
      </c>
      <c r="R500" s="15">
        <f>ABS(Tableau2[[#This Row],[Rm ]])</f>
        <v>5.1765142019003082E-3</v>
      </c>
      <c r="S500" s="15">
        <f>(Tableau2[[#This Row],[Rm ]]-Tableau2[[#Totals],[Rm ]])^2</f>
        <v>1.9226989446091247E-5</v>
      </c>
      <c r="T500" s="15">
        <f t="shared" si="14"/>
        <v>0.17387214523928135</v>
      </c>
      <c r="U500" s="15">
        <f t="shared" si="15"/>
        <v>0.12415082637887903</v>
      </c>
    </row>
    <row r="501" spans="1:21" x14ac:dyDescent="0.35">
      <c r="A501" s="10">
        <v>45499</v>
      </c>
      <c r="B501" s="2">
        <v>3.1987675493397101E-2</v>
      </c>
      <c r="C501" s="2">
        <v>9.820046180975513E-3</v>
      </c>
      <c r="D501" s="2">
        <v>2.600014620080511E-2</v>
      </c>
      <c r="E501" s="2">
        <v>1.2578782206860191E-2</v>
      </c>
      <c r="F501" s="2">
        <v>0</v>
      </c>
      <c r="G501" s="2">
        <v>2.9841860403274508E-3</v>
      </c>
      <c r="H501" s="2">
        <v>1.1696039763191239E-2</v>
      </c>
      <c r="I501" s="2">
        <v>1.6551188817997001E-2</v>
      </c>
      <c r="J501" s="2">
        <v>1.1359455733582919E-2</v>
      </c>
      <c r="K501" s="2">
        <v>0</v>
      </c>
      <c r="L501" s="2">
        <v>7.5786286310202246E-4</v>
      </c>
      <c r="M501" s="2">
        <v>-4.853069649073477E-3</v>
      </c>
      <c r="N501" s="2">
        <v>8.1967672041784907E-3</v>
      </c>
      <c r="O501" s="2">
        <v>0</v>
      </c>
      <c r="P501" s="2">
        <v>-3.003228709887509E-2</v>
      </c>
      <c r="Q501" s="15">
        <f>AVERAGE(Tableau2[[#This Row],[AWB]:[IAM]])</f>
        <v>6.4697862504312312E-3</v>
      </c>
      <c r="R501" s="15">
        <f>ABS(Tableau2[[#This Row],[Rm ]])</f>
        <v>6.4697862504312312E-3</v>
      </c>
      <c r="S501" s="15">
        <f>(Tableau2[[#This Row],[Rm ]]-Tableau2[[#Totals],[Rm ]])^2</f>
        <v>3.2241173494323771E-5</v>
      </c>
      <c r="T501" s="15">
        <f t="shared" si="14"/>
        <v>0.11879502140238955</v>
      </c>
      <c r="U501" s="15">
        <f t="shared" si="15"/>
        <v>0.17387214523928135</v>
      </c>
    </row>
    <row r="502" spans="1:21" x14ac:dyDescent="0.35">
      <c r="A502" s="10">
        <v>45502</v>
      </c>
      <c r="B502" s="2">
        <v>2.739897418811435E-2</v>
      </c>
      <c r="C502" s="2">
        <v>0</v>
      </c>
      <c r="D502" s="2">
        <v>-1.9927576535713701E-2</v>
      </c>
      <c r="E502" s="2">
        <v>4.9875415110389679E-3</v>
      </c>
      <c r="F502" s="2">
        <v>1.9062434812347609E-2</v>
      </c>
      <c r="G502" s="2">
        <v>3.5132418798185842E-2</v>
      </c>
      <c r="H502" s="2">
        <v>1.9194447256147159E-2</v>
      </c>
      <c r="I502" s="2">
        <v>3.6426267346978132E-2</v>
      </c>
      <c r="J502" s="2">
        <v>-6.0423144559626982E-3</v>
      </c>
      <c r="K502" s="2">
        <v>0</v>
      </c>
      <c r="L502" s="2">
        <v>-1.5267472130788421E-2</v>
      </c>
      <c r="M502" s="2">
        <v>-2.7063615977429142E-3</v>
      </c>
      <c r="N502" s="2">
        <v>1.0152371464017909E-2</v>
      </c>
      <c r="O502" s="2">
        <v>1.566611674439946E-2</v>
      </c>
      <c r="P502" s="2">
        <v>0</v>
      </c>
      <c r="Q502" s="15">
        <f>AVERAGE(Tableau2[[#This Row],[AWB]:[IAM]])</f>
        <v>8.2717898267347777E-3</v>
      </c>
      <c r="R502" s="15">
        <f>ABS(Tableau2[[#This Row],[Rm ]])</f>
        <v>8.2717898267347777E-3</v>
      </c>
      <c r="S502" s="15">
        <f>(Tableau2[[#This Row],[Rm ]]-Tableau2[[#Totals],[Rm ]])^2</f>
        <v>5.5952415705083396E-5</v>
      </c>
      <c r="T502" s="15">
        <f t="shared" si="14"/>
        <v>0.20254066647447486</v>
      </c>
      <c r="U502" s="15">
        <f t="shared" si="15"/>
        <v>0.11879502140238955</v>
      </c>
    </row>
    <row r="503" spans="1:21" x14ac:dyDescent="0.35">
      <c r="A503" s="10">
        <v>45506</v>
      </c>
      <c r="B503" s="2">
        <v>-1.622937873130525E-3</v>
      </c>
      <c r="C503" s="2">
        <v>2.0951612485778238E-2</v>
      </c>
      <c r="D503" s="2">
        <v>2.5016381784618621E-2</v>
      </c>
      <c r="E503" s="2">
        <v>1.236109682357393E-2</v>
      </c>
      <c r="F503" s="2">
        <v>1.4798374879663109E-3</v>
      </c>
      <c r="G503" s="2">
        <v>-2.2106775781029979E-2</v>
      </c>
      <c r="H503" s="2">
        <v>-1.2434402198427799E-2</v>
      </c>
      <c r="I503" s="2">
        <v>-1.2422519998557211E-2</v>
      </c>
      <c r="J503" s="2">
        <v>-7.6045993852193036E-3</v>
      </c>
      <c r="K503" s="2">
        <v>2.4692612590371411E-2</v>
      </c>
      <c r="L503" s="2">
        <v>3.5515632960735927E-2</v>
      </c>
      <c r="M503" s="2">
        <v>1.879249934936732E-2</v>
      </c>
      <c r="N503" s="2">
        <v>-1.2706651269114799E-2</v>
      </c>
      <c r="O503" s="2">
        <v>-1.592930927125099E-2</v>
      </c>
      <c r="P503" s="2">
        <v>6.0790460763821934E-3</v>
      </c>
      <c r="Q503" s="15">
        <f>AVERAGE(Tableau2[[#This Row],[AWB]:[IAM]])</f>
        <v>4.00410158547089E-3</v>
      </c>
      <c r="R503" s="15">
        <f>ABS(Tableau2[[#This Row],[Rm ]])</f>
        <v>4.00410158547089E-3</v>
      </c>
      <c r="S503" s="15">
        <f>(Tableau2[[#This Row],[Rm ]]-Tableau2[[#Totals],[Rm ]])^2</f>
        <v>1.0319812497161764E-5</v>
      </c>
      <c r="T503" s="15">
        <f t="shared" si="14"/>
        <v>0.22882372708687895</v>
      </c>
      <c r="U503" s="15">
        <f t="shared" si="15"/>
        <v>0.20254066647447486</v>
      </c>
    </row>
    <row r="504" spans="1:21" x14ac:dyDescent="0.35">
      <c r="A504" s="10">
        <v>45509</v>
      </c>
      <c r="B504" s="2">
        <v>-3.4144285985500553E-2</v>
      </c>
      <c r="C504" s="2">
        <v>-2.7487583465563761E-2</v>
      </c>
      <c r="D504" s="2">
        <v>-5.349133784985736E-3</v>
      </c>
      <c r="E504" s="2">
        <v>-2.992742054147314E-2</v>
      </c>
      <c r="F504" s="2">
        <v>-1.302343988628674E-2</v>
      </c>
      <c r="G504" s="2">
        <v>-8.5942429800724765E-2</v>
      </c>
      <c r="H504" s="2">
        <v>-8.3256078047826157E-2</v>
      </c>
      <c r="I504" s="2">
        <v>-8.9812499269341511E-2</v>
      </c>
      <c r="J504" s="2">
        <v>7.6045993852192134E-3</v>
      </c>
      <c r="K504" s="2">
        <v>-2.4692612590371522E-2</v>
      </c>
      <c r="L504" s="2">
        <v>-3.9369202276725877E-2</v>
      </c>
      <c r="M504" s="2">
        <v>-5.7471353914478697E-2</v>
      </c>
      <c r="N504" s="2">
        <v>-2.853630726493436E-2</v>
      </c>
      <c r="O504" s="2">
        <v>-1.1649588989390371E-2</v>
      </c>
      <c r="P504" s="2">
        <v>-1.8349138668196541E-2</v>
      </c>
      <c r="Q504" s="15">
        <f>AVERAGE(Tableau2[[#This Row],[AWB]:[IAM]])</f>
        <v>-3.6093765006705372E-2</v>
      </c>
      <c r="R504" s="15">
        <f>ABS(Tableau2[[#This Row],[Rm ]])</f>
        <v>3.6093765006705372E-2</v>
      </c>
      <c r="S504" s="15">
        <f>(Tableau2[[#This Row],[Rm ]]-Tableau2[[#Totals],[Rm ]])^2</f>
        <v>1.360534215585299E-3</v>
      </c>
      <c r="T504" s="15">
        <f t="shared" si="14"/>
        <v>0.33420382530186543</v>
      </c>
      <c r="U504" s="15">
        <f t="shared" si="15"/>
        <v>0.22882372708687895</v>
      </c>
    </row>
    <row r="505" spans="1:21" x14ac:dyDescent="0.35">
      <c r="A505" s="10">
        <v>45510</v>
      </c>
      <c r="B505" s="2">
        <v>1.758490477544055E-2</v>
      </c>
      <c r="C505" s="2">
        <v>1.6260520871780329E-2</v>
      </c>
      <c r="D505" s="2">
        <v>-2.6039632467518082E-4</v>
      </c>
      <c r="E505" s="2">
        <v>9.950330853168092E-3</v>
      </c>
      <c r="F505" s="2">
        <v>2.9158736770950589E-2</v>
      </c>
      <c r="G505" s="2">
        <v>3.4649135413174277E-2</v>
      </c>
      <c r="H505" s="2">
        <v>3.6965194233471547E-2</v>
      </c>
      <c r="I505" s="2">
        <v>3.4801100209736091E-2</v>
      </c>
      <c r="J505" s="2">
        <v>-7.6045993852193036E-3</v>
      </c>
      <c r="K505" s="2">
        <v>0</v>
      </c>
      <c r="L505" s="2">
        <v>2.666824708216127E-2</v>
      </c>
      <c r="M505" s="2">
        <v>4.0844529477608749E-2</v>
      </c>
      <c r="N505" s="2">
        <v>1.566611674439946E-2</v>
      </c>
      <c r="O505" s="2">
        <v>9.2777338782368927E-3</v>
      </c>
      <c r="P505" s="2">
        <v>1.2270092591814399E-2</v>
      </c>
      <c r="Q505" s="15">
        <f>AVERAGE(Tableau2[[#This Row],[AWB]:[IAM]])</f>
        <v>1.8415443146136516E-2</v>
      </c>
      <c r="R505" s="15">
        <f>ABS(Tableau2[[#This Row],[Rm ]])</f>
        <v>1.8415443146136516E-2</v>
      </c>
      <c r="S505" s="15">
        <f>(Tableau2[[#This Row],[Rm ]]-Tableau2[[#Totals],[Rm ]])^2</f>
        <v>3.1059790550741072E-4</v>
      </c>
      <c r="T505" s="15">
        <f t="shared" si="14"/>
        <v>0.17945290810319953</v>
      </c>
      <c r="U505" s="15">
        <f t="shared" si="15"/>
        <v>0.33420382530186543</v>
      </c>
    </row>
    <row r="506" spans="1:21" x14ac:dyDescent="0.35">
      <c r="A506" s="10">
        <v>45511</v>
      </c>
      <c r="B506" s="2">
        <v>-7.1816900145544533E-3</v>
      </c>
      <c r="C506" s="2">
        <v>1.6127731669510491E-4</v>
      </c>
      <c r="D506" s="2">
        <v>-4.6464360918370062E-3</v>
      </c>
      <c r="E506" s="2">
        <v>-9.950330853168092E-3</v>
      </c>
      <c r="F506" s="2">
        <v>-2.095279740062729E-2</v>
      </c>
      <c r="G506" s="2">
        <v>1.38967986903229E-2</v>
      </c>
      <c r="H506" s="2">
        <v>4.024150299725548E-3</v>
      </c>
      <c r="I506" s="2">
        <v>1.745596522538535E-2</v>
      </c>
      <c r="J506" s="2">
        <v>0</v>
      </c>
      <c r="K506" s="2">
        <v>0</v>
      </c>
      <c r="L506" s="2">
        <v>-3.8318864302136657E-2</v>
      </c>
      <c r="M506" s="2">
        <v>-4.8793807840935158E-3</v>
      </c>
      <c r="N506" s="2">
        <v>1.0309369658861291E-2</v>
      </c>
      <c r="O506" s="2">
        <v>-1.8642350809279829E-2</v>
      </c>
      <c r="P506" s="2">
        <v>2.409755157906052E-2</v>
      </c>
      <c r="Q506" s="15">
        <f>AVERAGE(Tableau2[[#This Row],[AWB]:[IAM]])</f>
        <v>-2.3084491657097425E-3</v>
      </c>
      <c r="R506" s="15">
        <f>ABS(Tableau2[[#This Row],[Rm ]])</f>
        <v>2.3084491657097425E-3</v>
      </c>
      <c r="S506" s="15">
        <f>(Tableau2[[#This Row],[Rm ]]-Tableau2[[#Totals],[Rm ]])^2</f>
        <v>9.6106463857522296E-6</v>
      </c>
      <c r="T506" s="15">
        <f t="shared" si="14"/>
        <v>0.15217981149633841</v>
      </c>
      <c r="U506" s="15">
        <f t="shared" si="15"/>
        <v>0.17945290810319953</v>
      </c>
    </row>
    <row r="507" spans="1:21" x14ac:dyDescent="0.35">
      <c r="A507" s="10">
        <v>45512</v>
      </c>
      <c r="B507" s="2">
        <v>-7.6060101398249492E-3</v>
      </c>
      <c r="C507" s="2">
        <v>1.265941111236645E-2</v>
      </c>
      <c r="D507" s="2">
        <v>5.1671609525931993E-3</v>
      </c>
      <c r="E507" s="2">
        <v>-2.5319660851822579E-4</v>
      </c>
      <c r="F507" s="2">
        <v>2.4946267946577179E-2</v>
      </c>
      <c r="G507" s="2">
        <v>-8.3395136254563722E-3</v>
      </c>
      <c r="H507" s="2">
        <v>-9.2798729293966271E-3</v>
      </c>
      <c r="I507" s="2">
        <v>-2.118794580792506E-2</v>
      </c>
      <c r="J507" s="2">
        <v>0</v>
      </c>
      <c r="K507" s="2">
        <v>2.4692612590371411E-2</v>
      </c>
      <c r="L507" s="2">
        <v>3.1201273362436782E-3</v>
      </c>
      <c r="M507" s="2">
        <v>0</v>
      </c>
      <c r="N507" s="2">
        <v>0</v>
      </c>
      <c r="O507" s="2">
        <v>1.600034134644112E-2</v>
      </c>
      <c r="P507" s="2">
        <v>0</v>
      </c>
      <c r="Q507" s="15">
        <f>AVERAGE(Tableau2[[#This Row],[AWB]:[IAM]])</f>
        <v>2.66129214489812E-3</v>
      </c>
      <c r="R507" s="15">
        <f>ABS(Tableau2[[#This Row],[Rm ]])</f>
        <v>2.66129214489812E-3</v>
      </c>
      <c r="S507" s="15">
        <f>(Tableau2[[#This Row],[Rm ]]-Tableau2[[#Totals],[Rm ]])^2</f>
        <v>3.4955427233910547E-6</v>
      </c>
      <c r="T507" s="15">
        <f t="shared" si="14"/>
        <v>0.13875246416183704</v>
      </c>
      <c r="U507" s="15">
        <f t="shared" si="15"/>
        <v>0.15217981149633841</v>
      </c>
    </row>
    <row r="508" spans="1:21" x14ac:dyDescent="0.35">
      <c r="A508" s="10">
        <v>45513</v>
      </c>
      <c r="B508" s="2">
        <v>7.4211843376168259E-3</v>
      </c>
      <c r="C508" s="2">
        <v>3.1796529173798061E-3</v>
      </c>
      <c r="D508" s="2">
        <v>1.5240653534140849E-2</v>
      </c>
      <c r="E508" s="2">
        <v>1.0203527461686301E-2</v>
      </c>
      <c r="F508" s="2">
        <v>-1.459879942115264E-2</v>
      </c>
      <c r="G508" s="2">
        <v>-1.8645661371462861E-2</v>
      </c>
      <c r="H508" s="2">
        <v>6.8673265240126744E-3</v>
      </c>
      <c r="I508" s="2">
        <v>1.6183765223349071E-2</v>
      </c>
      <c r="J508" s="2">
        <v>0</v>
      </c>
      <c r="K508" s="2">
        <v>4.8768593992674903E-4</v>
      </c>
      <c r="L508" s="2">
        <v>1.2384059199721621E-2</v>
      </c>
      <c r="M508" s="2">
        <v>-2.7210901143606128E-3</v>
      </c>
      <c r="N508" s="2">
        <v>-6.688988150796652E-3</v>
      </c>
      <c r="O508" s="2">
        <v>-1.6000341346441189E-2</v>
      </c>
      <c r="P508" s="2">
        <v>0</v>
      </c>
      <c r="Q508" s="15">
        <f>AVERAGE(Tableau2[[#This Row],[AWB]:[IAM]])</f>
        <v>8.8753164890799559E-4</v>
      </c>
      <c r="R508" s="15">
        <f>ABS(Tableau2[[#This Row],[Rm ]])</f>
        <v>8.8753164890799559E-4</v>
      </c>
      <c r="S508" s="15">
        <f>(Tableau2[[#This Row],[Rm ]]-Tableau2[[#Totals],[Rm ]])^2</f>
        <v>9.1923148733095766E-9</v>
      </c>
      <c r="T508" s="15">
        <f t="shared" si="14"/>
        <v>0.12970653243878821</v>
      </c>
      <c r="U508" s="15">
        <f t="shared" si="15"/>
        <v>0.13875246416183704</v>
      </c>
    </row>
    <row r="509" spans="1:21" x14ac:dyDescent="0.35">
      <c r="A509" s="10">
        <v>45517</v>
      </c>
      <c r="B509" s="2">
        <v>-1.8501392881614771E-3</v>
      </c>
      <c r="C509" s="2">
        <v>-6.0500104932729613E-3</v>
      </c>
      <c r="D509" s="2">
        <v>-3.077005643259836E-2</v>
      </c>
      <c r="E509" s="2">
        <v>2.6284513536919702E-3</v>
      </c>
      <c r="F509" s="2">
        <v>3.6697288889624021E-3</v>
      </c>
      <c r="G509" s="2">
        <v>5.1356027676991232E-2</v>
      </c>
      <c r="H509" s="2">
        <v>-1.337405952525687E-2</v>
      </c>
      <c r="I509" s="2">
        <v>8.6580627431145311E-3</v>
      </c>
      <c r="J509" s="2">
        <v>0</v>
      </c>
      <c r="K509" s="2">
        <v>-4.8768593992672409E-4</v>
      </c>
      <c r="L509" s="2">
        <v>-7.7220460939102778E-3</v>
      </c>
      <c r="M509" s="2">
        <v>-3.2751120978049982E-3</v>
      </c>
      <c r="N509" s="2">
        <v>1.6893158325038231E-2</v>
      </c>
      <c r="O509" s="2">
        <v>1.547110079426265E-2</v>
      </c>
      <c r="P509" s="2">
        <v>0</v>
      </c>
      <c r="Q509" s="15">
        <f>AVERAGE(Tableau2[[#This Row],[AWB]:[IAM]])</f>
        <v>2.3431613274086231E-3</v>
      </c>
      <c r="R509" s="15">
        <f>ABS(Tableau2[[#This Row],[Rm ]])</f>
        <v>2.3431613274086231E-3</v>
      </c>
      <c r="S509" s="15">
        <f>(Tableau2[[#This Row],[Rm ]]-Tableau2[[#Totals],[Rm ]])^2</f>
        <v>2.4071716099815098E-6</v>
      </c>
      <c r="T509" s="15">
        <f t="shared" si="14"/>
        <v>0.16704817306297048</v>
      </c>
      <c r="U509" s="15">
        <f t="shared" si="15"/>
        <v>0.12970653243878821</v>
      </c>
    </row>
    <row r="510" spans="1:21" x14ac:dyDescent="0.35">
      <c r="A510" s="10">
        <v>45519</v>
      </c>
      <c r="B510" s="2">
        <v>8.1151312189908075E-3</v>
      </c>
      <c r="C510" s="2">
        <v>4.4614478081351069E-3</v>
      </c>
      <c r="D510" s="2">
        <v>1.5529402898457429E-2</v>
      </c>
      <c r="E510" s="2">
        <v>0</v>
      </c>
      <c r="F510" s="2">
        <v>3.6563112031104792E-3</v>
      </c>
      <c r="G510" s="2">
        <v>1.8773796564981769E-2</v>
      </c>
      <c r="H510" s="2">
        <v>1.7592203772979369E-2</v>
      </c>
      <c r="I510" s="2">
        <v>1.448346581857975E-2</v>
      </c>
      <c r="J510" s="2">
        <v>-7.6628727455691371E-3</v>
      </c>
      <c r="K510" s="2">
        <v>0</v>
      </c>
      <c r="L510" s="2">
        <v>0</v>
      </c>
      <c r="M510" s="2">
        <v>5.9962022121656756E-3</v>
      </c>
      <c r="N510" s="2">
        <v>0</v>
      </c>
      <c r="O510" s="2">
        <v>-4.7758116775147123E-3</v>
      </c>
      <c r="P510" s="2">
        <v>0</v>
      </c>
      <c r="Q510" s="15">
        <f>AVERAGE(Tableau2[[#This Row],[AWB]:[IAM]])</f>
        <v>5.0779518049544363E-3</v>
      </c>
      <c r="R510" s="15">
        <f>ABS(Tableau2[[#This Row],[Rm ]])</f>
        <v>5.0779518049544363E-3</v>
      </c>
      <c r="S510" s="15">
        <f>(Tableau2[[#This Row],[Rm ]]-Tableau2[[#Totals],[Rm ]])^2</f>
        <v>1.8372339543170899E-5</v>
      </c>
      <c r="T510" s="15">
        <f t="shared" si="14"/>
        <v>9.5305561628232227E-2</v>
      </c>
      <c r="U510" s="15">
        <f t="shared" si="15"/>
        <v>0.16704817306297048</v>
      </c>
    </row>
    <row r="511" spans="1:21" x14ac:dyDescent="0.35">
      <c r="A511" s="10">
        <v>45520</v>
      </c>
      <c r="B511" s="2">
        <v>-5.5258935971101457E-3</v>
      </c>
      <c r="C511" s="2">
        <v>4.4416316675441707E-3</v>
      </c>
      <c r="D511" s="2">
        <v>5.0888052489048959E-3</v>
      </c>
      <c r="E511" s="2">
        <v>8.5880171865334674E-3</v>
      </c>
      <c r="F511" s="2">
        <v>-3.6563112031105429E-3</v>
      </c>
      <c r="G511" s="2">
        <v>-1.16478756750141E-2</v>
      </c>
      <c r="H511" s="2">
        <v>-3.8156487703628942E-3</v>
      </c>
      <c r="I511" s="2">
        <v>-1.018238391918923E-2</v>
      </c>
      <c r="J511" s="2">
        <v>0</v>
      </c>
      <c r="K511" s="2">
        <v>1.212136053234482E-2</v>
      </c>
      <c r="L511" s="2">
        <v>0</v>
      </c>
      <c r="M511" s="2">
        <v>0</v>
      </c>
      <c r="N511" s="2">
        <v>5.0748542068593629E-4</v>
      </c>
      <c r="O511" s="2">
        <v>4.7758116775146828E-3</v>
      </c>
      <c r="P511" s="2">
        <v>1.18344576470028E-2</v>
      </c>
      <c r="Q511" s="15">
        <f>AVERAGE(Tableau2[[#This Row],[AWB]:[IAM]])</f>
        <v>8.3529708104959069E-4</v>
      </c>
      <c r="R511" s="15">
        <f>ABS(Tableau2[[#This Row],[Rm ]])</f>
        <v>8.3529708104959069E-4</v>
      </c>
      <c r="S511" s="15">
        <f>(Tableau2[[#This Row],[Rm ]]-Tableau2[[#Totals],[Rm ]])^2</f>
        <v>1.9046235308325633E-9</v>
      </c>
      <c r="T511" s="15">
        <f t="shared" si="14"/>
        <v>7.3410719752204923E-2</v>
      </c>
      <c r="U511" s="15">
        <f t="shared" si="15"/>
        <v>9.5305561628232227E-2</v>
      </c>
    </row>
    <row r="512" spans="1:21" x14ac:dyDescent="0.35">
      <c r="A512" s="10">
        <v>45527</v>
      </c>
      <c r="B512" s="2">
        <v>4.790869675741786E-3</v>
      </c>
      <c r="C512" s="2">
        <v>-2.8530689824063991E-3</v>
      </c>
      <c r="D512" s="2">
        <v>5.1145721494280883E-3</v>
      </c>
      <c r="E512" s="2">
        <v>-8.5880171865335021E-3</v>
      </c>
      <c r="F512" s="2">
        <v>3.6563112031104792E-3</v>
      </c>
      <c r="G512" s="2">
        <v>0</v>
      </c>
      <c r="H512" s="2">
        <v>6.0180723255629448E-3</v>
      </c>
      <c r="I512" s="2">
        <v>5.2683691167601356E-3</v>
      </c>
      <c r="J512" s="2">
        <v>3.0305349495328839E-2</v>
      </c>
      <c r="K512" s="2">
        <v>-1.212136053234485E-2</v>
      </c>
      <c r="L512" s="2">
        <v>2.1473217706734809E-2</v>
      </c>
      <c r="M512" s="2">
        <v>-1.092907053219032E-2</v>
      </c>
      <c r="N512" s="2">
        <v>-5.0748542068606802E-4</v>
      </c>
      <c r="O512" s="2">
        <v>-5.8402077333013459E-3</v>
      </c>
      <c r="P512" s="2">
        <v>0</v>
      </c>
      <c r="Q512" s="15">
        <f>AVERAGE(Tableau2[[#This Row],[AWB]:[IAM]])</f>
        <v>2.3858367523469735E-3</v>
      </c>
      <c r="R512" s="15">
        <f>ABS(Tableau2[[#This Row],[Rm ]])</f>
        <v>2.3858367523469735E-3</v>
      </c>
      <c r="S512" s="15">
        <f>(Tableau2[[#This Row],[Rm ]]-Tableau2[[#Totals],[Rm ]])^2</f>
        <v>2.5414151779717876E-6</v>
      </c>
      <c r="T512" s="15">
        <f t="shared" si="14"/>
        <v>0.11762502784361935</v>
      </c>
      <c r="U512" s="15">
        <f t="shared" si="15"/>
        <v>7.3410719752204923E-2</v>
      </c>
    </row>
    <row r="513" spans="1:21" x14ac:dyDescent="0.35">
      <c r="A513" s="10">
        <v>45530</v>
      </c>
      <c r="B513" s="2">
        <v>-4.4215252578773739E-3</v>
      </c>
      <c r="C513" s="2">
        <v>-7.0086301544770441E-3</v>
      </c>
      <c r="D513" s="2">
        <v>0</v>
      </c>
      <c r="E513" s="2">
        <v>0</v>
      </c>
      <c r="F513" s="2">
        <v>3.6429912785010091E-3</v>
      </c>
      <c r="G513" s="2">
        <v>0</v>
      </c>
      <c r="H513" s="2">
        <v>3.9992002132689132E-4</v>
      </c>
      <c r="I513" s="2">
        <v>-2.3014969882792741E-3</v>
      </c>
      <c r="J513" s="2">
        <v>0</v>
      </c>
      <c r="K513" s="2">
        <v>-4.8899852941917919E-3</v>
      </c>
      <c r="L513" s="2">
        <v>6.8053192697550826E-3</v>
      </c>
      <c r="M513" s="2">
        <v>-1.49463064657081E-2</v>
      </c>
      <c r="N513" s="2">
        <v>2.5348556031881161E-3</v>
      </c>
      <c r="O513" s="2">
        <v>-1.5987213636971039E-3</v>
      </c>
      <c r="P513" s="2">
        <v>0</v>
      </c>
      <c r="Q513" s="15">
        <f>AVERAGE(Tableau2[[#This Row],[AWB]:[IAM]])</f>
        <v>-1.4522386234306394E-3</v>
      </c>
      <c r="R513" s="15">
        <f>ABS(Tableau2[[#This Row],[Rm ]])</f>
        <v>1.4522386234306394E-3</v>
      </c>
      <c r="S513" s="15">
        <f>(Tableau2[[#This Row],[Rm ]]-Tableau2[[#Totals],[Rm ]])^2</f>
        <v>5.0350589895609006E-6</v>
      </c>
      <c r="T513" s="15">
        <f t="shared" si="14"/>
        <v>5.1551044852091769E-2</v>
      </c>
      <c r="U513" s="15">
        <f t="shared" si="15"/>
        <v>0.11762502784361935</v>
      </c>
    </row>
    <row r="514" spans="1:21" x14ac:dyDescent="0.35">
      <c r="A514" s="10">
        <v>45531</v>
      </c>
      <c r="B514" s="2">
        <v>-1.2260974702058711E-2</v>
      </c>
      <c r="C514" s="2">
        <v>-4.806931223593572E-3</v>
      </c>
      <c r="D514" s="2">
        <v>-5.1145721494280623E-3</v>
      </c>
      <c r="E514" s="2">
        <v>1.525800238898079E-2</v>
      </c>
      <c r="F514" s="2">
        <v>3.635702639575435E-4</v>
      </c>
      <c r="G514" s="2">
        <v>-6.0537902255924378E-3</v>
      </c>
      <c r="H514" s="2">
        <v>-3.9992002132694673E-4</v>
      </c>
      <c r="I514" s="2">
        <v>-1.2587115505471371E-2</v>
      </c>
      <c r="J514" s="2">
        <v>0</v>
      </c>
      <c r="K514" s="2">
        <v>9.7561749453646558E-3</v>
      </c>
      <c r="L514" s="2">
        <v>-1.5082959118849629E-3</v>
      </c>
      <c r="M514" s="2">
        <v>-1.6745747703321881E-3</v>
      </c>
      <c r="N514" s="2">
        <v>-2.046107187134006E-2</v>
      </c>
      <c r="O514" s="2">
        <v>0</v>
      </c>
      <c r="P514" s="2">
        <v>0</v>
      </c>
      <c r="Q514" s="15">
        <f>AVERAGE(Tableau2[[#This Row],[AWB]:[IAM]])</f>
        <v>-2.6326332521816884E-3</v>
      </c>
      <c r="R514" s="15">
        <f>ABS(Tableau2[[#This Row],[Rm ]])</f>
        <v>2.6326332521816884E-3</v>
      </c>
      <c r="S514" s="15">
        <f>(Tableau2[[#This Row],[Rm ]]-Tableau2[[#Totals],[Rm ]])^2</f>
        <v>1.172575063878416E-5</v>
      </c>
      <c r="T514" s="15">
        <f t="shared" si="14"/>
        <v>8.8520187960085261E-2</v>
      </c>
      <c r="U514" s="15">
        <f t="shared" si="15"/>
        <v>5.1551044852091769E-2</v>
      </c>
    </row>
    <row r="515" spans="1:21" x14ac:dyDescent="0.35">
      <c r="A515" s="10">
        <v>45532</v>
      </c>
      <c r="B515" s="2">
        <v>0</v>
      </c>
      <c r="C515" s="2">
        <v>2.246110361919807E-3</v>
      </c>
      <c r="D515" s="2">
        <v>-1.539736570191662E-2</v>
      </c>
      <c r="E515" s="2">
        <v>0</v>
      </c>
      <c r="F515" s="2">
        <v>1.7297728590878969E-2</v>
      </c>
      <c r="G515" s="2">
        <v>1.8637010292427762E-2</v>
      </c>
      <c r="H515" s="2">
        <v>1.192857086527381E-2</v>
      </c>
      <c r="I515" s="2">
        <v>3.3327779012033449E-4</v>
      </c>
      <c r="J515" s="2">
        <v>-1.050272219914929E-2</v>
      </c>
      <c r="K515" s="2">
        <v>0</v>
      </c>
      <c r="L515" s="2">
        <v>-1.138532222512535E-2</v>
      </c>
      <c r="M515" s="2">
        <v>0</v>
      </c>
      <c r="N515" s="2">
        <v>0</v>
      </c>
      <c r="O515" s="2">
        <v>2.663117419483628E-3</v>
      </c>
      <c r="P515" s="2">
        <v>3.4685557987890109E-2</v>
      </c>
      <c r="Q515" s="15">
        <f>AVERAGE(Tableau2[[#This Row],[AWB]:[IAM]])</f>
        <v>3.3670642121202111E-3</v>
      </c>
      <c r="R515" s="15">
        <f>ABS(Tableau2[[#This Row],[Rm ]])</f>
        <v>3.3670642121202111E-3</v>
      </c>
      <c r="S515" s="15">
        <f>(Tableau2[[#This Row],[Rm ]]-Tableau2[[#Totals],[Rm ]])^2</f>
        <v>6.6327321550373405E-6</v>
      </c>
      <c r="T515" s="15">
        <f t="shared" ref="T515:T578" si="16">(ABS(B515-$Q515)+ABS(C515-$Q515)+ABS(D515-$Q515)+ABS(E515-$Q515)+ABS(F515-$Q515)+ABS(G515-$Q515)+ABS(H515-$Q515)+ABS(I515-$Q515)+ABS(J515-$Q515)+ABS(K515-$Q515)+ABS(L515-$Q515)+ABS(M515-$Q515)+ABS(N515-$Q515)+ABS(O515-$Q515)+ABS(P515-$Q515)/15)</f>
        <v>0.10893062758526106</v>
      </c>
      <c r="U515" s="15">
        <f t="shared" si="15"/>
        <v>8.8520187960085261E-2</v>
      </c>
    </row>
    <row r="516" spans="1:21" x14ac:dyDescent="0.35">
      <c r="A516" s="10">
        <v>45533</v>
      </c>
      <c r="B516" s="2">
        <v>3.7313476128581842E-3</v>
      </c>
      <c r="C516" s="2">
        <v>-6.4308903302904034E-3</v>
      </c>
      <c r="D516" s="2">
        <v>1.030856045301182E-2</v>
      </c>
      <c r="E516" s="2">
        <v>1.430079985256355E-2</v>
      </c>
      <c r="F516" s="2">
        <v>2.504981923821337E-2</v>
      </c>
      <c r="G516" s="2">
        <v>-1.1400487817785901E-2</v>
      </c>
      <c r="H516" s="2">
        <v>5.3484567682958131E-2</v>
      </c>
      <c r="I516" s="2">
        <v>2.630865315630062E-2</v>
      </c>
      <c r="J516" s="2">
        <v>-9.8522964430114834E-3</v>
      </c>
      <c r="K516" s="2">
        <v>7.2551708811720156E-3</v>
      </c>
      <c r="L516" s="2">
        <v>0</v>
      </c>
      <c r="M516" s="2">
        <v>-1.6901810802603251E-2</v>
      </c>
      <c r="N516" s="2">
        <v>-1.825344030935035E-2</v>
      </c>
      <c r="O516" s="2">
        <v>-4.3207372735064843E-2</v>
      </c>
      <c r="P516" s="2">
        <v>0</v>
      </c>
      <c r="Q516" s="15">
        <f>AVERAGE(Tableau2[[#This Row],[AWB]:[IAM]])</f>
        <v>2.2928413625980973E-3</v>
      </c>
      <c r="R516" s="15">
        <f>ABS(Tableau2[[#This Row],[Rm ]])</f>
        <v>2.2928413625980973E-3</v>
      </c>
      <c r="S516" s="15">
        <f>(Tableau2[[#This Row],[Rm ]]-Tableau2[[#Totals],[Rm ]])^2</f>
        <v>2.2535602301299E-6</v>
      </c>
      <c r="T516" s="15">
        <f t="shared" si="16"/>
        <v>0.24663807340602381</v>
      </c>
      <c r="U516" s="15">
        <f t="shared" ref="U516:U579" si="17">T515</f>
        <v>0.10893062758526106</v>
      </c>
    </row>
    <row r="517" spans="1:21" x14ac:dyDescent="0.35">
      <c r="A517" s="10">
        <v>45534</v>
      </c>
      <c r="B517" s="2">
        <v>1.442066032643774E-2</v>
      </c>
      <c r="C517" s="2">
        <v>1.4411778661303181E-2</v>
      </c>
      <c r="D517" s="2">
        <v>-1.552940289845748E-2</v>
      </c>
      <c r="E517" s="2">
        <v>-4.8661896511728994E-3</v>
      </c>
      <c r="F517" s="2">
        <v>-1.4035318116383481E-2</v>
      </c>
      <c r="G517" s="2">
        <v>-0.10457280391957691</v>
      </c>
      <c r="H517" s="2">
        <v>-1.499812804579138E-3</v>
      </c>
      <c r="I517" s="2">
        <v>6.1478918765698384E-3</v>
      </c>
      <c r="J517" s="2">
        <v>5.3171412776203391E-3</v>
      </c>
      <c r="K517" s="2">
        <v>7.2029122940580163E-3</v>
      </c>
      <c r="L517" s="2">
        <v>-1.5384918839479461E-2</v>
      </c>
      <c r="M517" s="2">
        <v>4.5351551653913628E-3</v>
      </c>
      <c r="N517" s="2">
        <v>0</v>
      </c>
      <c r="O517" s="2">
        <v>2.1701167514101349E-2</v>
      </c>
      <c r="P517" s="2">
        <v>-1.1428695823622969E-2</v>
      </c>
      <c r="Q517" s="15">
        <f>AVERAGE(Tableau2[[#This Row],[AWB]:[IAM]])</f>
        <v>-6.2386956625193665E-3</v>
      </c>
      <c r="R517" s="15">
        <f>ABS(Tableau2[[#This Row],[Rm ]])</f>
        <v>6.2386956625193665E-3</v>
      </c>
      <c r="S517" s="15">
        <f>(Tableau2[[#This Row],[Rm ]]-Tableau2[[#Totals],[Rm ]])^2</f>
        <v>4.9425831679598429E-5</v>
      </c>
      <c r="T517" s="15">
        <f t="shared" si="16"/>
        <v>0.25467132241948359</v>
      </c>
      <c r="U517" s="15">
        <f t="shared" si="17"/>
        <v>0.24663807340602381</v>
      </c>
    </row>
    <row r="518" spans="1:21" x14ac:dyDescent="0.35">
      <c r="A518" s="10">
        <v>45537</v>
      </c>
      <c r="B518" s="2">
        <v>-8.8496152769824993E-3</v>
      </c>
      <c r="C518" s="2">
        <v>-1.4411778661303319E-2</v>
      </c>
      <c r="D518" s="2">
        <v>0</v>
      </c>
      <c r="E518" s="2">
        <v>4.8661896511729063E-3</v>
      </c>
      <c r="F518" s="2">
        <v>7.042282625412951E-3</v>
      </c>
      <c r="G518" s="2">
        <v>4.3652630157736592E-2</v>
      </c>
      <c r="H518" s="2">
        <v>9.5139604110947615E-2</v>
      </c>
      <c r="I518" s="2">
        <v>9.5016881664665626E-2</v>
      </c>
      <c r="J518" s="2">
        <v>-7.6045993852193036E-3</v>
      </c>
      <c r="K518" s="2">
        <v>2.8071190977479642E-2</v>
      </c>
      <c r="L518" s="2">
        <v>2.1473217706734809E-2</v>
      </c>
      <c r="M518" s="2">
        <v>-1.698273830191597E-3</v>
      </c>
      <c r="N518" s="2">
        <v>-4.2194155427082098E-3</v>
      </c>
      <c r="O518" s="2">
        <v>0</v>
      </c>
      <c r="P518" s="2">
        <v>5.7306747089850736E-3</v>
      </c>
      <c r="Q518" s="15">
        <f>AVERAGE(Tableau2[[#This Row],[AWB]:[IAM]])</f>
        <v>1.7613932593782019E-2</v>
      </c>
      <c r="R518" s="15">
        <f>ABS(Tableau2[[#This Row],[Rm ]])</f>
        <v>1.7613932593782019E-2</v>
      </c>
      <c r="S518" s="15">
        <f>(Tableau2[[#This Row],[Rm ]]-Tableau2[[#Totals],[Rm ]])^2</f>
        <v>2.82989020471322E-4</v>
      </c>
      <c r="T518" s="15">
        <f t="shared" si="16"/>
        <v>0.37947668260483119</v>
      </c>
      <c r="U518" s="15">
        <f t="shared" si="17"/>
        <v>0.25467132241948359</v>
      </c>
    </row>
    <row r="519" spans="1:21" x14ac:dyDescent="0.35">
      <c r="A519" s="10">
        <v>45540</v>
      </c>
      <c r="B519" s="2">
        <v>-7.2484287248279263E-3</v>
      </c>
      <c r="C519" s="2">
        <v>-1.298719552681119E-2</v>
      </c>
      <c r="D519" s="2">
        <v>7.7948464406187119E-3</v>
      </c>
      <c r="E519" s="2">
        <v>-2.8184746688400559E-2</v>
      </c>
      <c r="F519" s="2">
        <v>-3.5093876478789541E-4</v>
      </c>
      <c r="G519" s="2">
        <v>-3.3468444994737202E-2</v>
      </c>
      <c r="H519" s="2">
        <v>-2.10316319572257E-2</v>
      </c>
      <c r="I519" s="2">
        <v>3.2041996454239691E-2</v>
      </c>
      <c r="J519" s="2">
        <v>6.088298867255355E-3</v>
      </c>
      <c r="K519" s="2">
        <v>-1.146345457781899E-2</v>
      </c>
      <c r="L519" s="2">
        <v>-2.9255358148789649E-2</v>
      </c>
      <c r="M519" s="2">
        <v>1.014664849574331E-2</v>
      </c>
      <c r="N519" s="2">
        <v>9.4687714288519669E-3</v>
      </c>
      <c r="O519" s="2">
        <v>0</v>
      </c>
      <c r="P519" s="2">
        <v>-7.1035773116751647E-2</v>
      </c>
      <c r="Q519" s="15">
        <f>AVERAGE(Tableau2[[#This Row],[AWB]:[IAM]])</f>
        <v>-9.9656940542294462E-3</v>
      </c>
      <c r="R519" s="15">
        <f>ABS(Tableau2[[#This Row],[Rm ]])</f>
        <v>9.9656940542294462E-3</v>
      </c>
      <c r="S519" s="15">
        <f>(Tableau2[[#This Row],[Rm ]]-Tableau2[[#Totals],[Rm ]])^2</f>
        <v>1.1572056057435858E-4</v>
      </c>
      <c r="T519" s="15">
        <f t="shared" si="16"/>
        <v>0.21833475280350356</v>
      </c>
      <c r="U519" s="15">
        <f t="shared" si="17"/>
        <v>0.37947668260483119</v>
      </c>
    </row>
    <row r="520" spans="1:21" x14ac:dyDescent="0.35">
      <c r="A520" s="10">
        <v>45544</v>
      </c>
      <c r="B520" s="2">
        <v>1.4911465950315831E-3</v>
      </c>
      <c r="C520" s="2">
        <v>0</v>
      </c>
      <c r="D520" s="2">
        <v>-1.298993870153531E-2</v>
      </c>
      <c r="E520" s="2">
        <v>2.3318557037227749E-2</v>
      </c>
      <c r="F520" s="2">
        <v>-6.6913438606250319E-3</v>
      </c>
      <c r="G520" s="2">
        <v>-6.2549070231099763E-3</v>
      </c>
      <c r="H520" s="2">
        <v>7.7090081719570824E-2</v>
      </c>
      <c r="I520" s="2">
        <v>6.3294850372313596E-2</v>
      </c>
      <c r="J520" s="2">
        <v>-4.1817205966737676E-3</v>
      </c>
      <c r="K520" s="2">
        <v>0</v>
      </c>
      <c r="L520" s="2">
        <v>2.0874356710559011E-2</v>
      </c>
      <c r="M520" s="2">
        <v>-7.3177922952655438E-3</v>
      </c>
      <c r="N520" s="2">
        <v>1.455327141003598E-2</v>
      </c>
      <c r="O520" s="2">
        <v>-1.726779921087869E-2</v>
      </c>
      <c r="P520" s="2">
        <v>1.8237587549781008E-2</v>
      </c>
      <c r="Q520" s="15">
        <f>AVERAGE(Tableau2[[#This Row],[AWB]:[IAM]])</f>
        <v>1.094375664709543E-2</v>
      </c>
      <c r="R520" s="15">
        <f>ABS(Tableau2[[#This Row],[Rm ]])</f>
        <v>1.094375664709543E-2</v>
      </c>
      <c r="S520" s="15">
        <f>(Tableau2[[#This Row],[Rm ]]-Tableau2[[#Totals],[Rm ]])^2</f>
        <v>1.0306516606002152E-4</v>
      </c>
      <c r="T520" s="15">
        <f t="shared" si="16"/>
        <v>0.29660475432465799</v>
      </c>
      <c r="U520" s="15">
        <f t="shared" si="17"/>
        <v>0.21833475280350356</v>
      </c>
    </row>
    <row r="521" spans="1:21" x14ac:dyDescent="0.35">
      <c r="A521" s="10">
        <v>45545</v>
      </c>
      <c r="B521" s="2">
        <v>-1.6776963577217351E-3</v>
      </c>
      <c r="C521" s="2">
        <v>-3.273325344969138E-3</v>
      </c>
      <c r="D521" s="2">
        <v>1.0415934706362441E-2</v>
      </c>
      <c r="E521" s="2">
        <v>0</v>
      </c>
      <c r="F521" s="2">
        <v>7.042282625412951E-3</v>
      </c>
      <c r="G521" s="2">
        <v>-3.3090521623115057E-2</v>
      </c>
      <c r="H521" s="2">
        <v>-1.6260520871780291E-2</v>
      </c>
      <c r="I521" s="2">
        <v>-2.6754737308819731E-2</v>
      </c>
      <c r="J521" s="2">
        <v>-4.4001647437634892E-2</v>
      </c>
      <c r="K521" s="2">
        <v>0</v>
      </c>
      <c r="L521" s="2">
        <v>9.8973019561946398E-3</v>
      </c>
      <c r="M521" s="2">
        <v>-1.7094433359300071E-2</v>
      </c>
      <c r="N521" s="2">
        <v>-1.2983823010458671E-2</v>
      </c>
      <c r="O521" s="2">
        <v>0</v>
      </c>
      <c r="P521" s="2">
        <v>-1.8237587549780901E-2</v>
      </c>
      <c r="Q521" s="15">
        <f>AVERAGE(Tableau2[[#This Row],[AWB]:[IAM]])</f>
        <v>-9.7345849050406962E-3</v>
      </c>
      <c r="R521" s="15">
        <f>ABS(Tableau2[[#This Row],[Rm ]])</f>
        <v>9.7345849050406962E-3</v>
      </c>
      <c r="S521" s="15">
        <f>(Tableau2[[#This Row],[Rm ]]-Tableau2[[#Totals],[Rm ]])^2</f>
        <v>1.1080172839748299E-4</v>
      </c>
      <c r="T521" s="15">
        <f t="shared" si="16"/>
        <v>0.19262621784945194</v>
      </c>
      <c r="U521" s="15">
        <f t="shared" si="17"/>
        <v>0.29660475432465799</v>
      </c>
    </row>
    <row r="522" spans="1:21" x14ac:dyDescent="0.35">
      <c r="A522" s="10">
        <v>45548</v>
      </c>
      <c r="B522" s="2">
        <v>6.5086236273872566E-3</v>
      </c>
      <c r="C522" s="2">
        <v>-1.986820321672517E-2</v>
      </c>
      <c r="D522" s="2">
        <v>1.030856045301182E-2</v>
      </c>
      <c r="E522" s="2">
        <v>-1.2270092591814359E-2</v>
      </c>
      <c r="F522" s="2">
        <v>-1.8056783747242729E-2</v>
      </c>
      <c r="G522" s="2">
        <v>3.6874204133077217E-2</v>
      </c>
      <c r="H522" s="2">
        <v>-8.23049913651548E-3</v>
      </c>
      <c r="I522" s="2">
        <v>-2.7393507909964572E-4</v>
      </c>
      <c r="J522" s="2">
        <v>4.2095069167053391E-2</v>
      </c>
      <c r="K522" s="2">
        <v>3.4685557987890109E-2</v>
      </c>
      <c r="L522" s="2">
        <v>-7.6045993852193036E-3</v>
      </c>
      <c r="M522" s="2">
        <v>7.6854607204890638E-2</v>
      </c>
      <c r="N522" s="2">
        <v>-3.1327223314452361E-2</v>
      </c>
      <c r="O522" s="2">
        <v>1.8082684492967349E-2</v>
      </c>
      <c r="P522" s="2">
        <v>-1.8576385572935419E-2</v>
      </c>
      <c r="Q522" s="15">
        <f>AVERAGE(Tableau2[[#This Row],[AWB]:[IAM]])</f>
        <v>7.2801056681515543E-3</v>
      </c>
      <c r="R522" s="15">
        <f>ABS(Tableau2[[#This Row],[Rm ]])</f>
        <v>7.2801056681515543E-3</v>
      </c>
      <c r="S522" s="15">
        <f>(Tableau2[[#This Row],[Rm ]]-Tableau2[[#Totals],[Rm ]])^2</f>
        <v>4.2099990927127982E-5</v>
      </c>
      <c r="T522" s="15">
        <f t="shared" si="16"/>
        <v>0.32630737370161456</v>
      </c>
      <c r="U522" s="15">
        <f t="shared" si="17"/>
        <v>0.19262621784945194</v>
      </c>
    </row>
    <row r="523" spans="1:21" x14ac:dyDescent="0.35">
      <c r="A523" s="10">
        <v>45553</v>
      </c>
      <c r="B523" s="2">
        <v>1.2966566603259909E-3</v>
      </c>
      <c r="C523" s="2">
        <v>2.6720122778109891E-3</v>
      </c>
      <c r="D523" s="2">
        <v>-1.7593605605633549E-2</v>
      </c>
      <c r="E523" s="2">
        <v>5.9898141581069007E-2</v>
      </c>
      <c r="F523" s="2">
        <v>1.242693073517223E-2</v>
      </c>
      <c r="G523" s="2">
        <v>-7.0570078549312262E-3</v>
      </c>
      <c r="H523" s="2">
        <v>2.8193833544330631E-2</v>
      </c>
      <c r="I523" s="2">
        <v>2.7828352558483739E-2</v>
      </c>
      <c r="J523" s="2">
        <v>0</v>
      </c>
      <c r="K523" s="2">
        <v>2.247285585205858E-2</v>
      </c>
      <c r="L523" s="2">
        <v>0</v>
      </c>
      <c r="M523" s="2">
        <v>4.2485459550849966E-3</v>
      </c>
      <c r="N523" s="2">
        <v>5.9155859521154751E-3</v>
      </c>
      <c r="O523" s="2">
        <v>4.064495502004925E-3</v>
      </c>
      <c r="P523" s="2">
        <v>0</v>
      </c>
      <c r="Q523" s="15">
        <f>AVERAGE(Tableau2[[#This Row],[AWB]:[IAM]])</f>
        <v>9.6244531438594537E-3</v>
      </c>
      <c r="R523" s="15">
        <f>ABS(Tableau2[[#This Row],[Rm ]])</f>
        <v>9.6244531438594537E-3</v>
      </c>
      <c r="S523" s="15">
        <f>(Tableau2[[#This Row],[Rm ]]-Tableau2[[#Totals],[Rm ]])^2</f>
        <v>7.8018321490229536E-5</v>
      </c>
      <c r="T523" s="15">
        <f t="shared" si="16"/>
        <v>0.19641287416936501</v>
      </c>
      <c r="U523" s="15">
        <f t="shared" si="17"/>
        <v>0.32630737370161456</v>
      </c>
    </row>
    <row r="524" spans="1:21" x14ac:dyDescent="0.35">
      <c r="A524" s="10">
        <v>45554</v>
      </c>
      <c r="B524" s="2">
        <v>1.70693324851608E-2</v>
      </c>
      <c r="C524" s="2">
        <v>3.9946790803784427E-3</v>
      </c>
      <c r="D524" s="2">
        <v>1.2426444653040349E-2</v>
      </c>
      <c r="E524" s="2">
        <v>-2.3530497410194161E-2</v>
      </c>
      <c r="F524" s="2">
        <v>-4.9522563184664194E-3</v>
      </c>
      <c r="G524" s="2">
        <v>-1.054723027366306E-2</v>
      </c>
      <c r="H524" s="2">
        <v>1.8626662862053889E-2</v>
      </c>
      <c r="I524" s="2">
        <v>1.218235405260476E-2</v>
      </c>
      <c r="J524" s="2">
        <v>2.2642476749759749E-2</v>
      </c>
      <c r="K524" s="2">
        <v>-6.8992871486951435E-2</v>
      </c>
      <c r="L524" s="2">
        <v>1.525553308837192E-3</v>
      </c>
      <c r="M524" s="2">
        <v>-2.467936413547241E-2</v>
      </c>
      <c r="N524" s="2">
        <v>1.595778543861082E-2</v>
      </c>
      <c r="O524" s="2">
        <v>3.7680233634702368E-2</v>
      </c>
      <c r="P524" s="2">
        <v>0</v>
      </c>
      <c r="Q524" s="15">
        <f>AVERAGE(Tableau2[[#This Row],[AWB]:[IAM]])</f>
        <v>6.2688684269339185E-4</v>
      </c>
      <c r="R524" s="15">
        <f>ABS(Tableau2[[#This Row],[Rm ]])</f>
        <v>6.2688684269339185E-4</v>
      </c>
      <c r="S524" s="15">
        <f>(Tableau2[[#This Row],[Rm ]]-Tableau2[[#Totals],[Rm ]])^2</f>
        <v>2.7148574761498121E-8</v>
      </c>
      <c r="T524" s="15">
        <f t="shared" si="16"/>
        <v>0.27234198697530188</v>
      </c>
      <c r="U524" s="15">
        <f t="shared" si="17"/>
        <v>0.19641287416936501</v>
      </c>
    </row>
    <row r="525" spans="1:21" x14ac:dyDescent="0.35">
      <c r="A525" s="10">
        <v>45555</v>
      </c>
      <c r="B525" s="2">
        <v>3.639010229387791E-4</v>
      </c>
      <c r="C525" s="2">
        <v>-3.4944706497737009E-3</v>
      </c>
      <c r="D525" s="2">
        <v>-1.0362241945864371E-2</v>
      </c>
      <c r="E525" s="2">
        <v>0</v>
      </c>
      <c r="F525" s="2">
        <v>-3.5467281804669521E-4</v>
      </c>
      <c r="G525" s="2">
        <v>-1.46865123076939E-2</v>
      </c>
      <c r="H525" s="2">
        <v>9.4192219164915582E-3</v>
      </c>
      <c r="I525" s="2">
        <v>-7.6628727455691371E-3</v>
      </c>
      <c r="J525" s="2">
        <v>-3.6478208602409933E-2</v>
      </c>
      <c r="K525" s="2">
        <v>4.6520015634892907E-2</v>
      </c>
      <c r="L525" s="2">
        <v>-5.349649747240599E-3</v>
      </c>
      <c r="M525" s="2">
        <v>1.2952150844838009E-2</v>
      </c>
      <c r="N525" s="2">
        <v>6.3124880838923876E-3</v>
      </c>
      <c r="O525" s="2">
        <v>2.6007817000574399E-3</v>
      </c>
      <c r="P525" s="2">
        <v>0</v>
      </c>
      <c r="Q525" s="15">
        <f>AVERAGE(Tableau2[[#This Row],[AWB]:[IAM]])</f>
        <v>-1.4671307565817215E-5</v>
      </c>
      <c r="R525" s="15">
        <f>ABS(Tableau2[[#This Row],[Rm ]])</f>
        <v>1.4671307565817215E-5</v>
      </c>
      <c r="S525" s="15">
        <f>(Tableau2[[#This Row],[Rm ]]-Tableau2[[#Totals],[Rm ]])^2</f>
        <v>6.5016225667592183E-7</v>
      </c>
      <c r="T525" s="15">
        <f t="shared" si="16"/>
        <v>0.15655816610688048</v>
      </c>
      <c r="U525" s="15">
        <f t="shared" si="17"/>
        <v>0.27234198697530188</v>
      </c>
    </row>
    <row r="526" spans="1:21" x14ac:dyDescent="0.35">
      <c r="A526" s="10">
        <v>45559</v>
      </c>
      <c r="B526" s="2">
        <v>-5.1067045138877051E-3</v>
      </c>
      <c r="C526" s="2">
        <v>-1.022041232938797E-2</v>
      </c>
      <c r="D526" s="2">
        <v>5.2859711559608219E-4</v>
      </c>
      <c r="E526" s="2">
        <v>1.18344576470028E-2</v>
      </c>
      <c r="F526" s="2">
        <v>-3.1977287863210919E-3</v>
      </c>
      <c r="G526" s="2">
        <v>-1.53150652140739E-2</v>
      </c>
      <c r="H526" s="2">
        <v>-1.924653194586446E-2</v>
      </c>
      <c r="I526" s="2">
        <v>-2.2261882207912059E-2</v>
      </c>
      <c r="J526" s="2">
        <v>3.27398864918029E-2</v>
      </c>
      <c r="K526" s="2">
        <v>0</v>
      </c>
      <c r="L526" s="2">
        <v>-3.8387763071657129E-3</v>
      </c>
      <c r="M526" s="2">
        <v>-1.6761679261505749E-2</v>
      </c>
      <c r="N526" s="2">
        <v>-2.6253624950834989E-3</v>
      </c>
      <c r="O526" s="2">
        <v>-2.8612322810322348E-3</v>
      </c>
      <c r="P526" s="2">
        <v>0</v>
      </c>
      <c r="Q526" s="15">
        <f>AVERAGE(Tableau2[[#This Row],[AWB]:[IAM]])</f>
        <v>-3.755495605855507E-3</v>
      </c>
      <c r="R526" s="15">
        <f>ABS(Tableau2[[#This Row],[Rm ]])</f>
        <v>3.755495605855507E-3</v>
      </c>
      <c r="S526" s="15">
        <f>(Tableau2[[#This Row],[Rm ]]-Tableau2[[#Totals],[Rm ]])^2</f>
        <v>2.0676579435392537E-5</v>
      </c>
      <c r="T526" s="15">
        <f t="shared" si="16"/>
        <v>0.12942003584548623</v>
      </c>
      <c r="U526" s="15">
        <f t="shared" si="17"/>
        <v>0.15655816610688048</v>
      </c>
    </row>
    <row r="527" spans="1:21" x14ac:dyDescent="0.35">
      <c r="A527" s="10">
        <v>45560</v>
      </c>
      <c r="B527" s="2">
        <v>5.6523078737896783E-3</v>
      </c>
      <c r="C527" s="2">
        <v>7.0481916209724363E-3</v>
      </c>
      <c r="D527" s="2">
        <v>8.8389063906087941E-3</v>
      </c>
      <c r="E527" s="2">
        <v>-3.3495954428182241E-2</v>
      </c>
      <c r="F527" s="2">
        <v>1.4134510934904721E-2</v>
      </c>
      <c r="G527" s="2">
        <v>-4.4687692165570517E-2</v>
      </c>
      <c r="H527" s="2">
        <v>1.2976918932269091E-2</v>
      </c>
      <c r="I527" s="2">
        <v>2.6232767637404841E-2</v>
      </c>
      <c r="J527" s="2">
        <v>3.7383221106071581E-3</v>
      </c>
      <c r="K527" s="2">
        <v>2.247285585205858E-2</v>
      </c>
      <c r="L527" s="2">
        <v>4.8057294953779257E-2</v>
      </c>
      <c r="M527" s="2">
        <v>0</v>
      </c>
      <c r="N527" s="2">
        <v>-1.5364540661247121E-2</v>
      </c>
      <c r="O527" s="2">
        <v>2.6045058097487391E-4</v>
      </c>
      <c r="P527" s="2">
        <v>0</v>
      </c>
      <c r="Q527" s="15">
        <f>AVERAGE(Tableau2[[#This Row],[AWB]:[IAM]])</f>
        <v>3.7242893088246364E-3</v>
      </c>
      <c r="R527" s="15">
        <f>ABS(Tableau2[[#This Row],[Rm ]])</f>
        <v>3.7242893088246364E-3</v>
      </c>
      <c r="S527" s="15">
        <f>(Tableau2[[#This Row],[Rm ]]-Tableau2[[#Totals],[Rm ]])^2</f>
        <v>8.6003434713704544E-6</v>
      </c>
      <c r="T527" s="15">
        <f t="shared" si="16"/>
        <v>0.22779094169904263</v>
      </c>
      <c r="U527" s="15">
        <f t="shared" si="17"/>
        <v>0.12942003584548623</v>
      </c>
    </row>
    <row r="528" spans="1:21" x14ac:dyDescent="0.35">
      <c r="A528" s="10">
        <v>45562</v>
      </c>
      <c r="B528" s="2">
        <v>9.0498355199178562E-3</v>
      </c>
      <c r="C528" s="2">
        <v>-1.380725756945592E-2</v>
      </c>
      <c r="D528" s="2">
        <v>6.1618993922525431E-3</v>
      </c>
      <c r="E528" s="2">
        <v>2.4301348532918912E-3</v>
      </c>
      <c r="F528" s="2">
        <v>-4.1919087334628173E-2</v>
      </c>
      <c r="G528" s="2">
        <v>-1.6124737506906621E-2</v>
      </c>
      <c r="H528" s="2">
        <v>2.1773799549560751E-2</v>
      </c>
      <c r="I528" s="2">
        <v>3.7593538991757672E-2</v>
      </c>
      <c r="J528" s="2">
        <v>4.451665339205E-2</v>
      </c>
      <c r="K528" s="2">
        <v>2.1978906718775171E-2</v>
      </c>
      <c r="L528" s="2">
        <v>4.7252884850545511E-2</v>
      </c>
      <c r="M528" s="2">
        <v>8.1455785707145838E-3</v>
      </c>
      <c r="N528" s="2">
        <v>4.2621268569418159E-3</v>
      </c>
      <c r="O528" s="2">
        <v>5.19481687710393E-3</v>
      </c>
      <c r="P528" s="2">
        <v>0</v>
      </c>
      <c r="Q528" s="15">
        <f>AVERAGE(Tableau2[[#This Row],[AWB]:[IAM]])</f>
        <v>9.1006062107947348E-3</v>
      </c>
      <c r="R528" s="15">
        <f>ABS(Tableau2[[#This Row],[Rm ]])</f>
        <v>9.1006062107947348E-3</v>
      </c>
      <c r="S528" s="15">
        <f>(Tableau2[[#This Row],[Rm ]]-Tableau2[[#Totals],[Rm ]])^2</f>
        <v>6.9038668755945056E-5</v>
      </c>
      <c r="T528" s="15">
        <f t="shared" si="16"/>
        <v>0.24673160576735581</v>
      </c>
      <c r="U528" s="15">
        <f t="shared" si="17"/>
        <v>0.22779094169904263</v>
      </c>
    </row>
    <row r="529" spans="1:21" x14ac:dyDescent="0.35">
      <c r="A529" s="10">
        <v>45565</v>
      </c>
      <c r="B529" s="2">
        <v>-2.1858793812499069E-2</v>
      </c>
      <c r="C529" s="2">
        <v>-2.4023118203100369E-2</v>
      </c>
      <c r="D529" s="2">
        <v>-1.030856045301185E-2</v>
      </c>
      <c r="E529" s="2">
        <v>-9.7561749453646852E-3</v>
      </c>
      <c r="F529" s="2">
        <v>9.1058724251791168E-3</v>
      </c>
      <c r="G529" s="2">
        <v>9.5178227570841753E-2</v>
      </c>
      <c r="H529" s="2">
        <v>-6.1728591070809684E-3</v>
      </c>
      <c r="I529" s="2">
        <v>-1.2730746467979851E-3</v>
      </c>
      <c r="J529" s="2">
        <v>-1.071237381498804E-3</v>
      </c>
      <c r="K529" s="2">
        <v>-2.197890671877523E-2</v>
      </c>
      <c r="L529" s="2">
        <v>1.3889112160667089E-2</v>
      </c>
      <c r="M529" s="2">
        <v>-2.6858287502868731E-2</v>
      </c>
      <c r="N529" s="2">
        <v>-5.3177347703551225E-4</v>
      </c>
      <c r="O529" s="2">
        <v>-1.146442989069937E-2</v>
      </c>
      <c r="P529" s="2">
        <v>0</v>
      </c>
      <c r="Q529" s="15">
        <f>AVERAGE(Tableau2[[#This Row],[AWB]:[IAM]])</f>
        <v>-1.1416002654696415E-3</v>
      </c>
      <c r="R529" s="15">
        <f>ABS(Tableau2[[#This Row],[Rm ]])</f>
        <v>1.1416002654696415E-3</v>
      </c>
      <c r="S529" s="15">
        <f>(Tableau2[[#This Row],[Rm ]]-Tableau2[[#Totals],[Rm ]])^2</f>
        <v>3.7374762628932791E-6</v>
      </c>
      <c r="T529" s="15">
        <f t="shared" si="16"/>
        <v>0.24577411220083797</v>
      </c>
      <c r="U529" s="15">
        <f t="shared" si="17"/>
        <v>0.24673160576735581</v>
      </c>
    </row>
    <row r="530" spans="1:21" x14ac:dyDescent="0.35">
      <c r="A530" s="10">
        <v>45566</v>
      </c>
      <c r="B530" s="2">
        <v>1.8399269220072949E-3</v>
      </c>
      <c r="C530" s="2">
        <v>3.4728251781571628E-4</v>
      </c>
      <c r="D530" s="2">
        <v>-1.041593470636242E-2</v>
      </c>
      <c r="E530" s="2">
        <v>-1.8553407895747831E-2</v>
      </c>
      <c r="F530" s="2">
        <v>-2.496458575736234E-2</v>
      </c>
      <c r="G530" s="2">
        <v>-1.6632676696852311E-2</v>
      </c>
      <c r="H530" s="2">
        <v>-5.4067221270275821E-2</v>
      </c>
      <c r="I530" s="2">
        <v>-3.7642341602875537E-2</v>
      </c>
      <c r="J530" s="2">
        <v>-7.171059772949814E-3</v>
      </c>
      <c r="K530" s="2">
        <v>-2.2246950221111619E-3</v>
      </c>
      <c r="L530" s="2">
        <v>-1.388911216066715E-2</v>
      </c>
      <c r="M530" s="2">
        <v>-1.7372249724470809E-2</v>
      </c>
      <c r="N530" s="2">
        <v>-4.0711185057013592E-2</v>
      </c>
      <c r="O530" s="2">
        <v>-4.2016868537000807E-3</v>
      </c>
      <c r="P530" s="2">
        <v>0</v>
      </c>
      <c r="Q530" s="15">
        <f>AVERAGE(Tableau2[[#This Row],[AWB]:[IAM]])</f>
        <v>-1.6377263138704395E-2</v>
      </c>
      <c r="R530" s="15">
        <f>ABS(Tableau2[[#This Row],[Rm ]])</f>
        <v>1.6377263138704395E-2</v>
      </c>
      <c r="S530" s="15">
        <f>(Tableau2[[#This Row],[Rm ]]-Tableau2[[#Totals],[Rm ]])^2</f>
        <v>2.9477175308569064E-4</v>
      </c>
      <c r="T530" s="15">
        <f t="shared" si="16"/>
        <v>0.17532020647121091</v>
      </c>
      <c r="U530" s="15">
        <f t="shared" si="17"/>
        <v>0.24577411220083797</v>
      </c>
    </row>
    <row r="531" spans="1:21" x14ac:dyDescent="0.35">
      <c r="A531" s="10">
        <v>45567</v>
      </c>
      <c r="B531" s="2">
        <v>-1.2951152347077889E-2</v>
      </c>
      <c r="C531" s="2">
        <v>-6.9686693160933158E-3</v>
      </c>
      <c r="D531" s="2">
        <v>0</v>
      </c>
      <c r="E531" s="2">
        <v>-1.249219400431928E-3</v>
      </c>
      <c r="F531" s="2">
        <v>-1.1215070820140069E-2</v>
      </c>
      <c r="G531" s="2">
        <v>1.279846825793104E-2</v>
      </c>
      <c r="H531" s="2">
        <v>-1.6474837203505101E-2</v>
      </c>
      <c r="I531" s="2">
        <v>-3.5270852177185563E-2</v>
      </c>
      <c r="J531" s="2">
        <v>-2.8839377750083151E-2</v>
      </c>
      <c r="K531" s="2">
        <v>-6.5340624473654851E-2</v>
      </c>
      <c r="L531" s="2">
        <v>-3.5026305512021118E-3</v>
      </c>
      <c r="M531" s="2">
        <v>-1.4806648639764341E-2</v>
      </c>
      <c r="N531" s="2">
        <v>9.3742070529224224E-3</v>
      </c>
      <c r="O531" s="2">
        <v>-3.2088314551500512E-2</v>
      </c>
      <c r="P531" s="2">
        <v>0</v>
      </c>
      <c r="Q531" s="15">
        <f>AVERAGE(Tableau2[[#This Row],[AWB]:[IAM]])</f>
        <v>-1.3768981461319024E-2</v>
      </c>
      <c r="R531" s="15">
        <f>ABS(Tableau2[[#This Row],[Rm ]])</f>
        <v>1.3768981461319024E-2</v>
      </c>
      <c r="S531" s="15">
        <f>(Tableau2[[#This Row],[Rm ]]-Tableau2[[#Totals],[Rm ]])^2</f>
        <v>2.1201213673020911E-4</v>
      </c>
      <c r="T531" s="15">
        <f t="shared" si="16"/>
        <v>0.20756248269166094</v>
      </c>
      <c r="U531" s="15">
        <f t="shared" si="17"/>
        <v>0.17532020647121091</v>
      </c>
    </row>
    <row r="532" spans="1:21" x14ac:dyDescent="0.35">
      <c r="A532" s="10">
        <v>45568</v>
      </c>
      <c r="B532" s="2">
        <v>0</v>
      </c>
      <c r="C532" s="2">
        <v>1.3889112160667089E-2</v>
      </c>
      <c r="D532" s="2">
        <v>7.9691862366043067E-4</v>
      </c>
      <c r="E532" s="2">
        <v>2.4570653934204701E-2</v>
      </c>
      <c r="F532" s="2">
        <v>1.4925650216675791E-2</v>
      </c>
      <c r="G532" s="2">
        <v>4.5447655315488132E-2</v>
      </c>
      <c r="H532" s="2">
        <v>-3.327790092674691E-3</v>
      </c>
      <c r="I532" s="2">
        <v>-1.0191521899571759E-2</v>
      </c>
      <c r="J532" s="2">
        <v>-2.7789997129678862E-2</v>
      </c>
      <c r="K532" s="2">
        <v>6.288772994465501E-2</v>
      </c>
      <c r="L532" s="2">
        <v>1.7391742711869239E-2</v>
      </c>
      <c r="M532" s="2">
        <v>1.1467891165066E-3</v>
      </c>
      <c r="N532" s="2">
        <v>1.5250840252466889E-2</v>
      </c>
      <c r="O532" s="2">
        <v>1.6172859245600971E-2</v>
      </c>
      <c r="P532" s="2">
        <v>0</v>
      </c>
      <c r="Q532" s="15">
        <f>AVERAGE(Tableau2[[#This Row],[AWB]:[IAM]])</f>
        <v>1.1411376159991302E-2</v>
      </c>
      <c r="R532" s="15">
        <f>ABS(Tableau2[[#This Row],[Rm ]])</f>
        <v>1.1411376159991302E-2</v>
      </c>
      <c r="S532" s="15">
        <f>(Tableau2[[#This Row],[Rm ]]-Tableau2[[#Totals],[Rm ]])^2</f>
        <v>1.1277847564044571E-4</v>
      </c>
      <c r="T532" s="15">
        <f t="shared" si="16"/>
        <v>0.22783985125406961</v>
      </c>
      <c r="U532" s="15">
        <f t="shared" si="17"/>
        <v>0.20756248269166094</v>
      </c>
    </row>
    <row r="533" spans="1:21" x14ac:dyDescent="0.35">
      <c r="A533" s="10">
        <v>45569</v>
      </c>
      <c r="B533" s="2">
        <v>1.860465652919671E-3</v>
      </c>
      <c r="C533" s="2">
        <v>0</v>
      </c>
      <c r="D533" s="2">
        <v>9.6190160827018326E-3</v>
      </c>
      <c r="E533" s="2">
        <v>-1.214813393564757E-2</v>
      </c>
      <c r="F533" s="2">
        <v>0</v>
      </c>
      <c r="G533" s="2">
        <v>1.2578782206860191E-2</v>
      </c>
      <c r="H533" s="2">
        <v>-1.0050335853501451E-2</v>
      </c>
      <c r="I533" s="2">
        <v>4.9710127220204021E-3</v>
      </c>
      <c r="J533" s="2">
        <v>-8.4130515342818232E-3</v>
      </c>
      <c r="K533" s="2">
        <v>0</v>
      </c>
      <c r="L533" s="2">
        <v>2.7212563524884791E-2</v>
      </c>
      <c r="M533" s="2">
        <v>3.0476399314005639E-2</v>
      </c>
      <c r="N533" s="2">
        <v>5.4039450112699692E-4</v>
      </c>
      <c r="O533" s="2">
        <v>1.0638398205055801E-2</v>
      </c>
      <c r="P533" s="2">
        <v>0</v>
      </c>
      <c r="Q533" s="15">
        <f>AVERAGE(Tableau2[[#This Row],[AWB]:[IAM]])</f>
        <v>4.4857007257429653E-3</v>
      </c>
      <c r="R533" s="15">
        <f>ABS(Tableau2[[#This Row],[Rm ]])</f>
        <v>4.4857007257429653E-3</v>
      </c>
      <c r="S533" s="15">
        <f>(Tableau2[[#This Row],[Rm ]]-Tableau2[[#Totals],[Rm ]])^2</f>
        <v>1.3645973171484084E-5</v>
      </c>
      <c r="T533" s="15">
        <f t="shared" si="16"/>
        <v>0.13297728139144829</v>
      </c>
      <c r="U533" s="15">
        <f t="shared" si="17"/>
        <v>0.22783985125406961</v>
      </c>
    </row>
    <row r="534" spans="1:21" x14ac:dyDescent="0.35">
      <c r="A534" s="10">
        <v>45572</v>
      </c>
      <c r="B534" s="2">
        <v>-1.498155361561695E-2</v>
      </c>
      <c r="C534" s="2">
        <v>-7.267725362389549E-3</v>
      </c>
      <c r="D534" s="2">
        <v>-5.2208424454456837E-3</v>
      </c>
      <c r="E534" s="2">
        <v>-1.2422519998557211E-2</v>
      </c>
      <c r="F534" s="2">
        <v>0</v>
      </c>
      <c r="G534" s="2">
        <v>-5.0125418235443982E-3</v>
      </c>
      <c r="H534" s="2">
        <v>-3.3726844786392302E-3</v>
      </c>
      <c r="I534" s="2">
        <v>-8.2988028146950658E-3</v>
      </c>
      <c r="J534" s="2">
        <v>7.6775435633069211E-4</v>
      </c>
      <c r="K534" s="2">
        <v>0</v>
      </c>
      <c r="L534" s="2">
        <v>5.8648727081507687E-2</v>
      </c>
      <c r="M534" s="2">
        <v>-1.668985088388185E-3</v>
      </c>
      <c r="N534" s="2">
        <v>0</v>
      </c>
      <c r="O534" s="2">
        <v>4.1456713678346128E-2</v>
      </c>
      <c r="P534" s="2">
        <v>0</v>
      </c>
      <c r="Q534" s="15">
        <f>AVERAGE(Tableau2[[#This Row],[AWB]:[IAM]])</f>
        <v>2.8418359659272158E-3</v>
      </c>
      <c r="R534" s="15">
        <f>ABS(Tableau2[[#This Row],[Rm ]])</f>
        <v>2.8418359659272158E-3</v>
      </c>
      <c r="S534" s="15">
        <f>(Tableau2[[#This Row],[Rm ]]-Tableau2[[#Totals],[Rm ]])^2</f>
        <v>4.2032416309731387E-6</v>
      </c>
      <c r="T534" s="15">
        <f t="shared" si="16"/>
        <v>0.1861911574211334</v>
      </c>
      <c r="U534" s="15">
        <f t="shared" si="17"/>
        <v>0.13297728139144829</v>
      </c>
    </row>
    <row r="535" spans="1:21" x14ac:dyDescent="0.35">
      <c r="A535" s="10">
        <v>45573</v>
      </c>
      <c r="B535" s="2">
        <v>-9.47874395454377E-3</v>
      </c>
      <c r="C535" s="2">
        <v>-1.012401734947958E-2</v>
      </c>
      <c r="D535" s="2">
        <v>5.6415408109268643E-3</v>
      </c>
      <c r="E535" s="2">
        <v>2.4996875520744041E-4</v>
      </c>
      <c r="F535" s="2">
        <v>-1.4925650216675711E-2</v>
      </c>
      <c r="G535" s="2">
        <v>-4.6280752564006232E-2</v>
      </c>
      <c r="H535" s="2">
        <v>-1.36056520557786E-2</v>
      </c>
      <c r="I535" s="2">
        <v>-4.226980134619799E-2</v>
      </c>
      <c r="J535" s="2">
        <v>-3.8380349732325847E-4</v>
      </c>
      <c r="K535" s="2">
        <v>2.452894528999874E-3</v>
      </c>
      <c r="L535" s="2">
        <v>-1.9815285604143851E-2</v>
      </c>
      <c r="M535" s="2">
        <v>-2.2523474667082991E-2</v>
      </c>
      <c r="N535" s="2">
        <v>-8.6815520848268091E-3</v>
      </c>
      <c r="O535" s="2">
        <v>0</v>
      </c>
      <c r="P535" s="2">
        <v>0</v>
      </c>
      <c r="Q535" s="15">
        <f>AVERAGE(Tableau2[[#This Row],[AWB]:[IAM]])</f>
        <v>-1.1982955282994975E-2</v>
      </c>
      <c r="R535" s="15">
        <f>ABS(Tableau2[[#This Row],[Rm ]])</f>
        <v>1.1982955282994975E-2</v>
      </c>
      <c r="S535" s="15">
        <f>(Tableau2[[#This Row],[Rm ]]-Tableau2[[#Totals],[Rm ]])^2</f>
        <v>1.6319067013849162E-4</v>
      </c>
      <c r="T535" s="15">
        <f t="shared" si="16"/>
        <v>0.16386167791436909</v>
      </c>
      <c r="U535" s="15">
        <f t="shared" si="17"/>
        <v>0.1861911574211334</v>
      </c>
    </row>
    <row r="536" spans="1:21" x14ac:dyDescent="0.35">
      <c r="A536" s="10">
        <v>45576</v>
      </c>
      <c r="B536" s="2">
        <v>2.4460297570160671E-2</v>
      </c>
      <c r="C536" s="2">
        <v>1.220590567950376E-2</v>
      </c>
      <c r="D536" s="2">
        <v>-1.0520779508037799E-3</v>
      </c>
      <c r="E536" s="2">
        <v>-2.5311399350578519E-2</v>
      </c>
      <c r="F536" s="2">
        <v>9.3546051672203177E-3</v>
      </c>
      <c r="G536" s="2">
        <v>-6.5811124454919043E-4</v>
      </c>
      <c r="H536" s="2">
        <v>2.7028672387919419E-2</v>
      </c>
      <c r="I536" s="2">
        <v>-3.5691740123513907E-2</v>
      </c>
      <c r="J536" s="2">
        <v>-3.8395085900750871E-4</v>
      </c>
      <c r="K536" s="2">
        <v>1.327453120869611E-2</v>
      </c>
      <c r="L536" s="2">
        <v>1.664571084286471E-2</v>
      </c>
      <c r="M536" s="2">
        <v>-3.422707277502283E-3</v>
      </c>
      <c r="N536" s="2">
        <v>1.633542426961626E-3</v>
      </c>
      <c r="O536" s="2">
        <v>-5.0890695074712932E-3</v>
      </c>
      <c r="P536" s="2">
        <v>0</v>
      </c>
      <c r="Q536" s="15">
        <f>AVERAGE(Tableau2[[#This Row],[AWB]:[IAM]])</f>
        <v>2.1996139313266755E-3</v>
      </c>
      <c r="R536" s="15">
        <f>ABS(Tableau2[[#This Row],[Rm ]])</f>
        <v>2.1996139313266755E-3</v>
      </c>
      <c r="S536" s="15">
        <f>(Tableau2[[#This Row],[Rm ]]-Tableau2[[#Totals],[Rm ]])^2</f>
        <v>1.9823481036466023E-6</v>
      </c>
      <c r="T536" s="15">
        <f t="shared" si="16"/>
        <v>0.1774911055342383</v>
      </c>
      <c r="U536" s="15">
        <f t="shared" si="17"/>
        <v>0.16386167791436909</v>
      </c>
    </row>
    <row r="537" spans="1:21" x14ac:dyDescent="0.35">
      <c r="A537" s="10">
        <v>45579</v>
      </c>
      <c r="B537" s="2">
        <v>-5.5918132657778296E-3</v>
      </c>
      <c r="C537" s="2">
        <v>4.840949979455474E-3</v>
      </c>
      <c r="D537" s="2">
        <v>0</v>
      </c>
      <c r="E537" s="2">
        <v>2.4686360265288199E-2</v>
      </c>
      <c r="F537" s="2">
        <v>0</v>
      </c>
      <c r="G537" s="2">
        <v>-1.058911284279832E-2</v>
      </c>
      <c r="H537" s="2">
        <v>-2.360986563913374E-2</v>
      </c>
      <c r="I537" s="2">
        <v>-3.6701366850427811E-2</v>
      </c>
      <c r="J537" s="2">
        <v>0</v>
      </c>
      <c r="K537" s="2">
        <v>0</v>
      </c>
      <c r="L537" s="2">
        <v>0</v>
      </c>
      <c r="M537" s="2">
        <v>0</v>
      </c>
      <c r="N537" s="2">
        <v>-9.8415228447913203E-3</v>
      </c>
      <c r="O537" s="2">
        <v>5.1007397178342705E-4</v>
      </c>
      <c r="P537" s="2">
        <v>1.857638557293546E-2</v>
      </c>
      <c r="Q537" s="15">
        <f>AVERAGE(Tableau2[[#This Row],[AWB]:[IAM]])</f>
        <v>-2.5146607768977637E-3</v>
      </c>
      <c r="R537" s="15">
        <f>ABS(Tableau2[[#This Row],[Rm ]])</f>
        <v>2.5146607768977637E-3</v>
      </c>
      <c r="S537" s="15">
        <f>(Tableau2[[#This Row],[Rm ]]-Tableau2[[#Totals],[Rm ]])^2</f>
        <v>1.0931724600482889E-5</v>
      </c>
      <c r="T537" s="15">
        <f t="shared" si="16"/>
        <v>0.12783577852370276</v>
      </c>
      <c r="U537" s="15">
        <f t="shared" si="17"/>
        <v>0.1774911055342383</v>
      </c>
    </row>
    <row r="538" spans="1:21" x14ac:dyDescent="0.35">
      <c r="A538" s="10">
        <v>45581</v>
      </c>
      <c r="B538" s="2">
        <v>-3.7453227301620529E-3</v>
      </c>
      <c r="C538" s="2">
        <v>-3.1093478151775389E-3</v>
      </c>
      <c r="D538" s="2">
        <v>-1.058210933053697E-2</v>
      </c>
      <c r="E538" s="2">
        <v>-2.1280598880354679E-3</v>
      </c>
      <c r="F538" s="2">
        <v>1.860465652919671E-3</v>
      </c>
      <c r="G538" s="2">
        <v>-4.4209851471982517E-2</v>
      </c>
      <c r="H538" s="2">
        <v>-1.7212128881121409E-2</v>
      </c>
      <c r="I538" s="2">
        <v>-1.253934925273536E-2</v>
      </c>
      <c r="J538" s="2">
        <v>-7.6834425600918121E-4</v>
      </c>
      <c r="K538" s="2">
        <v>-4.4951387862266268E-2</v>
      </c>
      <c r="L538" s="2">
        <v>-3.5544937419411352E-2</v>
      </c>
      <c r="M538" s="2">
        <v>-1.7291497110060991E-2</v>
      </c>
      <c r="N538" s="2">
        <v>-2.2223136784710239E-2</v>
      </c>
      <c r="O538" s="2">
        <v>-2.112936117451903E-2</v>
      </c>
      <c r="P538" s="2">
        <v>0</v>
      </c>
      <c r="Q538" s="15">
        <f>AVERAGE(Tableau2[[#This Row],[AWB]:[IAM]])</f>
        <v>-1.5571624554920581E-2</v>
      </c>
      <c r="R538" s="15">
        <f>ABS(Tableau2[[#This Row],[Rm ]])</f>
        <v>1.5571624554920581E-2</v>
      </c>
      <c r="S538" s="15">
        <f>(Tableau2[[#This Row],[Rm ]]-Tableau2[[#Totals],[Rm ]])^2</f>
        <v>2.6775692068235806E-4</v>
      </c>
      <c r="T538" s="15">
        <f t="shared" si="16"/>
        <v>0.17258834138799631</v>
      </c>
      <c r="U538" s="15">
        <f t="shared" si="17"/>
        <v>0.12783577852370276</v>
      </c>
    </row>
    <row r="539" spans="1:21" x14ac:dyDescent="0.35">
      <c r="A539" s="10">
        <v>45582</v>
      </c>
      <c r="B539" s="2">
        <v>1.28625130583967E-2</v>
      </c>
      <c r="C539" s="2">
        <v>1.0155866617114441E-2</v>
      </c>
      <c r="D539" s="2">
        <v>7.9470616925319398E-3</v>
      </c>
      <c r="E539" s="2">
        <v>1.2453461071286561E-2</v>
      </c>
      <c r="F539" s="2">
        <v>1.072297203658595E-2</v>
      </c>
      <c r="G539" s="2">
        <v>5.0444533735785772E-2</v>
      </c>
      <c r="H539" s="2">
        <v>7.3611817343245955E-2</v>
      </c>
      <c r="I539" s="2">
        <v>9.5023359208639899E-2</v>
      </c>
      <c r="J539" s="2">
        <v>6.6170547612232247E-2</v>
      </c>
      <c r="K539" s="2">
        <v>3.345700843653112E-2</v>
      </c>
      <c r="L539" s="2">
        <v>1.8899226576546479E-2</v>
      </c>
      <c r="M539" s="2">
        <v>3.9891329027302018E-2</v>
      </c>
      <c r="N539" s="2">
        <v>1.1728701889825241E-2</v>
      </c>
      <c r="O539" s="2">
        <v>2.061928720273561E-2</v>
      </c>
      <c r="P539" s="2">
        <v>1.219527309381821E-2</v>
      </c>
      <c r="Q539" s="15">
        <f>AVERAGE(Tableau2[[#This Row],[AWB]:[IAM]])</f>
        <v>3.1745530573505203E-2</v>
      </c>
      <c r="R539" s="15">
        <f>ABS(Tableau2[[#This Row],[Rm ]])</f>
        <v>3.1745530573505203E-2</v>
      </c>
      <c r="S539" s="15">
        <f>(Tableau2[[#This Row],[Rm ]]-Tableau2[[#Totals],[Rm ]])^2</f>
        <v>9.5814240755335883E-4</v>
      </c>
      <c r="T539" s="15">
        <f t="shared" si="16"/>
        <v>0.3180039168643703</v>
      </c>
      <c r="U539" s="15">
        <f t="shared" si="17"/>
        <v>0.17258834138799631</v>
      </c>
    </row>
    <row r="540" spans="1:21" x14ac:dyDescent="0.35">
      <c r="A540" s="10">
        <v>45583</v>
      </c>
      <c r="B540" s="2">
        <v>-3.5253770624568631E-3</v>
      </c>
      <c r="C540" s="2">
        <v>1.712475387351198E-4</v>
      </c>
      <c r="D540" s="2">
        <v>-2.642009462838696E-3</v>
      </c>
      <c r="E540" s="2">
        <v>0</v>
      </c>
      <c r="F540" s="2">
        <v>1.06092087097692E-2</v>
      </c>
      <c r="G540" s="2">
        <v>-1.4921673077273011E-2</v>
      </c>
      <c r="H540" s="2">
        <v>-3.2789822822990838E-2</v>
      </c>
      <c r="I540" s="2">
        <v>-3.9794601260854073E-2</v>
      </c>
      <c r="J540" s="2">
        <v>-6.1338817612661316E-3</v>
      </c>
      <c r="K540" s="2">
        <v>0</v>
      </c>
      <c r="L540" s="2">
        <v>6.4536949642365286E-4</v>
      </c>
      <c r="M540" s="2">
        <v>-1.6901810802603251E-2</v>
      </c>
      <c r="N540" s="2">
        <v>1.104373455165187E-2</v>
      </c>
      <c r="O540" s="2">
        <v>0</v>
      </c>
      <c r="P540" s="2">
        <v>0</v>
      </c>
      <c r="Q540" s="15">
        <f>AVERAGE(Tableau2[[#This Row],[AWB]:[IAM]])</f>
        <v>-6.2826410635802004E-3</v>
      </c>
      <c r="R540" s="15">
        <f>ABS(Tableau2[[#This Row],[Rm ]])</f>
        <v>6.2826410635802004E-3</v>
      </c>
      <c r="S540" s="15">
        <f>(Tableau2[[#This Row],[Rm ]]-Tableau2[[#Totals],[Rm ]])^2</f>
        <v>5.0045666044559335E-5</v>
      </c>
      <c r="T540" s="15">
        <f t="shared" si="16"/>
        <v>0.15269088909279252</v>
      </c>
      <c r="U540" s="15">
        <f t="shared" si="17"/>
        <v>0.3180039168643703</v>
      </c>
    </row>
    <row r="541" spans="1:21" x14ac:dyDescent="0.35">
      <c r="A541" s="10">
        <v>45587</v>
      </c>
      <c r="B541" s="2">
        <v>1.6714647776665951E-3</v>
      </c>
      <c r="C541" s="2">
        <v>-3.4305350967892478E-3</v>
      </c>
      <c r="D541" s="2">
        <v>0</v>
      </c>
      <c r="E541" s="2">
        <v>-4.9627893421290139E-3</v>
      </c>
      <c r="F541" s="2">
        <v>-1.7251299549624361E-2</v>
      </c>
      <c r="G541" s="2">
        <v>7.1227509288367782E-2</v>
      </c>
      <c r="H541" s="2">
        <v>1.6529301951210509E-2</v>
      </c>
      <c r="I541" s="2">
        <v>-2.3909156637730309E-3</v>
      </c>
      <c r="J541" s="2">
        <v>-1.4487507061305639E-3</v>
      </c>
      <c r="K541" s="2">
        <v>2.2229632191120551E-4</v>
      </c>
      <c r="L541" s="2">
        <v>-6.453694964236418E-4</v>
      </c>
      <c r="M541" s="2">
        <v>1.1299555253933471E-2</v>
      </c>
      <c r="N541" s="2">
        <v>2.1941862889839612E-3</v>
      </c>
      <c r="O541" s="2">
        <v>-1.5424470325631641E-2</v>
      </c>
      <c r="P541" s="2">
        <v>0</v>
      </c>
      <c r="Q541" s="15">
        <f>AVERAGE(Tableau2[[#This Row],[AWB]:[IAM]])</f>
        <v>3.8393455801048007E-3</v>
      </c>
      <c r="R541" s="15">
        <f>ABS(Tableau2[[#This Row],[Rm ]])</f>
        <v>3.8393455801048007E-3</v>
      </c>
      <c r="S541" s="15">
        <f>(Tableau2[[#This Row],[Rm ]]-Tableau2[[#Totals],[Rm ]])^2</f>
        <v>9.2884173338148482E-6</v>
      </c>
      <c r="T541" s="15">
        <f t="shared" si="16"/>
        <v>0.17149327029829689</v>
      </c>
      <c r="U541" s="15">
        <f t="shared" si="17"/>
        <v>0.15269088909279252</v>
      </c>
    </row>
    <row r="542" spans="1:21" x14ac:dyDescent="0.35">
      <c r="A542" s="10">
        <v>45590</v>
      </c>
      <c r="B542" s="2">
        <v>1.125576972379318E-2</v>
      </c>
      <c r="C542" s="2">
        <v>-3.4423441909727901E-3</v>
      </c>
      <c r="D542" s="2">
        <v>-5.3050522296932291E-3</v>
      </c>
      <c r="E542" s="2">
        <v>2.4844733276619662E-3</v>
      </c>
      <c r="F542" s="2">
        <v>2.810916952167344E-2</v>
      </c>
      <c r="G542" s="2">
        <v>-2.275698712261618E-2</v>
      </c>
      <c r="H542" s="2">
        <v>5.7340546615244847E-2</v>
      </c>
      <c r="I542" s="2">
        <v>4.6193538322165918E-2</v>
      </c>
      <c r="J542" s="2">
        <v>-2.9051500712383639E-2</v>
      </c>
      <c r="K542" s="2">
        <v>-2.225060893481981E-2</v>
      </c>
      <c r="L542" s="2">
        <v>-1.234182603038754E-2</v>
      </c>
      <c r="M542" s="2">
        <v>-3.9403372119229396E-3</v>
      </c>
      <c r="N542" s="2">
        <v>3.8282792174837051E-3</v>
      </c>
      <c r="O542" s="2">
        <v>1.567953983345511E-2</v>
      </c>
      <c r="P542" s="2">
        <v>6.0423144559626617E-3</v>
      </c>
      <c r="Q542" s="15">
        <f>AVERAGE(Tableau2[[#This Row],[AWB]:[IAM]])</f>
        <v>4.7896649723096459E-3</v>
      </c>
      <c r="R542" s="15">
        <f>ABS(Tableau2[[#This Row],[Rm ]])</f>
        <v>4.7896649723096459E-3</v>
      </c>
      <c r="S542" s="15">
        <f>(Tableau2[[#This Row],[Rm ]]-Tableau2[[#Totals],[Rm ]])^2</f>
        <v>1.5984083032609252E-5</v>
      </c>
      <c r="T542" s="15">
        <f t="shared" si="16"/>
        <v>0.27059663775879839</v>
      </c>
      <c r="U542" s="15">
        <f t="shared" si="17"/>
        <v>0.17149327029829689</v>
      </c>
    </row>
    <row r="543" spans="1:21" x14ac:dyDescent="0.35">
      <c r="A543" s="10">
        <v>45593</v>
      </c>
      <c r="B543" s="2">
        <v>0</v>
      </c>
      <c r="C543" s="2">
        <v>0</v>
      </c>
      <c r="D543" s="2">
        <v>5.3050522296930981E-3</v>
      </c>
      <c r="E543" s="2">
        <v>7.4165976550496192E-3</v>
      </c>
      <c r="F543" s="2">
        <v>-2.1099364024246121E-2</v>
      </c>
      <c r="G543" s="2">
        <v>-1.546422569758159E-2</v>
      </c>
      <c r="H543" s="2">
        <v>3.6478208602409877E-2</v>
      </c>
      <c r="I543" s="2">
        <v>0</v>
      </c>
      <c r="J543" s="2">
        <v>-1.6933612529439621E-2</v>
      </c>
      <c r="K543" s="2">
        <v>-2.1595141982044191E-2</v>
      </c>
      <c r="L543" s="2">
        <v>1.958864485332972E-3</v>
      </c>
      <c r="M543" s="2">
        <v>3.9403372119229414E-3</v>
      </c>
      <c r="N543" s="2">
        <v>-3.8282792174837211E-3</v>
      </c>
      <c r="O543" s="2">
        <v>-5.3701701745938616E-3</v>
      </c>
      <c r="P543" s="2">
        <v>0</v>
      </c>
      <c r="Q543" s="15">
        <f>AVERAGE(Tableau2[[#This Row],[AWB]:[IAM]])</f>
        <v>-1.9461155627320398E-3</v>
      </c>
      <c r="R543" s="15">
        <f>ABS(Tableau2[[#This Row],[Rm ]])</f>
        <v>1.9461155627320398E-3</v>
      </c>
      <c r="S543" s="15">
        <f>(Tableau2[[#This Row],[Rm ]]-Tableau2[[#Totals],[Rm ]])^2</f>
        <v>7.4953881376726457E-6</v>
      </c>
      <c r="T543" s="15">
        <f t="shared" si="16"/>
        <v>0.14341182597277718</v>
      </c>
      <c r="U543" s="15">
        <f t="shared" si="17"/>
        <v>0.27059663775879839</v>
      </c>
    </row>
    <row r="544" spans="1:21" x14ac:dyDescent="0.35">
      <c r="A544" s="10">
        <v>45594</v>
      </c>
      <c r="B544" s="2">
        <v>0</v>
      </c>
      <c r="C544" s="2">
        <v>-1.0398707220898621E-2</v>
      </c>
      <c r="D544" s="2">
        <v>-7.9681696491768449E-3</v>
      </c>
      <c r="E544" s="2">
        <v>-1.488861249375064E-2</v>
      </c>
      <c r="F544" s="2">
        <v>3.6757949320340209E-4</v>
      </c>
      <c r="G544" s="2">
        <v>3.1120357066297998E-3</v>
      </c>
      <c r="H544" s="2">
        <v>-5.687786625432424E-3</v>
      </c>
      <c r="I544" s="2">
        <v>-1.438873745209956E-2</v>
      </c>
      <c r="J544" s="2">
        <v>9.4429408002820875E-3</v>
      </c>
      <c r="K544" s="2">
        <v>2.1595141982044121E-2</v>
      </c>
      <c r="L544" s="2">
        <v>-2.1761491781512751E-2</v>
      </c>
      <c r="M544" s="2">
        <v>2.6609108727964511E-2</v>
      </c>
      <c r="N544" s="2">
        <v>1.6304709024943569E-2</v>
      </c>
      <c r="O544" s="2">
        <v>-1.212448749158019E-2</v>
      </c>
      <c r="P544" s="2">
        <v>-1.8237587549780901E-2</v>
      </c>
      <c r="Q544" s="15">
        <f>AVERAGE(Tableau2[[#This Row],[AWB]:[IAM]])</f>
        <v>-1.8682709686109627E-3</v>
      </c>
      <c r="R544" s="15">
        <f>ABS(Tableau2[[#This Row],[Rm ]])</f>
        <v>1.8682709686109627E-3</v>
      </c>
      <c r="S544" s="15">
        <f>(Tableau2[[#This Row],[Rm ]]-Tableau2[[#Totals],[Rm ]])^2</f>
        <v>7.0752066282535732E-6</v>
      </c>
      <c r="T544" s="15">
        <f t="shared" si="16"/>
        <v>0.16574079622159654</v>
      </c>
      <c r="U544" s="15">
        <f t="shared" si="17"/>
        <v>0.14341182597277718</v>
      </c>
    </row>
    <row r="545" spans="1:21" x14ac:dyDescent="0.35">
      <c r="A545" s="10">
        <v>45595</v>
      </c>
      <c r="B545" s="2">
        <v>-5.3353083969514799E-3</v>
      </c>
      <c r="C545" s="2">
        <v>6.5983917125683354E-3</v>
      </c>
      <c r="D545" s="2">
        <v>7.1742037480002326E-3</v>
      </c>
      <c r="E545" s="2">
        <v>1.242251999855711E-2</v>
      </c>
      <c r="F545" s="2">
        <v>1.060145187737066E-2</v>
      </c>
      <c r="G545" s="2">
        <v>-9.6267167278235016E-3</v>
      </c>
      <c r="H545" s="2">
        <v>-1.9706564663269199E-2</v>
      </c>
      <c r="I545" s="2">
        <v>-1.7544309650909511E-2</v>
      </c>
      <c r="J545" s="2">
        <v>-1.515180502060222E-2</v>
      </c>
      <c r="K545" s="2">
        <v>-2.2989518224698718E-2</v>
      </c>
      <c r="L545" s="2">
        <v>-4.6775895511110901E-3</v>
      </c>
      <c r="M545" s="2">
        <v>-2.6047468724433611E-2</v>
      </c>
      <c r="N545" s="2">
        <v>0</v>
      </c>
      <c r="O545" s="2">
        <v>6.9830879911615034E-3</v>
      </c>
      <c r="P545" s="2">
        <v>1.8237587549781008E-2</v>
      </c>
      <c r="Q545" s="15">
        <f>AVERAGE(Tableau2[[#This Row],[AWB]:[IAM]])</f>
        <v>-3.937469205490699E-3</v>
      </c>
      <c r="R545" s="15">
        <f>ABS(Tableau2[[#This Row],[Rm ]])</f>
        <v>3.937469205490699E-3</v>
      </c>
      <c r="S545" s="15">
        <f>(Tableau2[[#This Row],[Rm ]]-Tableau2[[#Totals],[Rm ]])^2</f>
        <v>2.2364616586156357E-5</v>
      </c>
      <c r="T545" s="15">
        <f t="shared" si="16"/>
        <v>0.15846233499349391</v>
      </c>
      <c r="U545" s="15">
        <f t="shared" si="17"/>
        <v>0.16574079622159654</v>
      </c>
    </row>
    <row r="546" spans="1:21" x14ac:dyDescent="0.35">
      <c r="A546" s="10">
        <v>45596</v>
      </c>
      <c r="B546" s="2">
        <v>-1.8463816176029579E-3</v>
      </c>
      <c r="C546" s="2">
        <v>-3.1201273362435221E-3</v>
      </c>
      <c r="D546" s="2">
        <v>6.0710230020202026E-3</v>
      </c>
      <c r="E546" s="2">
        <v>2.4660924951934679E-3</v>
      </c>
      <c r="F546" s="2">
        <v>0</v>
      </c>
      <c r="G546" s="2">
        <v>-2.6491615446976341E-2</v>
      </c>
      <c r="H546" s="2">
        <v>-4.9109982066273617E-3</v>
      </c>
      <c r="I546" s="2">
        <v>2.9455102297569662E-3</v>
      </c>
      <c r="J546" s="2">
        <v>-7.6628727455691371E-3</v>
      </c>
      <c r="K546" s="2">
        <v>2.2762219667066069E-2</v>
      </c>
      <c r="L546" s="2">
        <v>-1.8249915092593608E-2</v>
      </c>
      <c r="M546" s="2">
        <v>1.061166059459435E-2</v>
      </c>
      <c r="N546" s="2">
        <v>-5.405418566907935E-3</v>
      </c>
      <c r="O546" s="2">
        <v>-5.1679701584425612E-3</v>
      </c>
      <c r="P546" s="2">
        <v>0</v>
      </c>
      <c r="Q546" s="15">
        <f>AVERAGE(Tableau2[[#This Row],[AWB]:[IAM]])</f>
        <v>-1.866586212155491E-3</v>
      </c>
      <c r="R546" s="15">
        <f>ABS(Tableau2[[#This Row],[Rm ]])</f>
        <v>1.866586212155491E-3</v>
      </c>
      <c r="S546" s="15">
        <f>(Tableau2[[#This Row],[Rm ]]-Tableau2[[#Totals],[Rm ]])^2</f>
        <v>7.066246811466959E-6</v>
      </c>
      <c r="T546" s="15">
        <f t="shared" si="16"/>
        <v>0.11414348100519893</v>
      </c>
      <c r="U546" s="15">
        <f t="shared" si="17"/>
        <v>0.15846233499349391</v>
      </c>
    </row>
    <row r="547" spans="1:21" x14ac:dyDescent="0.35">
      <c r="A547" s="10">
        <v>45597</v>
      </c>
      <c r="B547" s="2">
        <v>1.61323388650794E-2</v>
      </c>
      <c r="C547" s="2">
        <v>1.3793322132335769E-2</v>
      </c>
      <c r="D547" s="2">
        <v>0</v>
      </c>
      <c r="E547" s="2">
        <v>2.460025840862399E-3</v>
      </c>
      <c r="F547" s="2">
        <v>-1.819836716985983E-3</v>
      </c>
      <c r="G547" s="2">
        <v>-9.4403937790870727E-3</v>
      </c>
      <c r="H547" s="2">
        <v>0</v>
      </c>
      <c r="I547" s="2">
        <v>1.4598799421152629E-2</v>
      </c>
      <c r="J547" s="2">
        <v>-6.9471526029856023E-3</v>
      </c>
      <c r="K547" s="2">
        <v>-2.2762219667065941E-2</v>
      </c>
      <c r="L547" s="2">
        <v>2.2260615656000949E-2</v>
      </c>
      <c r="M547" s="2">
        <v>0</v>
      </c>
      <c r="N547" s="2">
        <v>8.6347001676231553E-3</v>
      </c>
      <c r="O547" s="2">
        <v>1.797224240443044E-2</v>
      </c>
      <c r="P547" s="2">
        <v>0</v>
      </c>
      <c r="Q547" s="15">
        <f>AVERAGE(Tableau2[[#This Row],[AWB]:[IAM]])</f>
        <v>3.6588294480906763E-3</v>
      </c>
      <c r="R547" s="15">
        <f>ABS(Tableau2[[#This Row],[Rm ]])</f>
        <v>3.6588294480906763E-3</v>
      </c>
      <c r="S547" s="15">
        <f>(Tableau2[[#This Row],[Rm ]]-Tableau2[[#Totals],[Rm ]])^2</f>
        <v>8.2206888094198694E-6</v>
      </c>
      <c r="T547" s="15">
        <f t="shared" si="16"/>
        <v>0.13946317643127196</v>
      </c>
      <c r="U547" s="15">
        <f t="shared" si="17"/>
        <v>0.11414348100519893</v>
      </c>
    </row>
    <row r="548" spans="1:21" x14ac:dyDescent="0.35">
      <c r="A548" s="10">
        <v>45603</v>
      </c>
      <c r="B548" s="2">
        <v>2.7089287632671918E-2</v>
      </c>
      <c r="C548" s="2">
        <v>1.0221554071538011E-2</v>
      </c>
      <c r="D548" s="2">
        <v>5.249355886143745E-3</v>
      </c>
      <c r="E548" s="2">
        <v>7.222015599591779E-3</v>
      </c>
      <c r="F548" s="2">
        <v>-1.823154561515136E-3</v>
      </c>
      <c r="G548" s="2">
        <v>9.7088141269609032E-3</v>
      </c>
      <c r="H548" s="2">
        <v>3.0305349495328839E-2</v>
      </c>
      <c r="I548" s="2">
        <v>1.009381316921891E-2</v>
      </c>
      <c r="J548" s="2">
        <v>2.1835765096736109E-2</v>
      </c>
      <c r="K548" s="2">
        <v>2.2762219667066069E-2</v>
      </c>
      <c r="L548" s="2">
        <v>-3.3234662687977569E-2</v>
      </c>
      <c r="M548" s="2">
        <v>1.6529301951210509E-2</v>
      </c>
      <c r="N548" s="2">
        <v>2.5989264398424739E-2</v>
      </c>
      <c r="O548" s="2">
        <v>-1.7827586537542889E-3</v>
      </c>
      <c r="P548" s="2">
        <v>-1.8237587549780901E-2</v>
      </c>
      <c r="Q548" s="15">
        <f>AVERAGE(Tableau2[[#This Row],[AWB]:[IAM]])</f>
        <v>8.7952385094575772E-3</v>
      </c>
      <c r="R548" s="15">
        <f>ABS(Tableau2[[#This Row],[Rm ]])</f>
        <v>8.7952385094575772E-3</v>
      </c>
      <c r="S548" s="15">
        <f>(Tableau2[[#This Row],[Rm ]]-Tableau2[[#Totals],[Rm ]])^2</f>
        <v>6.4057347579369231E-5</v>
      </c>
      <c r="T548" s="15">
        <f t="shared" si="16"/>
        <v>0.16552580839278641</v>
      </c>
      <c r="U548" s="15">
        <f t="shared" si="17"/>
        <v>0.13946317643127196</v>
      </c>
    </row>
    <row r="549" spans="1:21" x14ac:dyDescent="0.35">
      <c r="A549" s="10">
        <v>45604</v>
      </c>
      <c r="B549" s="2">
        <v>8.986052891095336E-3</v>
      </c>
      <c r="C549" s="2">
        <v>6.7567824628796871E-3</v>
      </c>
      <c r="D549" s="2">
        <v>4.7009749670243756E-3</v>
      </c>
      <c r="E549" s="2">
        <v>1.2243319188511679E-2</v>
      </c>
      <c r="F549" s="2">
        <v>4.2863704431782307E-2</v>
      </c>
      <c r="G549" s="2">
        <v>1.9665794552943459E-2</v>
      </c>
      <c r="H549" s="2">
        <v>3.2308243232657831E-2</v>
      </c>
      <c r="I549" s="2">
        <v>5.9864775437691413E-2</v>
      </c>
      <c r="J549" s="2">
        <v>-1.488861249375052E-2</v>
      </c>
      <c r="K549" s="2">
        <v>1.152685381156617E-2</v>
      </c>
      <c r="L549" s="2">
        <v>3.442344190972699E-3</v>
      </c>
      <c r="M549" s="2">
        <v>1.0869672236903889E-2</v>
      </c>
      <c r="N549" s="2">
        <v>5.2219439811516249E-3</v>
      </c>
      <c r="O549" s="2">
        <v>4.5778309854512143E-3</v>
      </c>
      <c r="P549" s="2">
        <v>-1.234583582229927E-2</v>
      </c>
      <c r="Q549" s="15">
        <f>AVERAGE(Tableau2[[#This Row],[AWB]:[IAM]])</f>
        <v>1.305292293697213E-2</v>
      </c>
      <c r="R549" s="15">
        <f>ABS(Tableau2[[#This Row],[Rm ]])</f>
        <v>1.305292293697213E-2</v>
      </c>
      <c r="S549" s="15">
        <f>(Tableau2[[#This Row],[Rm ]]-Tableau2[[#Totals],[Rm ]])^2</f>
        <v>1.503386892567902E-4</v>
      </c>
      <c r="T549" s="15">
        <f t="shared" si="16"/>
        <v>0.18127614363905306</v>
      </c>
      <c r="U549" s="15">
        <f t="shared" si="17"/>
        <v>0.16552580839278641</v>
      </c>
    </row>
    <row r="550" spans="1:21" x14ac:dyDescent="0.35">
      <c r="A550" s="10">
        <v>45608</v>
      </c>
      <c r="B550" s="2">
        <v>-1.7542320894035389E-4</v>
      </c>
      <c r="C550" s="2">
        <v>6.7114345879867778E-3</v>
      </c>
      <c r="D550" s="2">
        <v>1.551220349986083E-2</v>
      </c>
      <c r="E550" s="2">
        <v>7.2029122940580163E-3</v>
      </c>
      <c r="F550" s="2">
        <v>-3.5026305512021118E-3</v>
      </c>
      <c r="G550" s="2">
        <v>-1.324522675002068E-2</v>
      </c>
      <c r="H550" s="2">
        <v>1.149437942573521E-2</v>
      </c>
      <c r="I550" s="2">
        <v>-2.7398974188114392E-2</v>
      </c>
      <c r="J550" s="2">
        <v>0</v>
      </c>
      <c r="K550" s="2">
        <v>-6.7438464958949936E-4</v>
      </c>
      <c r="L550" s="2">
        <v>0</v>
      </c>
      <c r="M550" s="2">
        <v>-1.0869672236903881E-2</v>
      </c>
      <c r="N550" s="2">
        <v>4.676547883901803E-3</v>
      </c>
      <c r="O550" s="2">
        <v>-1.045794507726594E-2</v>
      </c>
      <c r="P550" s="2">
        <v>0</v>
      </c>
      <c r="Q550" s="15">
        <f>AVERAGE(Tableau2[[#This Row],[AWB]:[IAM]])</f>
        <v>-1.3817852646996144E-3</v>
      </c>
      <c r="R550" s="15">
        <f>ABS(Tableau2[[#This Row],[Rm ]])</f>
        <v>1.3817852646996144E-3</v>
      </c>
      <c r="S550" s="15">
        <f>(Tableau2[[#This Row],[Rm ]]-Tableau2[[#Totals],[Rm ]])^2</f>
        <v>4.7238429680631628E-6</v>
      </c>
      <c r="T550" s="15">
        <f t="shared" si="16"/>
        <v>0.11584137871296488</v>
      </c>
      <c r="U550" s="15">
        <f t="shared" si="17"/>
        <v>0.18127614363905306</v>
      </c>
    </row>
    <row r="551" spans="1:21" x14ac:dyDescent="0.35">
      <c r="A551" s="10">
        <v>45609</v>
      </c>
      <c r="B551" s="2">
        <v>-3.3389012655145982E-3</v>
      </c>
      <c r="C551" s="2">
        <v>-3.350086885281974E-3</v>
      </c>
      <c r="D551" s="2">
        <v>5.1295205023169457E-4</v>
      </c>
      <c r="E551" s="2">
        <v>-7.2029122940579973E-3</v>
      </c>
      <c r="F551" s="2">
        <v>-2.091903972637401E-2</v>
      </c>
      <c r="G551" s="2">
        <v>0</v>
      </c>
      <c r="H551" s="2">
        <v>-5.4433596660660557E-3</v>
      </c>
      <c r="I551" s="2">
        <v>-1.822054611352817E-2</v>
      </c>
      <c r="J551" s="2">
        <v>0</v>
      </c>
      <c r="K551" s="2">
        <v>-4.4984256269154748E-4</v>
      </c>
      <c r="L551" s="2">
        <v>-3.4423441909727901E-3</v>
      </c>
      <c r="M551" s="2">
        <v>0</v>
      </c>
      <c r="N551" s="2">
        <v>3.1055925581530671E-3</v>
      </c>
      <c r="O551" s="2">
        <v>-1.282873812889152E-3</v>
      </c>
      <c r="P551" s="2">
        <v>-6.2305497506361966E-3</v>
      </c>
      <c r="Q551" s="15">
        <f>AVERAGE(Tableau2[[#This Row],[AWB]:[IAM]])</f>
        <v>-4.4174607773085151E-3</v>
      </c>
      <c r="R551" s="15">
        <f>ABS(Tableau2[[#This Row],[Rm ]])</f>
        <v>4.4174607773085151E-3</v>
      </c>
      <c r="S551" s="15">
        <f>(Tableau2[[#This Row],[Rm ]]-Tableau2[[#Totals],[Rm ]])^2</f>
        <v>2.7134888101372877E-5</v>
      </c>
      <c r="T551" s="15">
        <f t="shared" si="16"/>
        <v>7.0165990953133861E-2</v>
      </c>
      <c r="U551" s="15">
        <f t="shared" si="17"/>
        <v>0.11584137871296488</v>
      </c>
    </row>
    <row r="552" spans="1:21" x14ac:dyDescent="0.35">
      <c r="A552" s="10">
        <v>45611</v>
      </c>
      <c r="B552" s="2">
        <v>1.727640910929619E-2</v>
      </c>
      <c r="C552" s="2">
        <v>6.6889881507967101E-3</v>
      </c>
      <c r="D552" s="2">
        <v>1.020417017424167E-2</v>
      </c>
      <c r="E552" s="2">
        <v>2.4093482829480519E-4</v>
      </c>
      <c r="F552" s="2">
        <v>3.8310782438243228E-2</v>
      </c>
      <c r="G552" s="2">
        <v>-6.5547689706742501E-3</v>
      </c>
      <c r="H552" s="2">
        <v>5.0143538583972913E-2</v>
      </c>
      <c r="I552" s="2">
        <v>2.3760726489143659E-2</v>
      </c>
      <c r="J552" s="2">
        <v>0</v>
      </c>
      <c r="K552" s="2">
        <v>0</v>
      </c>
      <c r="L552" s="2">
        <v>-3.5091319811270061E-2</v>
      </c>
      <c r="M552" s="2">
        <v>6.351340572232593E-2</v>
      </c>
      <c r="N552" s="2">
        <v>3.3039854078200093E-2</v>
      </c>
      <c r="O552" s="2">
        <v>6.3979744796596374E-3</v>
      </c>
      <c r="P552" s="2">
        <v>-1.2578782206860069E-2</v>
      </c>
      <c r="Q552" s="15">
        <f>AVERAGE(Tableau2[[#This Row],[AWB]:[IAM]])</f>
        <v>1.3023460871024699E-2</v>
      </c>
      <c r="R552" s="15">
        <f>ABS(Tableau2[[#This Row],[Rm ]])</f>
        <v>1.3023460871024699E-2</v>
      </c>
      <c r="S552" s="15">
        <f>(Tableau2[[#This Row],[Rm ]]-Tableau2[[#Totals],[Rm ]])^2</f>
        <v>1.4961707270620691E-4</v>
      </c>
      <c r="T552" s="15">
        <f t="shared" si="16"/>
        <v>0.27191247551737524</v>
      </c>
      <c r="U552" s="15">
        <f t="shared" si="17"/>
        <v>7.0165990953133861E-2</v>
      </c>
    </row>
    <row r="553" spans="1:21" x14ac:dyDescent="0.35">
      <c r="A553" s="10">
        <v>45615</v>
      </c>
      <c r="B553" s="2">
        <v>1.0327114155849519E-2</v>
      </c>
      <c r="C553" s="2">
        <v>1.6529301951210509E-2</v>
      </c>
      <c r="D553" s="2">
        <v>0</v>
      </c>
      <c r="E553" s="2">
        <v>-1.1509000983272439E-2</v>
      </c>
      <c r="F553" s="2">
        <v>0</v>
      </c>
      <c r="G553" s="2">
        <v>-1.3421918012238111E-4</v>
      </c>
      <c r="H553" s="2">
        <v>1.6260520871780329E-2</v>
      </c>
      <c r="I553" s="2">
        <v>2.1858793812499021E-2</v>
      </c>
      <c r="J553" s="2">
        <v>1.147240116223678E-2</v>
      </c>
      <c r="K553" s="2">
        <v>0</v>
      </c>
      <c r="L553" s="2">
        <v>-2.1451563463881361E-3</v>
      </c>
      <c r="M553" s="2">
        <v>1.778954156349824E-2</v>
      </c>
      <c r="N553" s="2">
        <v>1.04452578615386E-2</v>
      </c>
      <c r="O553" s="2">
        <v>7.6239251106593664E-3</v>
      </c>
      <c r="P553" s="2">
        <v>1.257878220685997E-2</v>
      </c>
      <c r="Q553" s="15">
        <f>AVERAGE(Tableau2[[#This Row],[AWB]:[IAM]])</f>
        <v>7.4064841457566243E-3</v>
      </c>
      <c r="R553" s="15">
        <f>ABS(Tableau2[[#This Row],[Rm ]])</f>
        <v>7.4064841457566243E-3</v>
      </c>
      <c r="S553" s="15">
        <f>(Tableau2[[#This Row],[Rm ]]-Tableau2[[#Totals],[Rm ]])^2</f>
        <v>4.375596345932357E-5</v>
      </c>
      <c r="T553" s="15">
        <f t="shared" si="16"/>
        <v>0.11162708457828228</v>
      </c>
      <c r="U553" s="15">
        <f t="shared" si="17"/>
        <v>0.27191247551737524</v>
      </c>
    </row>
    <row r="554" spans="1:21" x14ac:dyDescent="0.35">
      <c r="A554" s="10">
        <v>45616</v>
      </c>
      <c r="B554" s="2">
        <v>-6.8728792877620643E-3</v>
      </c>
      <c r="C554" s="2">
        <v>-3.2792261320256638E-4</v>
      </c>
      <c r="D554" s="2">
        <v>-1.0204170174241739E-2</v>
      </c>
      <c r="E554" s="2">
        <v>2.3006133614426889E-2</v>
      </c>
      <c r="F554" s="2">
        <v>-6.9204428445737952E-3</v>
      </c>
      <c r="G554" s="2">
        <v>1.3413818242013109E-3</v>
      </c>
      <c r="H554" s="2">
        <v>3.1488247733605458E-2</v>
      </c>
      <c r="I554" s="2">
        <v>2.666824708216127E-2</v>
      </c>
      <c r="J554" s="2">
        <v>-9.1673674870197518E-3</v>
      </c>
      <c r="K554" s="2">
        <v>0</v>
      </c>
      <c r="L554" s="2">
        <v>-1.2243581105711389E-2</v>
      </c>
      <c r="M554" s="2">
        <v>8.5277667538750639E-3</v>
      </c>
      <c r="N554" s="2">
        <v>-1.044525786153868E-2</v>
      </c>
      <c r="O554" s="2">
        <v>-1.0131713126068139E-3</v>
      </c>
      <c r="P554" s="2">
        <v>0</v>
      </c>
      <c r="Q554" s="15">
        <f>AVERAGE(Tableau2[[#This Row],[AWB]:[IAM]])</f>
        <v>2.2557989547742131E-3</v>
      </c>
      <c r="R554" s="15">
        <f>ABS(Tableau2[[#This Row],[Rm ]])</f>
        <v>2.2557989547742131E-3</v>
      </c>
      <c r="S554" s="15">
        <f>(Tableau2[[#This Row],[Rm ]]-Tableau2[[#Totals],[Rm ]])^2</f>
        <v>2.1437172617232303E-6</v>
      </c>
      <c r="T554" s="15">
        <f t="shared" si="16"/>
        <v>0.15922898637215438</v>
      </c>
      <c r="U554" s="15">
        <f t="shared" si="17"/>
        <v>0.11162708457828228</v>
      </c>
    </row>
    <row r="555" spans="1:21" x14ac:dyDescent="0.35">
      <c r="A555" s="10">
        <v>45621</v>
      </c>
      <c r="B555" s="2">
        <v>-3.3307198017768713E-2</v>
      </c>
      <c r="C555" s="2">
        <v>-1.6201379338007939E-2</v>
      </c>
      <c r="D555" s="2">
        <v>1.5372793188863981E-3</v>
      </c>
      <c r="E555" s="2">
        <v>-1.19083060575225E-4</v>
      </c>
      <c r="F555" s="2">
        <v>-1.012048421731964E-2</v>
      </c>
      <c r="G555" s="2">
        <v>-4.1045433243115263E-2</v>
      </c>
      <c r="H555" s="2">
        <v>2.3416167847995382E-3</v>
      </c>
      <c r="I555" s="2">
        <v>-1.725324814755945E-2</v>
      </c>
      <c r="J555" s="2">
        <v>5.3578390703520702E-3</v>
      </c>
      <c r="K555" s="2">
        <v>-1.017532804165245E-2</v>
      </c>
      <c r="L555" s="2">
        <v>-3.6297680505787242E-3</v>
      </c>
      <c r="M555" s="2">
        <v>-1.0544913176615E-2</v>
      </c>
      <c r="N555" s="2">
        <v>-1.0050335853501451E-2</v>
      </c>
      <c r="O555" s="2">
        <v>-2.7230041000788161E-2</v>
      </c>
      <c r="P555" s="2">
        <v>-1.8928009885518911E-2</v>
      </c>
      <c r="Q555" s="15">
        <f>AVERAGE(Tableau2[[#This Row],[AWB]:[IAM]])</f>
        <v>-1.2624565790597529E-2</v>
      </c>
      <c r="R555" s="15">
        <f>ABS(Tableau2[[#This Row],[Rm ]])</f>
        <v>1.2624565790597529E-2</v>
      </c>
      <c r="S555" s="15">
        <f>(Tableau2[[#This Row],[Rm ]]-Tableau2[[#Totals],[Rm ]])^2</f>
        <v>1.7999498267146522E-4</v>
      </c>
      <c r="T555" s="15">
        <f t="shared" si="16"/>
        <v>0.15055261528975325</v>
      </c>
      <c r="U555" s="15">
        <f t="shared" si="17"/>
        <v>0.15922898637215438</v>
      </c>
    </row>
    <row r="556" spans="1:21" x14ac:dyDescent="0.35">
      <c r="A556" s="10">
        <v>45624</v>
      </c>
      <c r="B556" s="2">
        <v>2.1339316034995601E-2</v>
      </c>
      <c r="C556" s="2">
        <v>0</v>
      </c>
      <c r="D556" s="2">
        <v>1.3730192811902041E-2</v>
      </c>
      <c r="E556" s="2">
        <v>-4.4160721048160014E-3</v>
      </c>
      <c r="F556" s="2">
        <v>-5.6278727508195002E-3</v>
      </c>
      <c r="G556" s="2">
        <v>6.9589703243035216E-3</v>
      </c>
      <c r="H556" s="2">
        <v>5.3629440810181089E-2</v>
      </c>
      <c r="I556" s="2">
        <v>7.3782809330356358E-2</v>
      </c>
      <c r="J556" s="2">
        <v>-1.8490511397632581E-2</v>
      </c>
      <c r="K556" s="2">
        <v>2.911739857072717E-2</v>
      </c>
      <c r="L556" s="2">
        <v>-2.5038126818993121E-2</v>
      </c>
      <c r="M556" s="2">
        <v>9.5454128435314058E-3</v>
      </c>
      <c r="N556" s="2">
        <v>1.005033585350151E-2</v>
      </c>
      <c r="O556" s="2">
        <v>2.520061361729841E-2</v>
      </c>
      <c r="P556" s="2">
        <v>6.3492276786587436E-3</v>
      </c>
      <c r="Q556" s="15">
        <f>AVERAGE(Tableau2[[#This Row],[AWB]:[IAM]])</f>
        <v>1.3075408986879646E-2</v>
      </c>
      <c r="R556" s="15">
        <f>ABS(Tableau2[[#This Row],[Rm ]])</f>
        <v>1.3075408986879646E-2</v>
      </c>
      <c r="S556" s="15">
        <f>(Tableau2[[#This Row],[Rm ]]-Tableau2[[#Totals],[Rm ]])^2</f>
        <v>1.508906098407798E-4</v>
      </c>
      <c r="T556" s="15">
        <f t="shared" si="16"/>
        <v>0.27041686528735953</v>
      </c>
      <c r="U556" s="15">
        <f t="shared" si="17"/>
        <v>0.15055261528975325</v>
      </c>
    </row>
    <row r="557" spans="1:21" x14ac:dyDescent="0.35">
      <c r="A557" s="10">
        <v>45625</v>
      </c>
      <c r="B557" s="2">
        <v>1.5691747618745431E-3</v>
      </c>
      <c r="C557" s="2">
        <v>0</v>
      </c>
      <c r="D557" s="2">
        <v>-5.0517808601514087E-4</v>
      </c>
      <c r="E557" s="2">
        <v>0</v>
      </c>
      <c r="F557" s="2">
        <v>1.9214564944625451E-2</v>
      </c>
      <c r="G557" s="2">
        <v>4.5813676209446222E-2</v>
      </c>
      <c r="H557" s="2">
        <v>1.2240054894502009E-2</v>
      </c>
      <c r="I557" s="2">
        <v>9.8986207890238397E-3</v>
      </c>
      <c r="J557" s="2">
        <v>1.1212180091141661E-2</v>
      </c>
      <c r="K557" s="2">
        <v>-5.1874385693343378E-2</v>
      </c>
      <c r="L557" s="2">
        <v>-1.881877139641604E-2</v>
      </c>
      <c r="M557" s="2">
        <v>-5.0012504168224286E-4</v>
      </c>
      <c r="N557" s="2">
        <v>0</v>
      </c>
      <c r="O557" s="2">
        <v>3.0425986960967298E-3</v>
      </c>
      <c r="P557" s="2">
        <v>6.3091691932647556E-3</v>
      </c>
      <c r="Q557" s="15">
        <f>AVERAGE(Tableau2[[#This Row],[AWB]:[IAM]])</f>
        <v>2.5067719575012277E-3</v>
      </c>
      <c r="R557" s="15">
        <f>ABS(Tableau2[[#This Row],[Rm ]])</f>
        <v>2.5067719575012277E-3</v>
      </c>
      <c r="S557" s="15">
        <f>(Tableau2[[#This Row],[Rm ]]-Tableau2[[#Totals],[Rm ]])^2</f>
        <v>2.9416258750059371E-6</v>
      </c>
      <c r="T557" s="15">
        <f t="shared" si="16"/>
        <v>0.17681801814447151</v>
      </c>
      <c r="U557" s="15">
        <f t="shared" si="17"/>
        <v>0.27041686528735953</v>
      </c>
    </row>
    <row r="558" spans="1:21" x14ac:dyDescent="0.35">
      <c r="A558" s="10">
        <v>45628</v>
      </c>
      <c r="B558" s="2">
        <v>-6.9930354909706373E-3</v>
      </c>
      <c r="C558" s="2">
        <v>0</v>
      </c>
      <c r="D558" s="2">
        <v>-1.732968955001914E-2</v>
      </c>
      <c r="E558" s="2">
        <v>-1.6888218028521741E-2</v>
      </c>
      <c r="F558" s="2">
        <v>0</v>
      </c>
      <c r="G558" s="2">
        <v>-3.3545275036808687E-2</v>
      </c>
      <c r="H558" s="2">
        <v>2.4301348532918912E-3</v>
      </c>
      <c r="I558" s="2">
        <v>-6.6428181971820668E-2</v>
      </c>
      <c r="J558" s="2">
        <v>-1.315808457751131E-2</v>
      </c>
      <c r="K558" s="2">
        <v>4.8557633067349427E-2</v>
      </c>
      <c r="L558" s="2">
        <v>-3.0441423812281329E-3</v>
      </c>
      <c r="M558" s="2">
        <v>-3.5127052601468818E-2</v>
      </c>
      <c r="N558" s="2">
        <v>-7.5282664207915236E-3</v>
      </c>
      <c r="O558" s="2">
        <v>-7.6239251106593707E-3</v>
      </c>
      <c r="P558" s="2">
        <v>0</v>
      </c>
      <c r="Q558" s="15">
        <f>AVERAGE(Tableau2[[#This Row],[AWB]:[IAM]])</f>
        <v>-1.0445206883277247E-2</v>
      </c>
      <c r="R558" s="15">
        <f>ABS(Tableau2[[#This Row],[Rm ]])</f>
        <v>1.0445206883277247E-2</v>
      </c>
      <c r="S558" s="15">
        <f>(Tableau2[[#This Row],[Rm ]]-Tableau2[[#Totals],[Rm ]])^2</f>
        <v>1.2626706696836201E-4</v>
      </c>
      <c r="T558" s="15">
        <f t="shared" si="16"/>
        <v>0.22986166117524831</v>
      </c>
      <c r="U558" s="15">
        <f t="shared" si="17"/>
        <v>0.17681801814447151</v>
      </c>
    </row>
    <row r="559" spans="1:21" x14ac:dyDescent="0.35">
      <c r="A559" s="10">
        <v>45631</v>
      </c>
      <c r="B559" s="2">
        <v>5.1293294387550481E-2</v>
      </c>
      <c r="C559" s="2">
        <v>-1.6807118316381289E-2</v>
      </c>
      <c r="D559" s="2">
        <v>-1.028806675106524E-3</v>
      </c>
      <c r="E559" s="2">
        <v>0</v>
      </c>
      <c r="F559" s="2">
        <v>-4.1608936591646696E-3</v>
      </c>
      <c r="G559" s="2">
        <v>2.7397260445368522E-4</v>
      </c>
      <c r="H559" s="2">
        <v>6.5751377562780433E-2</v>
      </c>
      <c r="I559" s="2">
        <v>1.7219314053798972E-2</v>
      </c>
      <c r="J559" s="2">
        <v>2.8041015269221412E-2</v>
      </c>
      <c r="K559" s="2">
        <v>-1.135996178993896E-2</v>
      </c>
      <c r="L559" s="2">
        <v>0</v>
      </c>
      <c r="M559" s="2">
        <v>2.587323564950954E-3</v>
      </c>
      <c r="N559" s="2">
        <v>0</v>
      </c>
      <c r="O559" s="2">
        <v>-4.3461656038932253E-3</v>
      </c>
      <c r="P559" s="2">
        <v>0</v>
      </c>
      <c r="Q559" s="15">
        <f>AVERAGE(Tableau2[[#This Row],[AWB]:[IAM]])</f>
        <v>8.4975567598847522E-3</v>
      </c>
      <c r="R559" s="15">
        <f>ABS(Tableau2[[#This Row],[Rm ]])</f>
        <v>8.4975567598847522E-3</v>
      </c>
      <c r="S559" s="15">
        <f>(Tableau2[[#This Row],[Rm ]]-Tableau2[[#Totals],[Rm ]])^2</f>
        <v>5.9380920572075686E-5</v>
      </c>
      <c r="T559" s="15">
        <f t="shared" si="16"/>
        <v>0.24869849549173217</v>
      </c>
      <c r="U559" s="15">
        <f t="shared" si="17"/>
        <v>0.22986166117524831</v>
      </c>
    </row>
    <row r="560" spans="1:21" x14ac:dyDescent="0.35">
      <c r="A560" s="10">
        <v>45632</v>
      </c>
      <c r="B560" s="2">
        <v>-4.2559614418795889E-2</v>
      </c>
      <c r="C560" s="2">
        <v>0</v>
      </c>
      <c r="D560" s="2">
        <v>2.5730091483767943E-4</v>
      </c>
      <c r="E560" s="2">
        <v>1.4493007302566819E-2</v>
      </c>
      <c r="F560" s="2">
        <v>-2.78357869364637E-3</v>
      </c>
      <c r="G560" s="2">
        <v>-4.2550335285207819E-3</v>
      </c>
      <c r="H560" s="2">
        <v>3.1322471129041067E-2</v>
      </c>
      <c r="I560" s="2">
        <v>8.7561723494617629E-3</v>
      </c>
      <c r="J560" s="2">
        <v>-2.275313837135539E-3</v>
      </c>
      <c r="K560" s="2">
        <v>-7.6456410219655751E-3</v>
      </c>
      <c r="L560" s="2">
        <v>7.6190479876180896E-4</v>
      </c>
      <c r="M560" s="2">
        <v>5.1666237264020502E-4</v>
      </c>
      <c r="N560" s="2">
        <v>-1.008064601494864E-3</v>
      </c>
      <c r="O560" s="2">
        <v>1.791885798796445E-3</v>
      </c>
      <c r="P560" s="2">
        <v>0</v>
      </c>
      <c r="Q560" s="15">
        <f>AVERAGE(Tableau2[[#This Row],[AWB]:[IAM]])</f>
        <v>-1.7518942903021537E-4</v>
      </c>
      <c r="R560" s="15">
        <f>ABS(Tableau2[[#This Row],[Rm ]])</f>
        <v>1.7518942903021537E-4</v>
      </c>
      <c r="S560" s="15">
        <f>(Tableau2[[#This Row],[Rm ]]-Tableau2[[#Totals],[Rm ]])^2</f>
        <v>9.3478832069864772E-7</v>
      </c>
      <c r="T560" s="15">
        <f t="shared" si="16"/>
        <v>0.11878870892099391</v>
      </c>
      <c r="U560" s="15">
        <f t="shared" si="17"/>
        <v>0.24869849549173217</v>
      </c>
    </row>
    <row r="561" spans="1:21" x14ac:dyDescent="0.35">
      <c r="A561" s="10">
        <v>45639</v>
      </c>
      <c r="B561" s="2">
        <v>-5.5807609091391083E-3</v>
      </c>
      <c r="C561" s="2">
        <v>-1.7094433359300071E-2</v>
      </c>
      <c r="D561" s="2">
        <v>3.3389012655146298E-3</v>
      </c>
      <c r="E561" s="2">
        <v>-2.9446098760686081E-2</v>
      </c>
      <c r="F561" s="2">
        <v>1.039870722089852E-2</v>
      </c>
      <c r="G561" s="2">
        <v>8.133274391000736E-2</v>
      </c>
      <c r="H561" s="2">
        <v>-2.9052322594501991E-2</v>
      </c>
      <c r="I561" s="2">
        <v>-2.8610534041265779E-2</v>
      </c>
      <c r="J561" s="2">
        <v>-2.071420438756311E-2</v>
      </c>
      <c r="K561" s="2">
        <v>0</v>
      </c>
      <c r="L561" s="2">
        <v>2.0355018642160851E-2</v>
      </c>
      <c r="M561" s="2">
        <v>-5.6980211146377777E-3</v>
      </c>
      <c r="N561" s="2">
        <v>-1.8321123147596249E-2</v>
      </c>
      <c r="O561" s="2">
        <v>-2.485886681904715E-2</v>
      </c>
      <c r="P561" s="2">
        <v>-6.3091691932647201E-3</v>
      </c>
      <c r="Q561" s="15">
        <f>AVERAGE(Tableau2[[#This Row],[AWB]:[IAM]])</f>
        <v>-4.6840108858947106E-3</v>
      </c>
      <c r="R561" s="15">
        <f>ABS(Tableau2[[#This Row],[Rm ]])</f>
        <v>4.6840108858947106E-3</v>
      </c>
      <c r="S561" s="15">
        <f>(Tableau2[[#This Row],[Rm ]]-Tableau2[[#Totals],[Rm ]])^2</f>
        <v>2.9982917860994209E-5</v>
      </c>
      <c r="T561" s="15">
        <f t="shared" si="16"/>
        <v>0.27617403651589789</v>
      </c>
      <c r="U561" s="15">
        <f t="shared" si="17"/>
        <v>0.11878870892099391</v>
      </c>
    </row>
    <row r="562" spans="1:21" x14ac:dyDescent="0.35">
      <c r="A562" s="10">
        <v>45643</v>
      </c>
      <c r="B562" s="2">
        <v>5.5807609091391699E-3</v>
      </c>
      <c r="C562" s="2">
        <v>-1.6339664761065398E-2</v>
      </c>
      <c r="D562" s="2">
        <v>5.1151006667704089E-3</v>
      </c>
      <c r="E562" s="2">
        <v>2.4694406842380999E-4</v>
      </c>
      <c r="F562" s="2">
        <v>-3.4734240714456813E-2</v>
      </c>
      <c r="G562" s="2">
        <v>7.4537645332438942E-3</v>
      </c>
      <c r="H562" s="2">
        <v>1.552511776640844E-2</v>
      </c>
      <c r="I562" s="2">
        <v>2.635047638005253E-3</v>
      </c>
      <c r="J562" s="2">
        <v>1.5384918839479461E-2</v>
      </c>
      <c r="K562" s="2">
        <v>-3.0017146542899831E-2</v>
      </c>
      <c r="L562" s="2">
        <v>3.7353298978485779E-2</v>
      </c>
      <c r="M562" s="2">
        <v>-7.2993024816116079E-3</v>
      </c>
      <c r="N562" s="2">
        <v>6.654746852363236E-3</v>
      </c>
      <c r="O562" s="2">
        <v>2.09533863985401E-3</v>
      </c>
      <c r="P562" s="2">
        <v>6.3091691932647556E-3</v>
      </c>
      <c r="Q562" s="15">
        <f>AVERAGE(Tableau2[[#This Row],[AWB]:[IAM]])</f>
        <v>1.0642569056936379E-3</v>
      </c>
      <c r="R562" s="15">
        <f>ABS(Tableau2[[#This Row],[Rm ]])</f>
        <v>1.0642569056936379E-3</v>
      </c>
      <c r="S562" s="15">
        <f>(Tableau2[[#This Row],[Rm ]]-Tableau2[[#Totals],[Rm ]])^2</f>
        <v>7.4311750844298226E-8</v>
      </c>
      <c r="T562" s="15">
        <f t="shared" si="16"/>
        <v>0.18203413845175634</v>
      </c>
      <c r="U562" s="15">
        <f t="shared" si="17"/>
        <v>0.27617403651589789</v>
      </c>
    </row>
    <row r="563" spans="1:21" x14ac:dyDescent="0.35">
      <c r="A563" s="10">
        <v>45644</v>
      </c>
      <c r="B563" s="2">
        <v>-5.9305947416380556E-3</v>
      </c>
      <c r="C563" s="2">
        <v>-3.505696793134762E-4</v>
      </c>
      <c r="D563" s="2">
        <v>4.8352301863975756E-3</v>
      </c>
      <c r="E563" s="2">
        <v>7.38010729762246E-3</v>
      </c>
      <c r="F563" s="2">
        <v>2.677158829143933E-2</v>
      </c>
      <c r="G563" s="2">
        <v>6.8987416911565217E-3</v>
      </c>
      <c r="H563" s="2">
        <v>2.786914461961327E-3</v>
      </c>
      <c r="I563" s="2">
        <v>-1.111416574106657E-2</v>
      </c>
      <c r="J563" s="2">
        <v>-7.6628727455691371E-3</v>
      </c>
      <c r="K563" s="2">
        <v>-9.1132772328653792E-3</v>
      </c>
      <c r="L563" s="2">
        <v>-7.9394137721925002E-3</v>
      </c>
      <c r="M563" s="2">
        <v>2.7865580063088539E-2</v>
      </c>
      <c r="N563" s="2">
        <v>-9.7411690555526068E-3</v>
      </c>
      <c r="O563" s="2">
        <v>-1.571092232041101E-3</v>
      </c>
      <c r="P563" s="2">
        <v>0</v>
      </c>
      <c r="Q563" s="15">
        <f>AVERAGE(Tableau2[[#This Row],[AWB]:[IAM]])</f>
        <v>1.5410004527617951E-3</v>
      </c>
      <c r="R563" s="15">
        <f>ABS(Tableau2[[#This Row],[Rm ]])</f>
        <v>1.5410004527617951E-3</v>
      </c>
      <c r="S563" s="15">
        <f>(Tableau2[[#This Row],[Rm ]]-Tableau2[[#Totals],[Rm ]])^2</f>
        <v>5.6151847523483866E-7</v>
      </c>
      <c r="T563" s="15">
        <f t="shared" si="16"/>
        <v>0.13314605146094563</v>
      </c>
      <c r="U563" s="15">
        <f t="shared" si="17"/>
        <v>0.18203413845175634</v>
      </c>
    </row>
    <row r="564" spans="1:21" x14ac:dyDescent="0.35">
      <c r="A564" s="10">
        <v>45645</v>
      </c>
      <c r="B564" s="2">
        <v>-1.749628208470346E-4</v>
      </c>
      <c r="C564" s="2">
        <v>1.669023444037895E-2</v>
      </c>
      <c r="D564" s="2">
        <v>2.5383932107368468E-4</v>
      </c>
      <c r="E564" s="2">
        <v>-3.1369263667645163E-2</v>
      </c>
      <c r="F564" s="2">
        <v>3.4752389576532511E-4</v>
      </c>
      <c r="G564" s="2">
        <v>-2.5446021331474999E-2</v>
      </c>
      <c r="H564" s="2">
        <v>-1.040685272125628E-2</v>
      </c>
      <c r="I564" s="2">
        <v>-1.8260442938837721E-2</v>
      </c>
      <c r="J564" s="2">
        <v>0</v>
      </c>
      <c r="K564" s="2">
        <v>-2.350177344953627E-3</v>
      </c>
      <c r="L564" s="2">
        <v>1.4388737452099671E-2</v>
      </c>
      <c r="M564" s="2">
        <v>-2.7865580063088601E-2</v>
      </c>
      <c r="N564" s="2">
        <v>0</v>
      </c>
      <c r="O564" s="2">
        <v>-4.2016868537000807E-3</v>
      </c>
      <c r="P564" s="2">
        <v>-1.2658396871923581E-2</v>
      </c>
      <c r="Q564" s="15">
        <f>AVERAGE(Tableau2[[#This Row],[AWB]:[IAM]])</f>
        <v>-6.73686996696063E-3</v>
      </c>
      <c r="R564" s="15">
        <f>ABS(Tableau2[[#This Row],[Rm ]])</f>
        <v>6.73686996696063E-3</v>
      </c>
      <c r="S564" s="15">
        <f>(Tableau2[[#This Row],[Rm ]]-Tableau2[[#Totals],[Rm ]])^2</f>
        <v>5.6678689507742753E-5</v>
      </c>
      <c r="T564" s="15">
        <f t="shared" si="16"/>
        <v>0.16564391714029303</v>
      </c>
      <c r="U564" s="15">
        <f t="shared" si="17"/>
        <v>0.13314605146094563</v>
      </c>
    </row>
    <row r="565" spans="1:21" x14ac:dyDescent="0.35">
      <c r="A565" s="10">
        <v>45646</v>
      </c>
      <c r="B565" s="2">
        <v>4.3649130847009656E-3</v>
      </c>
      <c r="C565" s="2">
        <v>-1.7242865807017731E-4</v>
      </c>
      <c r="D565" s="2">
        <v>5.0633019565466354E-3</v>
      </c>
      <c r="E565" s="2">
        <v>1.1316605116256239E-2</v>
      </c>
      <c r="F565" s="2">
        <v>-1.1181108797515479E-2</v>
      </c>
      <c r="G565" s="2">
        <v>-1.7200553389997611E-2</v>
      </c>
      <c r="H565" s="2">
        <v>-3.3802849088236399E-3</v>
      </c>
      <c r="I565" s="2">
        <v>-5.4347959859568327E-3</v>
      </c>
      <c r="J565" s="2">
        <v>-1.5504186535965201E-2</v>
      </c>
      <c r="K565" s="2">
        <v>9.4073384171997434E-4</v>
      </c>
      <c r="L565" s="2">
        <v>0</v>
      </c>
      <c r="M565" s="2">
        <v>7.2993024816115351E-3</v>
      </c>
      <c r="N565" s="2">
        <v>-1.6100062128334699E-2</v>
      </c>
      <c r="O565" s="2">
        <v>0</v>
      </c>
      <c r="P565" s="2">
        <v>6.3492276786587436E-3</v>
      </c>
      <c r="Q565" s="15">
        <f>AVERAGE(Tableau2[[#This Row],[AWB]:[IAM]])</f>
        <v>-2.2426224163446364E-3</v>
      </c>
      <c r="R565" s="15">
        <f>ABS(Tableau2[[#This Row],[Rm ]])</f>
        <v>2.2426224163446364E-3</v>
      </c>
      <c r="S565" s="15">
        <f>(Tableau2[[#This Row],[Rm ]]-Tableau2[[#Totals],[Rm ]])^2</f>
        <v>9.2068399752149206E-6</v>
      </c>
      <c r="T565" s="15">
        <f t="shared" si="16"/>
        <v>0.10267145440838148</v>
      </c>
      <c r="U565" s="15">
        <f t="shared" si="17"/>
        <v>0.16564391714029303</v>
      </c>
    </row>
    <row r="566" spans="1:21" x14ac:dyDescent="0.35">
      <c r="A566" s="10">
        <v>45649</v>
      </c>
      <c r="B566" s="2">
        <v>0</v>
      </c>
      <c r="C566" s="2">
        <v>-1.7219314053799051E-2</v>
      </c>
      <c r="D566" s="2">
        <v>2.5220694327099391E-3</v>
      </c>
      <c r="E566" s="2">
        <v>0</v>
      </c>
      <c r="F566" s="2">
        <v>1.4044946128986241E-3</v>
      </c>
      <c r="G566" s="2">
        <v>4.1655879031911643E-3</v>
      </c>
      <c r="H566" s="2">
        <v>-3.8448537696340328E-3</v>
      </c>
      <c r="I566" s="2">
        <v>0</v>
      </c>
      <c r="J566" s="2">
        <v>0</v>
      </c>
      <c r="K566" s="2">
        <v>5.5773136759078412E-2</v>
      </c>
      <c r="L566" s="2">
        <v>-4.3056632321671458E-2</v>
      </c>
      <c r="M566" s="2">
        <v>0</v>
      </c>
      <c r="N566" s="2">
        <v>-1.571915440256498E-3</v>
      </c>
      <c r="O566" s="2">
        <v>0</v>
      </c>
      <c r="P566" s="2">
        <v>6.3091691932647556E-3</v>
      </c>
      <c r="Q566" s="15">
        <f>AVERAGE(Tableau2[[#This Row],[AWB]:[IAM]])</f>
        <v>2.9878282105212379E-4</v>
      </c>
      <c r="R566" s="15">
        <f>ABS(Tableau2[[#This Row],[Rm ]])</f>
        <v>2.9878282105212379E-4</v>
      </c>
      <c r="S566" s="15">
        <f>(Tableau2[[#This Row],[Rm ]]-Tableau2[[#Totals],[Rm ]])^2</f>
        <v>2.4292307182570702E-7</v>
      </c>
      <c r="T566" s="15">
        <f t="shared" si="16"/>
        <v>0.13175139364436605</v>
      </c>
      <c r="U566" s="15">
        <f t="shared" si="17"/>
        <v>0.10267145440838148</v>
      </c>
    </row>
    <row r="567" spans="1:21" x14ac:dyDescent="0.35">
      <c r="A567" s="10">
        <v>45653</v>
      </c>
      <c r="B567" s="2">
        <v>-1.4035318116383481E-2</v>
      </c>
      <c r="C567" s="2">
        <v>-1.4134510934904809E-2</v>
      </c>
      <c r="D567" s="2">
        <v>1.0025146619378859E-2</v>
      </c>
      <c r="E567" s="2">
        <v>-4.7625105683348984E-3</v>
      </c>
      <c r="F567" s="2">
        <v>-1.058210933053697E-2</v>
      </c>
      <c r="G567" s="2">
        <v>-1.281230756926903E-2</v>
      </c>
      <c r="H567" s="2">
        <v>6.0996461567231781E-3</v>
      </c>
      <c r="I567" s="2">
        <v>4.7881486233213803E-2</v>
      </c>
      <c r="J567" s="2">
        <v>-2.371652661731604E-2</v>
      </c>
      <c r="K567" s="2">
        <v>-1.0728757358975121E-2</v>
      </c>
      <c r="L567" s="2">
        <v>-1.5783867701262E-2</v>
      </c>
      <c r="M567" s="2">
        <v>-2.600781700057367E-3</v>
      </c>
      <c r="N567" s="2">
        <v>2.17850939071417E-2</v>
      </c>
      <c r="O567" s="2">
        <v>-2.100861736785458E-2</v>
      </c>
      <c r="P567" s="2">
        <v>6.269613013595395E-3</v>
      </c>
      <c r="Q567" s="15">
        <f>AVERAGE(Tableau2[[#This Row],[AWB]:[IAM]])</f>
        <v>-2.5402880889894238E-3</v>
      </c>
      <c r="R567" s="15">
        <f>ABS(Tableau2[[#This Row],[Rm ]])</f>
        <v>2.5402880889894238E-3</v>
      </c>
      <c r="S567" s="15">
        <f>(Tableau2[[#This Row],[Rm ]]-Tableau2[[#Totals],[Rm ]])^2</f>
        <v>1.1101845336710182E-5</v>
      </c>
      <c r="T567" s="15">
        <f t="shared" si="16"/>
        <v>0.2013022783875876</v>
      </c>
      <c r="U567" s="15">
        <f t="shared" si="17"/>
        <v>0.13175139364436605</v>
      </c>
    </row>
    <row r="568" spans="1:21" x14ac:dyDescent="0.35">
      <c r="A568" s="10">
        <v>45659</v>
      </c>
      <c r="B568" s="2">
        <v>2.9593108147309439E-2</v>
      </c>
      <c r="C568" s="2">
        <v>-3.565066164496145E-3</v>
      </c>
      <c r="D568" s="2">
        <v>1.730574709759243E-2</v>
      </c>
      <c r="E568" s="2">
        <v>-7.5662403833158132E-3</v>
      </c>
      <c r="F568" s="2">
        <v>4.5993358983572588E-3</v>
      </c>
      <c r="G568" s="2">
        <v>3.4782742260560912E-2</v>
      </c>
      <c r="H568" s="2">
        <v>0.15800424914324829</v>
      </c>
      <c r="I568" s="2">
        <v>9.8845834636632643E-2</v>
      </c>
      <c r="J568" s="2">
        <v>2.3971245997214509E-3</v>
      </c>
      <c r="K568" s="2">
        <v>-1.1299555253933389E-2</v>
      </c>
      <c r="L568" s="2">
        <v>5.8840500022933402E-2</v>
      </c>
      <c r="M568" s="2">
        <v>-1.786700182842442E-2</v>
      </c>
      <c r="N568" s="2">
        <v>9.7013781046378506E-3</v>
      </c>
      <c r="O568" s="2">
        <v>5.0931620619550757E-3</v>
      </c>
      <c r="P568" s="2">
        <v>1.242251999855711E-2</v>
      </c>
      <c r="Q568" s="15">
        <f>AVERAGE(Tableau2[[#This Row],[AWB]:[IAM]])</f>
        <v>2.6085855889422405E-2</v>
      </c>
      <c r="R568" s="15">
        <f>ABS(Tableau2[[#This Row],[Rm ]])</f>
        <v>2.6085855889422405E-2</v>
      </c>
      <c r="S568" s="15">
        <f>(Tableau2[[#This Row],[Rm ]]-Tableau2[[#Totals],[Rm ]])^2</f>
        <v>6.3979659416731429E-4</v>
      </c>
      <c r="T568" s="15">
        <f t="shared" si="16"/>
        <v>0.48652186269567099</v>
      </c>
      <c r="U568" s="15">
        <f t="shared" si="17"/>
        <v>0.2013022783875876</v>
      </c>
    </row>
    <row r="569" spans="1:21" x14ac:dyDescent="0.35">
      <c r="A569" s="10">
        <v>45660</v>
      </c>
      <c r="B569" s="2">
        <v>4.346686426403594E-2</v>
      </c>
      <c r="C569" s="2">
        <v>1.1363758650315E-2</v>
      </c>
      <c r="D569" s="2">
        <v>2.6603745517975941E-2</v>
      </c>
      <c r="E569" s="2">
        <v>3.4829391141679843E-2</v>
      </c>
      <c r="F569" s="2">
        <v>2.3374516144048809E-2</v>
      </c>
      <c r="G569" s="2">
        <v>-2.1710660693208091E-2</v>
      </c>
      <c r="H569" s="2">
        <v>9.5694510161506725E-3</v>
      </c>
      <c r="I569" s="2">
        <v>4.1706309281026928E-2</v>
      </c>
      <c r="J569" s="2">
        <v>3.6823588553559911E-2</v>
      </c>
      <c r="K569" s="2">
        <v>3.1322471129041067E-2</v>
      </c>
      <c r="L569" s="2">
        <v>3.565066164496145E-3</v>
      </c>
      <c r="M569" s="2">
        <v>2.306181870552839E-2</v>
      </c>
      <c r="N569" s="2">
        <v>3.593200922606337E-2</v>
      </c>
      <c r="O569" s="2">
        <v>3.6749542208741437E-2</v>
      </c>
      <c r="P569" s="2">
        <v>-4.4171218313137417E-2</v>
      </c>
      <c r="Q569" s="15">
        <f>AVERAGE(Tableau2[[#This Row],[AWB]:[IAM]])</f>
        <v>1.9499110199754529E-2</v>
      </c>
      <c r="R569" s="15">
        <f>ABS(Tableau2[[#This Row],[Rm ]])</f>
        <v>1.9499110199754529E-2</v>
      </c>
      <c r="S569" s="15">
        <f>(Tableau2[[#This Row],[Rm ]]-Tableau2[[#Totals],[Rm ]])^2</f>
        <v>3.4996887674694786E-4</v>
      </c>
      <c r="T569" s="15">
        <f t="shared" si="16"/>
        <v>0.21833266840294688</v>
      </c>
      <c r="U569" s="15">
        <f t="shared" si="17"/>
        <v>0.48652186269567099</v>
      </c>
    </row>
    <row r="570" spans="1:21" x14ac:dyDescent="0.35">
      <c r="A570" s="10">
        <v>45663</v>
      </c>
      <c r="B570" s="2">
        <v>-6.4255925836869243E-3</v>
      </c>
      <c r="C570" s="2">
        <v>5.9848796842977689E-3</v>
      </c>
      <c r="D570" s="2">
        <v>-4.7744092575592931E-4</v>
      </c>
      <c r="E570" s="2">
        <v>-1.7138697048643611E-2</v>
      </c>
      <c r="F570" s="2">
        <v>3.098642520636232E-3</v>
      </c>
      <c r="G570" s="2">
        <v>1.264696170076739E-2</v>
      </c>
      <c r="H570" s="2">
        <v>-8.6083745366001638E-3</v>
      </c>
      <c r="I570" s="2">
        <v>-9.2960651302725489E-3</v>
      </c>
      <c r="J570" s="2">
        <v>-1.5504186535965201E-2</v>
      </c>
      <c r="K570" s="2">
        <v>-8.8496152769824993E-3</v>
      </c>
      <c r="L570" s="2">
        <v>-4.2796071023649953E-3</v>
      </c>
      <c r="M570" s="2">
        <v>7.2277031214530423E-3</v>
      </c>
      <c r="N570" s="2">
        <v>0</v>
      </c>
      <c r="O570" s="2">
        <v>-1.2970350442627411E-2</v>
      </c>
      <c r="P570" s="2">
        <v>-6.4725145056174788E-3</v>
      </c>
      <c r="Q570" s="15">
        <f>AVERAGE(Tableau2[[#This Row],[AWB]:[IAM]])</f>
        <v>-4.0709504707574888E-3</v>
      </c>
      <c r="R570" s="15">
        <f>ABS(Tableau2[[#This Row],[Rm ]])</f>
        <v>4.0709504707574888E-3</v>
      </c>
      <c r="S570" s="15">
        <f>(Tableau2[[#This Row],[Rm ]]-Tableau2[[#Totals],[Rm ]])^2</f>
        <v>2.3644932823012759E-5</v>
      </c>
      <c r="T570" s="15">
        <f t="shared" si="16"/>
        <v>0.10357143808601756</v>
      </c>
      <c r="U570" s="15">
        <f t="shared" si="17"/>
        <v>0.21833266840294688</v>
      </c>
    </row>
    <row r="571" spans="1:21" x14ac:dyDescent="0.35">
      <c r="A571" s="10">
        <v>45664</v>
      </c>
      <c r="B571" s="2">
        <v>1.8165309263980069E-3</v>
      </c>
      <c r="C571" s="2">
        <v>-3.164003342656492E-3</v>
      </c>
      <c r="D571" s="2">
        <v>-3.0547829850097529E-2</v>
      </c>
      <c r="E571" s="2">
        <v>1.469071541000359E-2</v>
      </c>
      <c r="F571" s="2">
        <v>3.431712358913108E-3</v>
      </c>
      <c r="G571" s="2">
        <v>4.4150636692365713E-2</v>
      </c>
      <c r="H571" s="2">
        <v>1.8087118491143968E-2</v>
      </c>
      <c r="I571" s="2">
        <v>3.205474487163229E-2</v>
      </c>
      <c r="J571" s="2">
        <v>7.8094498307135099E-4</v>
      </c>
      <c r="K571" s="2">
        <v>-3.7125132638928929E-2</v>
      </c>
      <c r="L571" s="2">
        <v>7.1454093786885034E-4</v>
      </c>
      <c r="M571" s="2">
        <v>-6.191970247921107E-3</v>
      </c>
      <c r="N571" s="2">
        <v>-2.4539889615667028E-3</v>
      </c>
      <c r="O571" s="2">
        <v>-1.5259438421343609E-2</v>
      </c>
      <c r="P571" s="2">
        <v>0</v>
      </c>
      <c r="Q571" s="15">
        <f>AVERAGE(Tableau2[[#This Row],[AWB]:[IAM]])</f>
        <v>1.3989720805921676E-3</v>
      </c>
      <c r="R571" s="15">
        <f>ABS(Tableau2[[#This Row],[Rm ]])</f>
        <v>1.3989720805921676E-3</v>
      </c>
      <c r="S571" s="15">
        <f>(Tableau2[[#This Row],[Rm ]]-Tableau2[[#Totals],[Rm ]])^2</f>
        <v>3.6883392912231316E-7</v>
      </c>
      <c r="T571" s="15">
        <f t="shared" si="16"/>
        <v>0.21036954525858798</v>
      </c>
      <c r="U571" s="15">
        <f t="shared" si="17"/>
        <v>0.10357143808601756</v>
      </c>
    </row>
    <row r="572" spans="1:21" x14ac:dyDescent="0.35">
      <c r="A572" s="10">
        <v>45665</v>
      </c>
      <c r="B572" s="2">
        <v>1.3275619049482599E-2</v>
      </c>
      <c r="C572" s="2">
        <v>1.8835576036177311E-2</v>
      </c>
      <c r="D572" s="2">
        <v>1.077385543854905E-2</v>
      </c>
      <c r="E572" s="2">
        <v>4.8899852941917711E-3</v>
      </c>
      <c r="F572" s="2">
        <v>4.6846973296788628E-2</v>
      </c>
      <c r="G572" s="2">
        <v>9.5198628685909267E-2</v>
      </c>
      <c r="H572" s="2">
        <v>2.7908788117076661E-2</v>
      </c>
      <c r="I572" s="2">
        <v>2.009239900567629E-2</v>
      </c>
      <c r="J572" s="2">
        <v>1.4723241552893869E-2</v>
      </c>
      <c r="K572" s="2">
        <v>5.6927759935108707E-2</v>
      </c>
      <c r="L572" s="2">
        <v>0</v>
      </c>
      <c r="M572" s="2">
        <v>9.273636785329253E-3</v>
      </c>
      <c r="N572" s="2">
        <v>-4.9152126819011744E-4</v>
      </c>
      <c r="O572" s="2">
        <v>1.7867001828424541E-2</v>
      </c>
      <c r="P572" s="2">
        <v>0</v>
      </c>
      <c r="Q572" s="15">
        <f>AVERAGE(Tableau2[[#This Row],[AWB]:[IAM]])</f>
        <v>2.2408129583827863E-2</v>
      </c>
      <c r="R572" s="15">
        <f>ABS(Tableau2[[#This Row],[Rm ]])</f>
        <v>2.2408129583827863E-2</v>
      </c>
      <c r="S572" s="15">
        <f>(Tableau2[[#This Row],[Rm ]]-Tableau2[[#Totals],[Rm ]])^2</f>
        <v>4.6727196961564678E-4</v>
      </c>
      <c r="T572" s="15">
        <f t="shared" si="16"/>
        <v>0.25358500912090437</v>
      </c>
      <c r="U572" s="15">
        <f t="shared" si="17"/>
        <v>0.21036954525858798</v>
      </c>
    </row>
    <row r="573" spans="1:21" x14ac:dyDescent="0.35">
      <c r="A573" s="10">
        <v>45666</v>
      </c>
      <c r="B573" s="2">
        <v>1.2297889617931381E-2</v>
      </c>
      <c r="C573" s="2">
        <v>-4.849334061437483E-3</v>
      </c>
      <c r="D573" s="2">
        <v>2.263520669258081E-2</v>
      </c>
      <c r="E573" s="2">
        <v>-2.4692612590371522E-2</v>
      </c>
      <c r="F573" s="2">
        <v>4.5062744636914523E-2</v>
      </c>
      <c r="G573" s="2">
        <v>1.505785758412383E-2</v>
      </c>
      <c r="H573" s="2">
        <v>-2.4142305321599639E-2</v>
      </c>
      <c r="I573" s="2">
        <v>1.0804971337541791E-3</v>
      </c>
      <c r="J573" s="2">
        <v>1.1852557030719321E-2</v>
      </c>
      <c r="K573" s="2">
        <v>0</v>
      </c>
      <c r="L573" s="2">
        <v>2.8170876966696221E-2</v>
      </c>
      <c r="M573" s="2">
        <v>-5.1413995004186523E-3</v>
      </c>
      <c r="N573" s="2">
        <v>1.9646371741648158E-3</v>
      </c>
      <c r="O573" s="2">
        <v>1.6785416692013728E-2</v>
      </c>
      <c r="P573" s="2">
        <v>3.1951599806602428E-2</v>
      </c>
      <c r="Q573" s="15">
        <f>AVERAGE(Tableau2[[#This Row],[AWB]:[IAM]])</f>
        <v>8.5355754574449293E-3</v>
      </c>
      <c r="R573" s="15">
        <f>ABS(Tableau2[[#This Row],[Rm ]])</f>
        <v>8.5355754574449293E-3</v>
      </c>
      <c r="S573" s="15">
        <f>(Tableau2[[#This Row],[Rm ]]-Tableau2[[#Totals],[Rm ]])^2</f>
        <v>5.9968302683600459E-5</v>
      </c>
      <c r="T573" s="15">
        <f t="shared" si="16"/>
        <v>0.20920413467683197</v>
      </c>
      <c r="U573" s="15">
        <f t="shared" si="17"/>
        <v>0.25358500912090437</v>
      </c>
    </row>
    <row r="574" spans="1:21" x14ac:dyDescent="0.35">
      <c r="A574" s="10">
        <v>45667</v>
      </c>
      <c r="B574" s="2">
        <v>-2.8990195855161148E-3</v>
      </c>
      <c r="C574" s="2">
        <v>6.748014186503724E-3</v>
      </c>
      <c r="D574" s="2">
        <v>1.7231631372565389E-2</v>
      </c>
      <c r="E574" s="2">
        <v>2.225060893481972E-2</v>
      </c>
      <c r="F574" s="2">
        <v>4.8790164169432042E-2</v>
      </c>
      <c r="G574" s="2">
        <v>-3.7964359838577627E-2</v>
      </c>
      <c r="H574" s="2">
        <v>-2.6668247082161291E-2</v>
      </c>
      <c r="I574" s="2">
        <v>-1.7209879063637749E-2</v>
      </c>
      <c r="J574" s="2">
        <v>1.096212073545203E-2</v>
      </c>
      <c r="K574" s="2">
        <v>0</v>
      </c>
      <c r="L574" s="2">
        <v>-6.9468568267848504E-4</v>
      </c>
      <c r="M574" s="2">
        <v>-2.063984220851483E-3</v>
      </c>
      <c r="N574" s="2">
        <v>0</v>
      </c>
      <c r="O574" s="2">
        <v>1.902403600469714E-2</v>
      </c>
      <c r="P574" s="2">
        <v>-3.1951599806602358E-2</v>
      </c>
      <c r="Q574" s="15">
        <f>AVERAGE(Tableau2[[#This Row],[AWB]:[IAM]])</f>
        <v>3.7032000822966179E-4</v>
      </c>
      <c r="R574" s="15">
        <f>ABS(Tableau2[[#This Row],[Rm ]])</f>
        <v>3.7032000822966179E-4</v>
      </c>
      <c r="S574" s="15">
        <f>(Tableau2[[#This Row],[Rm ]]-Tableau2[[#Totals],[Rm ]])^2</f>
        <v>1.7752324970099438E-7</v>
      </c>
      <c r="T574" s="15">
        <f t="shared" si="16"/>
        <v>0.21540218554767429</v>
      </c>
      <c r="U574" s="15">
        <f t="shared" si="17"/>
        <v>0.20920413467683197</v>
      </c>
    </row>
    <row r="575" spans="1:21" x14ac:dyDescent="0.35">
      <c r="A575" s="10">
        <v>45670</v>
      </c>
      <c r="B575" s="2">
        <v>0</v>
      </c>
      <c r="C575" s="2">
        <v>-6.7480141865035844E-3</v>
      </c>
      <c r="D575" s="2">
        <v>5.6009481309701719E-3</v>
      </c>
      <c r="E575" s="2">
        <v>0</v>
      </c>
      <c r="F575" s="2">
        <v>1.18344576470028E-2</v>
      </c>
      <c r="G575" s="2">
        <v>1.5741223053867381E-2</v>
      </c>
      <c r="H575" s="2">
        <v>1.9286409064056861E-3</v>
      </c>
      <c r="I575" s="2">
        <v>-1.126959225823077E-2</v>
      </c>
      <c r="J575" s="2">
        <v>-7.5472056353829663E-3</v>
      </c>
      <c r="K575" s="2">
        <v>0</v>
      </c>
      <c r="L575" s="2">
        <v>-6.2739836334148522E-3</v>
      </c>
      <c r="M575" s="2">
        <v>1.7409553895511781E-2</v>
      </c>
      <c r="N575" s="2">
        <v>1.4709490271745821E-3</v>
      </c>
      <c r="O575" s="2">
        <v>4.4233254976825662E-2</v>
      </c>
      <c r="P575" s="2">
        <v>0</v>
      </c>
      <c r="Q575" s="15">
        <f>AVERAGE(Tableau2[[#This Row],[AWB]:[IAM]])</f>
        <v>4.4253487949483927E-3</v>
      </c>
      <c r="R575" s="15">
        <f>ABS(Tableau2[[#This Row],[Rm ]])</f>
        <v>4.4253487949483927E-3</v>
      </c>
      <c r="S575" s="15">
        <f>(Tableau2[[#This Row],[Rm ]]-Tableau2[[#Totals],[Rm ]])^2</f>
        <v>1.3203729953709262E-5</v>
      </c>
      <c r="T575" s="15">
        <f t="shared" si="16"/>
        <v>0.14125506191691981</v>
      </c>
      <c r="U575" s="15">
        <f t="shared" si="17"/>
        <v>0.21540218554767429</v>
      </c>
    </row>
    <row r="576" spans="1:21" x14ac:dyDescent="0.35">
      <c r="A576" s="10">
        <v>45672</v>
      </c>
      <c r="B576" s="2">
        <v>1.202419296680181E-2</v>
      </c>
      <c r="C576" s="2">
        <v>3.4662079764863291E-3</v>
      </c>
      <c r="D576" s="2">
        <v>1.1629260526802561E-3</v>
      </c>
      <c r="E576" s="2">
        <v>1.215081778251253E-2</v>
      </c>
      <c r="F576" s="2">
        <v>1.7493157447517119E-2</v>
      </c>
      <c r="G576" s="2">
        <v>6.2816533749963724E-2</v>
      </c>
      <c r="H576" s="2">
        <v>1.924928409584418E-3</v>
      </c>
      <c r="I576" s="2">
        <v>2.176149178151271E-2</v>
      </c>
      <c r="J576" s="2">
        <v>8.0042707673536356E-2</v>
      </c>
      <c r="K576" s="2">
        <v>3.4264593974096078E-2</v>
      </c>
      <c r="L576" s="2">
        <v>-1.6925650883342781E-2</v>
      </c>
      <c r="M576" s="2">
        <v>-2.05135398331029E-2</v>
      </c>
      <c r="N576" s="2">
        <v>1.9579056670574121E-3</v>
      </c>
      <c r="O576" s="2">
        <v>3.3099948426344922E-2</v>
      </c>
      <c r="P576" s="2">
        <v>-3.3006296468169972E-2</v>
      </c>
      <c r="Q576" s="15">
        <f>AVERAGE(Tableau2[[#This Row],[AWB]:[IAM]])</f>
        <v>1.411466164823187E-2</v>
      </c>
      <c r="R576" s="15">
        <f>ABS(Tableau2[[#This Row],[Rm ]])</f>
        <v>1.411466164823187E-2</v>
      </c>
      <c r="S576" s="15">
        <f>(Tableau2[[#This Row],[Rm ]]-Tableau2[[#Totals],[Rm ]])^2</f>
        <v>1.775025037958891E-4</v>
      </c>
      <c r="T576" s="15">
        <f t="shared" si="16"/>
        <v>0.28560136541851766</v>
      </c>
      <c r="U576" s="15">
        <f t="shared" si="17"/>
        <v>0.14125506191691981</v>
      </c>
    </row>
    <row r="577" spans="1:21" x14ac:dyDescent="0.35">
      <c r="A577" s="10">
        <v>45673</v>
      </c>
      <c r="B577" s="2">
        <v>-4.4721365064146054E-3</v>
      </c>
      <c r="C577" s="2">
        <v>0</v>
      </c>
      <c r="D577" s="2">
        <v>-6.975933313938473E-4</v>
      </c>
      <c r="E577" s="2">
        <v>2.4125464053839259E-3</v>
      </c>
      <c r="F577" s="2">
        <v>-3.4742362681862782E-3</v>
      </c>
      <c r="G577" s="2">
        <v>9.4859225837163177E-2</v>
      </c>
      <c r="H577" s="2">
        <v>1.3371736965889241E-2</v>
      </c>
      <c r="I577" s="2">
        <v>1.1028331041478229E-2</v>
      </c>
      <c r="J577" s="2">
        <v>-1.4084739881738971E-2</v>
      </c>
      <c r="K577" s="2">
        <v>2.9047685440230821E-2</v>
      </c>
      <c r="L577" s="2">
        <v>1.3423020332140771E-2</v>
      </c>
      <c r="M577" s="2">
        <v>-1.03680672844036E-3</v>
      </c>
      <c r="N577" s="2">
        <v>2.4420036555518089E-3</v>
      </c>
      <c r="O577" s="2">
        <v>-9.345862418237658E-3</v>
      </c>
      <c r="P577" s="2">
        <v>3.3006296468170077E-2</v>
      </c>
      <c r="Q577" s="15">
        <f>AVERAGE(Tableau2[[#This Row],[AWB]:[IAM]])</f>
        <v>1.1098631400773088E-2</v>
      </c>
      <c r="R577" s="15">
        <f>ABS(Tableau2[[#This Row],[Rm ]])</f>
        <v>1.1098631400773088E-2</v>
      </c>
      <c r="S577" s="15">
        <f>(Tableau2[[#This Row],[Rm ]]-Tableau2[[#Totals],[Rm ]])^2</f>
        <v>1.0623376070580509E-4</v>
      </c>
      <c r="T577" s="15">
        <f t="shared" si="16"/>
        <v>0.23598246201655343</v>
      </c>
      <c r="U577" s="15">
        <f t="shared" si="17"/>
        <v>0.28560136541851766</v>
      </c>
    </row>
    <row r="578" spans="1:21" x14ac:dyDescent="0.35">
      <c r="A578" s="10">
        <v>45674</v>
      </c>
      <c r="B578" s="2">
        <v>-5.9404525660455261E-3</v>
      </c>
      <c r="C578" s="2">
        <v>0</v>
      </c>
      <c r="D578" s="2">
        <v>-1.6180444455957781E-2</v>
      </c>
      <c r="E578" s="2">
        <v>-4.8309272696655803E-3</v>
      </c>
      <c r="F578" s="2">
        <v>0</v>
      </c>
      <c r="G578" s="2">
        <v>9.5135674961372541E-2</v>
      </c>
      <c r="H578" s="2">
        <v>0</v>
      </c>
      <c r="I578" s="2">
        <v>1.2894908298719139E-3</v>
      </c>
      <c r="J578" s="2">
        <v>4.9802822483818093E-2</v>
      </c>
      <c r="K578" s="2">
        <v>-4.1759721028592683E-2</v>
      </c>
      <c r="L578" s="2">
        <v>-3.5149421074444969E-3</v>
      </c>
      <c r="M578" s="2">
        <v>-6.765573555744535E-3</v>
      </c>
      <c r="N578" s="2">
        <v>-2.4420036555517438E-3</v>
      </c>
      <c r="O578" s="2">
        <v>-1.8479559274837201E-2</v>
      </c>
      <c r="P578" s="2">
        <v>-1.967276559870489E-2</v>
      </c>
      <c r="Q578" s="15">
        <f>AVERAGE(Tableau2[[#This Row],[AWB]:[IAM]])</f>
        <v>1.7761065841678744E-3</v>
      </c>
      <c r="R578" s="15">
        <f>ABS(Tableau2[[#This Row],[Rm ]])</f>
        <v>1.7761065841678744E-3</v>
      </c>
      <c r="S578" s="15">
        <f>(Tableau2[[#This Row],[Rm ]]-Tableau2[[#Totals],[Rm ]])^2</f>
        <v>9.6914474770921452E-7</v>
      </c>
      <c r="T578" s="15">
        <f t="shared" si="16"/>
        <v>0.26275362118302853</v>
      </c>
      <c r="U578" s="15">
        <f t="shared" si="17"/>
        <v>0.23598246201655343</v>
      </c>
    </row>
    <row r="579" spans="1:21" x14ac:dyDescent="0.35">
      <c r="A579" s="10">
        <v>45677</v>
      </c>
      <c r="B579" s="2">
        <v>1.7697695874954241E-3</v>
      </c>
      <c r="C579" s="2">
        <v>-1.7316021642779351E-3</v>
      </c>
      <c r="D579" s="2">
        <v>1.181335045831171E-3</v>
      </c>
      <c r="E579" s="2">
        <v>-7.2904332626792323E-3</v>
      </c>
      <c r="F579" s="2">
        <v>-2.8834006964471581E-2</v>
      </c>
      <c r="G579" s="2">
        <v>4.1868567090926311E-2</v>
      </c>
      <c r="H579" s="2">
        <v>-2.8503582243564751E-3</v>
      </c>
      <c r="I579" s="2">
        <v>-7.3291985769478006E-3</v>
      </c>
      <c r="J579" s="2">
        <v>3.5137854165265388E-2</v>
      </c>
      <c r="K579" s="2">
        <v>-3.0305349495328919E-2</v>
      </c>
      <c r="L579" s="2">
        <v>-2.784899718601426E-2</v>
      </c>
      <c r="M579" s="2">
        <v>0</v>
      </c>
      <c r="N579" s="2">
        <v>-7.3619964410690823E-3</v>
      </c>
      <c r="O579" s="2">
        <v>-2.248915962393656E-2</v>
      </c>
      <c r="P579" s="2">
        <v>5.7893978418902668E-2</v>
      </c>
      <c r="Q579" s="15">
        <f>AVERAGE(Tableau2[[#This Row],[AWB]:[IAM]])</f>
        <v>1.2069349128927496E-4</v>
      </c>
      <c r="R579" s="15">
        <f>ABS(Tableau2[[#This Row],[Rm ]])</f>
        <v>1.2069349128927496E-4</v>
      </c>
      <c r="S579" s="15">
        <f>(Tableau2[[#This Row],[Rm ]]-Tableau2[[#Totals],[Rm ]])^2</f>
        <v>4.5018946466814483E-7</v>
      </c>
      <c r="T579" s="15">
        <f t="shared" ref="T579:T642" si="18">(ABS(B579-$Q579)+ABS(C579-$Q579)+ABS(D579-$Q579)+ABS(E579-$Q579)+ABS(F579-$Q579)+ABS(G579-$Q579)+ABS(H579-$Q579)+ABS(I579-$Q579)+ABS(J579-$Q579)+ABS(K579-$Q579)+ABS(L579-$Q579)+ABS(M579-$Q579)+ABS(N579-$Q579)+ABS(O579-$Q579)+ABS(P579-$Q579)/15)</f>
        <v>0.22057434110484334</v>
      </c>
      <c r="U579" s="15">
        <f t="shared" si="17"/>
        <v>0.26275362118302853</v>
      </c>
    </row>
    <row r="580" spans="1:21" x14ac:dyDescent="0.35">
      <c r="A580" s="10">
        <v>45679</v>
      </c>
      <c r="B580" s="2">
        <v>-1.4735915584762669E-2</v>
      </c>
      <c r="C580" s="2">
        <v>-1.908231995472878E-3</v>
      </c>
      <c r="D580" s="2">
        <v>-8.7751067055764128E-3</v>
      </c>
      <c r="E580" s="2">
        <v>9.3464296330514132E-3</v>
      </c>
      <c r="F580" s="2">
        <v>-1.5037877364540561E-2</v>
      </c>
      <c r="G580" s="2">
        <v>5.0083577143723579E-3</v>
      </c>
      <c r="H580" s="2">
        <v>-3.1902173766483022E-2</v>
      </c>
      <c r="I580" s="2">
        <v>-4.4687815762582087E-2</v>
      </c>
      <c r="J580" s="2">
        <v>9.0791803955710629E-3</v>
      </c>
      <c r="K580" s="2">
        <v>-2.537416347473849E-2</v>
      </c>
      <c r="L580" s="2">
        <v>2.643955368278077E-2</v>
      </c>
      <c r="M580" s="2">
        <v>-7.8637364602145762E-3</v>
      </c>
      <c r="N580" s="2">
        <v>-9.9010709827115698E-3</v>
      </c>
      <c r="O580" s="2">
        <v>-1.453406542391357E-2</v>
      </c>
      <c r="P580" s="2">
        <v>-1.8928009885518911E-2</v>
      </c>
      <c r="Q580" s="15">
        <f>AVERAGE(Tableau2[[#This Row],[AWB]:[IAM]])</f>
        <v>-9.5849763987159425E-3</v>
      </c>
      <c r="R580" s="15">
        <f>ABS(Tableau2[[#This Row],[Rm ]])</f>
        <v>9.5849763987159425E-3</v>
      </c>
      <c r="S580" s="15">
        <f>(Tableau2[[#This Row],[Rm ]]-Tableau2[[#Totals],[Rm ]])^2</f>
        <v>1.0767448101740744E-4</v>
      </c>
      <c r="T580" s="15">
        <f t="shared" si="18"/>
        <v>0.18812239752336388</v>
      </c>
      <c r="U580" s="15">
        <f t="shared" ref="U580:U643" si="19">T579</f>
        <v>0.22057434110484334</v>
      </c>
    </row>
    <row r="581" spans="1:21" x14ac:dyDescent="0.35">
      <c r="A581" s="10">
        <v>45680</v>
      </c>
      <c r="B581" s="2">
        <v>-6.5274153753646725E-4</v>
      </c>
      <c r="C581" s="2">
        <v>-2.7997250783431751E-2</v>
      </c>
      <c r="D581" s="2">
        <v>-2.1461794335435251E-3</v>
      </c>
      <c r="E581" s="2">
        <v>2.774930899293451E-3</v>
      </c>
      <c r="F581" s="2">
        <v>-0.1033423515015891</v>
      </c>
      <c r="G581" s="2">
        <v>2.3859626286479609E-2</v>
      </c>
      <c r="H581" s="2">
        <v>1.1718884113213481E-2</v>
      </c>
      <c r="I581" s="2">
        <v>3.7740327982846898E-2</v>
      </c>
      <c r="J581" s="2">
        <v>3.2394067811004033E-2</v>
      </c>
      <c r="K581" s="2">
        <v>2.756955403817421E-2</v>
      </c>
      <c r="L581" s="2">
        <v>-2.1178970147348059E-3</v>
      </c>
      <c r="M581" s="2">
        <v>1.047129986729544E-2</v>
      </c>
      <c r="N581" s="2">
        <v>9.9010709827115368E-3</v>
      </c>
      <c r="O581" s="2">
        <v>2.6929411878631331E-2</v>
      </c>
      <c r="P581" s="2">
        <v>0</v>
      </c>
      <c r="Q581" s="15">
        <f>AVERAGE(Tableau2[[#This Row],[AWB]:[IAM]])</f>
        <v>3.1401835725876227E-3</v>
      </c>
      <c r="R581" s="15">
        <f>ABS(Tableau2[[#This Row],[Rm ]])</f>
        <v>3.1401835725876227E-3</v>
      </c>
      <c r="S581" s="15">
        <f>(Tableau2[[#This Row],[Rm ]]-Tableau2[[#Totals],[Rm ]])^2</f>
        <v>5.5155860414929501E-6</v>
      </c>
      <c r="T581" s="15">
        <f t="shared" si="18"/>
        <v>0.30799471075822926</v>
      </c>
      <c r="U581" s="15">
        <f t="shared" si="19"/>
        <v>0.18812239752336388</v>
      </c>
    </row>
    <row r="582" spans="1:21" x14ac:dyDescent="0.35">
      <c r="A582" s="10">
        <v>45681</v>
      </c>
      <c r="B582" s="2">
        <v>3.9100734078430397E-3</v>
      </c>
      <c r="C582" s="2">
        <v>2.1202207650602909E-2</v>
      </c>
      <c r="D582" s="2">
        <v>-2.1475068254635611E-2</v>
      </c>
      <c r="E582" s="2">
        <v>3.5739219558992369E-2</v>
      </c>
      <c r="F582" s="2">
        <v>2.5216996451365221E-2</v>
      </c>
      <c r="G582" s="2">
        <v>-5.0010420574661422E-2</v>
      </c>
      <c r="H582" s="2">
        <v>5.8083415957469551E-3</v>
      </c>
      <c r="I582" s="2">
        <v>4.3478329361034216E-3</v>
      </c>
      <c r="J582" s="2">
        <v>3.0771658666753691E-2</v>
      </c>
      <c r="K582" s="2">
        <v>-1.324522675002068E-2</v>
      </c>
      <c r="L582" s="2">
        <v>0</v>
      </c>
      <c r="M582" s="2">
        <v>-1.310634750530055E-2</v>
      </c>
      <c r="N582" s="2">
        <v>-9.8570732475918824E-4</v>
      </c>
      <c r="O582" s="2">
        <v>4.8192864359489218E-3</v>
      </c>
      <c r="P582" s="2">
        <v>1.8928009885518859E-2</v>
      </c>
      <c r="Q582" s="15">
        <f>AVERAGE(Tableau2[[#This Row],[AWB]:[IAM]])</f>
        <v>3.4613904119665299E-3</v>
      </c>
      <c r="R582" s="15">
        <f>ABS(Tableau2[[#This Row],[Rm ]])</f>
        <v>3.4613904119665299E-3</v>
      </c>
      <c r="S582" s="15">
        <f>(Tableau2[[#This Row],[Rm ]]-Tableau2[[#Totals],[Rm ]])^2</f>
        <v>7.1274866984130867E-6</v>
      </c>
      <c r="T582" s="15">
        <f t="shared" si="18"/>
        <v>0.2247467142537044</v>
      </c>
      <c r="U582" s="15">
        <f t="shared" si="19"/>
        <v>0.30799471075822926</v>
      </c>
    </row>
    <row r="583" spans="1:21" x14ac:dyDescent="0.35">
      <c r="A583" s="10">
        <v>45685</v>
      </c>
      <c r="B583" s="2">
        <v>3.408817520503309E-3</v>
      </c>
      <c r="C583" s="2">
        <v>-1.019161870199854E-2</v>
      </c>
      <c r="D583" s="2">
        <v>1.212136053234482E-2</v>
      </c>
      <c r="E583" s="2">
        <v>4.5229842974674653E-2</v>
      </c>
      <c r="F583" s="2">
        <v>4.7666147565515328E-2</v>
      </c>
      <c r="G583" s="2">
        <v>-1.2037978559479089E-2</v>
      </c>
      <c r="H583" s="2">
        <v>0</v>
      </c>
      <c r="I583" s="2">
        <v>-2.6375155254394319E-2</v>
      </c>
      <c r="J583" s="2">
        <v>-1.8966613216991179E-2</v>
      </c>
      <c r="K583" s="2">
        <v>0</v>
      </c>
      <c r="L583" s="2">
        <v>-9.9432637403310004E-3</v>
      </c>
      <c r="M583" s="2">
        <v>2.1085932957590971E-3</v>
      </c>
      <c r="N583" s="2">
        <v>-2.9629651306570721E-3</v>
      </c>
      <c r="O583" s="2">
        <v>-6.7535230157797776E-3</v>
      </c>
      <c r="P583" s="2">
        <v>0</v>
      </c>
      <c r="Q583" s="15">
        <f>AVERAGE(Tableau2[[#This Row],[AWB]:[IAM]])</f>
        <v>1.553576284611082E-3</v>
      </c>
      <c r="R583" s="15">
        <f>ABS(Tableau2[[#This Row],[Rm ]])</f>
        <v>1.553576284611082E-3</v>
      </c>
      <c r="S583" s="15">
        <f>(Tableau2[[#This Row],[Rm ]]-Tableau2[[#Totals],[Rm ]])^2</f>
        <v>5.805239093824754E-7</v>
      </c>
      <c r="T583" s="15">
        <f t="shared" si="18"/>
        <v>0.20408375639917994</v>
      </c>
      <c r="U583" s="15">
        <f t="shared" si="19"/>
        <v>0.2247467142537044</v>
      </c>
    </row>
    <row r="584" spans="1:21" x14ac:dyDescent="0.35">
      <c r="A584" s="10">
        <v>45692</v>
      </c>
      <c r="B584" s="2">
        <v>8.0697661939528563E-3</v>
      </c>
      <c r="C584" s="2">
        <v>7.0398038007724864E-3</v>
      </c>
      <c r="D584" s="2">
        <v>-1.456336418789655E-2</v>
      </c>
      <c r="E584" s="2">
        <v>4.3485111939738891E-2</v>
      </c>
      <c r="F584" s="2">
        <v>6.0312170634389657E-2</v>
      </c>
      <c r="G584" s="2">
        <v>-2.1863573116202378E-2</v>
      </c>
      <c r="H584" s="2">
        <v>3.9183587427005027E-2</v>
      </c>
      <c r="I584" s="2">
        <v>2.224695022111109E-3</v>
      </c>
      <c r="J584" s="2">
        <v>-5.8831141502702619E-2</v>
      </c>
      <c r="K584" s="2">
        <v>0</v>
      </c>
      <c r="L584" s="2">
        <v>1.347060425829944E-2</v>
      </c>
      <c r="M584" s="2">
        <v>2.1041564838635359E-3</v>
      </c>
      <c r="N584" s="2">
        <v>-9.8960918516627816E-4</v>
      </c>
      <c r="O584" s="2">
        <v>1.6322974031930521E-2</v>
      </c>
      <c r="P584" s="2">
        <v>-1.2578782206860069E-2</v>
      </c>
      <c r="Q584" s="15">
        <f>AVERAGE(Tableau2[[#This Row],[AWB]:[IAM]])</f>
        <v>5.5590933062157084E-3</v>
      </c>
      <c r="R584" s="15">
        <f>ABS(Tableau2[[#This Row],[Rm ]])</f>
        <v>5.5590933062157084E-3</v>
      </c>
      <c r="S584" s="15">
        <f>(Tableau2[[#This Row],[Rm ]]-Tableau2[[#Totals],[Rm ]])^2</f>
        <v>2.2728467161608043E-5</v>
      </c>
      <c r="T584" s="15">
        <f t="shared" si="18"/>
        <v>0.2810120464729538</v>
      </c>
      <c r="U584" s="15">
        <f t="shared" si="19"/>
        <v>0.20408375639917994</v>
      </c>
    </row>
    <row r="585" spans="1:21" x14ac:dyDescent="0.35">
      <c r="A585" s="10">
        <v>45693</v>
      </c>
      <c r="B585" s="2">
        <v>4.6507982154273889E-3</v>
      </c>
      <c r="C585" s="2">
        <v>1.051709124109468E-3</v>
      </c>
      <c r="D585" s="2">
        <v>2.4420036555518089E-3</v>
      </c>
      <c r="E585" s="2">
        <v>-1.0695289116747921E-2</v>
      </c>
      <c r="F585" s="2">
        <v>0</v>
      </c>
      <c r="G585" s="2">
        <v>1.6659745241175271E-2</v>
      </c>
      <c r="H585" s="2">
        <v>-1.300269524703691E-3</v>
      </c>
      <c r="I585" s="2">
        <v>-4.4543503493803087E-3</v>
      </c>
      <c r="J585" s="2">
        <v>6.5487887081785697E-4</v>
      </c>
      <c r="K585" s="2">
        <v>0</v>
      </c>
      <c r="L585" s="2">
        <v>0</v>
      </c>
      <c r="M585" s="2">
        <v>0</v>
      </c>
      <c r="N585" s="2">
        <v>-7.4534506545808907E-3</v>
      </c>
      <c r="O585" s="2">
        <v>-2.360986563913374E-2</v>
      </c>
      <c r="P585" s="2">
        <v>-6.3492276786588919E-3</v>
      </c>
      <c r="Q585" s="15">
        <f>AVERAGE(Tableau2[[#This Row],[AWB]:[IAM]])</f>
        <v>-1.8935545237415768E-3</v>
      </c>
      <c r="R585" s="15">
        <f>ABS(Tableau2[[#This Row],[Rm ]])</f>
        <v>1.8935545237415768E-3</v>
      </c>
      <c r="S585" s="15">
        <f>(Tableau2[[#This Row],[Rm ]]-Tableau2[[#Totals],[Rm ]])^2</f>
        <v>7.2103506606203345E-6</v>
      </c>
      <c r="T585" s="15">
        <f t="shared" si="18"/>
        <v>8.2030193361664908E-2</v>
      </c>
      <c r="U585" s="15">
        <f t="shared" si="19"/>
        <v>0.2810120464729538</v>
      </c>
    </row>
    <row r="586" spans="1:21" x14ac:dyDescent="0.35">
      <c r="A586" s="10">
        <v>45694</v>
      </c>
      <c r="B586" s="2">
        <v>8.1268872116082563E-3</v>
      </c>
      <c r="C586" s="2">
        <v>-1.753463538873471E-3</v>
      </c>
      <c r="D586" s="2">
        <v>1.4528100562909809E-2</v>
      </c>
      <c r="E586" s="2">
        <v>1.069528911674795E-2</v>
      </c>
      <c r="F586" s="2">
        <v>2.9273210350412991E-2</v>
      </c>
      <c r="G586" s="2">
        <v>-8.7336799687545534E-3</v>
      </c>
      <c r="H586" s="2">
        <v>-6.9010811980588184E-3</v>
      </c>
      <c r="I586" s="2">
        <v>-6.7189502487448689E-3</v>
      </c>
      <c r="J586" s="2">
        <v>4.897968975547156E-3</v>
      </c>
      <c r="K586" s="2">
        <v>-1.1173300598125191E-2</v>
      </c>
      <c r="L586" s="2">
        <v>2.090668481931364E-2</v>
      </c>
      <c r="M586" s="2">
        <v>0</v>
      </c>
      <c r="N586" s="2">
        <v>-1.9970051569361599E-3</v>
      </c>
      <c r="O586" s="2">
        <v>2.313356174825253E-2</v>
      </c>
      <c r="P586" s="2">
        <v>-1.2820688429061431E-2</v>
      </c>
      <c r="Q586" s="15">
        <f>AVERAGE(Tableau2[[#This Row],[AWB]:[IAM]])</f>
        <v>4.0975689097491903E-3</v>
      </c>
      <c r="R586" s="15">
        <f>ABS(Tableau2[[#This Row],[Rm ]])</f>
        <v>4.0975689097491903E-3</v>
      </c>
      <c r="S586" s="15">
        <f>(Tableau2[[#This Row],[Rm ]]-Tableau2[[#Totals],[Rm ]])^2</f>
        <v>1.0929066194824339E-5</v>
      </c>
      <c r="T586" s="15">
        <f t="shared" si="18"/>
        <v>0.14996706731687282</v>
      </c>
      <c r="U586" s="15">
        <f t="shared" si="19"/>
        <v>8.2030193361664908E-2</v>
      </c>
    </row>
    <row r="587" spans="1:21" x14ac:dyDescent="0.35">
      <c r="A587" s="10">
        <v>45695</v>
      </c>
      <c r="B587" s="2">
        <v>-2.542508917707755E-3</v>
      </c>
      <c r="C587" s="2">
        <v>0</v>
      </c>
      <c r="D587" s="2">
        <v>4.3175888612022239E-3</v>
      </c>
      <c r="E587" s="2">
        <v>0</v>
      </c>
      <c r="F587" s="2">
        <v>-2.9273210350412929E-2</v>
      </c>
      <c r="G587" s="2">
        <v>8.7336799687546315E-3</v>
      </c>
      <c r="H587" s="2">
        <v>1.061166059459457E-2</v>
      </c>
      <c r="I587" s="2">
        <v>-1.1242272122808799E-3</v>
      </c>
      <c r="J587" s="2">
        <v>1.6155440222285211E-2</v>
      </c>
      <c r="K587" s="2">
        <v>-4.5045121211045409E-3</v>
      </c>
      <c r="L587" s="2">
        <v>2.7883479350118409E-2</v>
      </c>
      <c r="M587" s="2">
        <v>-2.1041564838636209E-3</v>
      </c>
      <c r="N587" s="2">
        <v>-8.0281414624426457E-3</v>
      </c>
      <c r="O587" s="2">
        <v>-4.7653086439047632E-4</v>
      </c>
      <c r="P587" s="2">
        <v>-3.2789822822990838E-2</v>
      </c>
      <c r="Q587" s="15">
        <f>AVERAGE(Tableau2[[#This Row],[AWB]:[IAM]])</f>
        <v>-8.7608408254924257E-4</v>
      </c>
      <c r="R587" s="15">
        <f>ABS(Tableau2[[#This Row],[Rm ]])</f>
        <v>8.7608408254924257E-4</v>
      </c>
      <c r="S587" s="15">
        <f>(Tableau2[[#This Row],[Rm ]]-Tableau2[[#Totals],[Rm ]])^2</f>
        <v>2.7813539419972532E-6</v>
      </c>
      <c r="T587" s="15">
        <f t="shared" si="18"/>
        <v>0.11868182542817153</v>
      </c>
      <c r="U587" s="15">
        <f t="shared" si="19"/>
        <v>0.14996706731687282</v>
      </c>
    </row>
    <row r="588" spans="1:21" x14ac:dyDescent="0.35">
      <c r="A588" s="10">
        <v>45698</v>
      </c>
      <c r="B588" s="2">
        <v>2.383791355276197E-3</v>
      </c>
      <c r="C588" s="2">
        <v>-1.023117056574897E-2</v>
      </c>
      <c r="D588" s="2">
        <v>4.7858340229076649E-4</v>
      </c>
      <c r="E588" s="2">
        <v>0</v>
      </c>
      <c r="F588" s="2">
        <v>2.8987536873252191E-2</v>
      </c>
      <c r="G588" s="2">
        <v>-1.7406444777841E-3</v>
      </c>
      <c r="H588" s="2">
        <v>-1.436189937960841E-2</v>
      </c>
      <c r="I588" s="2">
        <v>3.368897066104699E-3</v>
      </c>
      <c r="J588" s="2">
        <v>1.9048194970694411E-2</v>
      </c>
      <c r="K588" s="2">
        <v>1.567781271922979E-2</v>
      </c>
      <c r="L588" s="2">
        <v>-1.4184634991956409E-2</v>
      </c>
      <c r="M588" s="2">
        <v>0</v>
      </c>
      <c r="N588" s="2">
        <v>5.0365148382708531E-4</v>
      </c>
      <c r="O588" s="2">
        <v>-4.299027399676766E-3</v>
      </c>
      <c r="P588" s="2">
        <v>0</v>
      </c>
      <c r="Q588" s="15">
        <f>AVERAGE(Tableau2[[#This Row],[AWB]:[IAM]])</f>
        <v>1.7087394037266991E-3</v>
      </c>
      <c r="R588" s="15">
        <f>ABS(Tableau2[[#This Row],[Rm ]])</f>
        <v>1.7087394037266991E-3</v>
      </c>
      <c r="S588" s="15">
        <f>(Tableau2[[#This Row],[Rm ]]-Tableau2[[#Totals],[Rm ]])^2</f>
        <v>8.4104364159487494E-7</v>
      </c>
      <c r="T588" s="15">
        <f t="shared" si="18"/>
        <v>0.12025024848836935</v>
      </c>
      <c r="U588" s="15">
        <f t="shared" si="19"/>
        <v>0.11868182542817153</v>
      </c>
    </row>
    <row r="589" spans="1:21" x14ac:dyDescent="0.35">
      <c r="A589" s="10">
        <v>45699</v>
      </c>
      <c r="B589" s="2">
        <v>-6.3694482854798227E-3</v>
      </c>
      <c r="C589" s="2">
        <v>6.3626937878286504E-3</v>
      </c>
      <c r="D589" s="2">
        <v>-2.421425812059463E-2</v>
      </c>
      <c r="E589" s="2">
        <v>0</v>
      </c>
      <c r="F589" s="2">
        <v>4.1964199099032207E-2</v>
      </c>
      <c r="G589" s="2">
        <v>-2.4692612590371522E-2</v>
      </c>
      <c r="H589" s="2">
        <v>-1.8788163512274049E-4</v>
      </c>
      <c r="I589" s="2">
        <v>-1.354422510775726E-2</v>
      </c>
      <c r="J589" s="2">
        <v>-2.386748140664343E-2</v>
      </c>
      <c r="K589" s="2">
        <v>-1.1173300598125191E-2</v>
      </c>
      <c r="L589" s="2">
        <v>5.4282020970381997E-2</v>
      </c>
      <c r="M589" s="2">
        <v>-1.538900096365357E-2</v>
      </c>
      <c r="N589" s="2">
        <v>2.0120731134202351E-3</v>
      </c>
      <c r="O589" s="2">
        <v>-1.3979499772939099E-2</v>
      </c>
      <c r="P589" s="2">
        <v>0</v>
      </c>
      <c r="Q589" s="15">
        <f>AVERAGE(Tableau2[[#This Row],[AWB]:[IAM]])</f>
        <v>-1.919781434001612E-3</v>
      </c>
      <c r="R589" s="15">
        <f>ABS(Tableau2[[#This Row],[Rm ]])</f>
        <v>1.919781434001612E-3</v>
      </c>
      <c r="S589" s="15">
        <f>(Tableau2[[#This Row],[Rm ]]-Tableau2[[#Totals],[Rm ]])^2</f>
        <v>7.3518880144911137E-6</v>
      </c>
      <c r="T589" s="15">
        <f t="shared" si="18"/>
        <v>0.23395135474203513</v>
      </c>
      <c r="U589" s="15">
        <f t="shared" si="19"/>
        <v>0.12025024848836935</v>
      </c>
    </row>
    <row r="590" spans="1:21" x14ac:dyDescent="0.35">
      <c r="A590" s="10">
        <v>45701</v>
      </c>
      <c r="B590" s="2">
        <v>1.8987912244691381E-2</v>
      </c>
      <c r="C590" s="2">
        <v>-6.3626937878287692E-3</v>
      </c>
      <c r="D590" s="2">
        <v>-2.030275233786194E-2</v>
      </c>
      <c r="E590" s="2">
        <v>-4.9056156989194202E-2</v>
      </c>
      <c r="F590" s="2">
        <v>0</v>
      </c>
      <c r="G590" s="2">
        <v>3.5091319811270193E-2</v>
      </c>
      <c r="H590" s="2">
        <v>3.2898919682927692E-2</v>
      </c>
      <c r="I590" s="2">
        <v>-2.2989518224698718E-2</v>
      </c>
      <c r="J590" s="2">
        <v>-3.8722216825094512E-3</v>
      </c>
      <c r="K590" s="2">
        <v>0</v>
      </c>
      <c r="L590" s="2">
        <v>-3.4079313652862618E-2</v>
      </c>
      <c r="M590" s="2">
        <v>1.5915455305899578E-2</v>
      </c>
      <c r="N590" s="2">
        <v>-1.010109598650393E-2</v>
      </c>
      <c r="O590" s="2">
        <v>-4.8661896511728994E-3</v>
      </c>
      <c r="P590" s="2">
        <v>0</v>
      </c>
      <c r="Q590" s="15">
        <f>AVERAGE(Tableau2[[#This Row],[AWB]:[IAM]])</f>
        <v>-3.2490890178562461E-3</v>
      </c>
      <c r="R590" s="15">
        <f>ABS(Tableau2[[#This Row],[Rm ]])</f>
        <v>3.2490890178562461E-3</v>
      </c>
      <c r="S590" s="15">
        <f>(Tableau2[[#This Row],[Rm ]]-Tableau2[[#Totals],[Rm ]])^2</f>
        <v>1.6327612931466329E-5</v>
      </c>
      <c r="T590" s="15">
        <f t="shared" si="18"/>
        <v>0.24824197725623262</v>
      </c>
      <c r="U590" s="15">
        <f t="shared" si="19"/>
        <v>0.23395135474203513</v>
      </c>
    </row>
    <row r="591" spans="1:21" x14ac:dyDescent="0.35">
      <c r="A591" s="10">
        <v>45702</v>
      </c>
      <c r="B591" s="2">
        <v>1.0912033450982499E-2</v>
      </c>
      <c r="C591" s="2">
        <v>3.5454706983709919E-4</v>
      </c>
      <c r="D591" s="2">
        <v>5.001250416823734E-4</v>
      </c>
      <c r="E591" s="2">
        <v>2.7549951768230649E-2</v>
      </c>
      <c r="F591" s="2">
        <v>5.3345980705292707E-2</v>
      </c>
      <c r="G591" s="2">
        <v>8.583743691391435E-3</v>
      </c>
      <c r="H591" s="2">
        <v>3.4664896617420428E-2</v>
      </c>
      <c r="I591" s="2">
        <v>2.2989518224698781E-2</v>
      </c>
      <c r="J591" s="2">
        <v>-3.0529205034822971E-2</v>
      </c>
      <c r="K591" s="2">
        <v>0</v>
      </c>
      <c r="L591" s="2">
        <v>1.980262729617973E-2</v>
      </c>
      <c r="M591" s="2">
        <v>-7.9260652724207157E-3</v>
      </c>
      <c r="N591" s="2">
        <v>-8.6668908553552935E-3</v>
      </c>
      <c r="O591" s="2">
        <v>-7.343974255758506E-3</v>
      </c>
      <c r="P591" s="2">
        <v>0</v>
      </c>
      <c r="Q591" s="15">
        <f>AVERAGE(Tableau2[[#This Row],[AWB]:[IAM]])</f>
        <v>8.2824858964905476E-3</v>
      </c>
      <c r="R591" s="15">
        <f>ABS(Tableau2[[#This Row],[Rm ]])</f>
        <v>8.2824858964905476E-3</v>
      </c>
      <c r="S591" s="15">
        <f>(Tableau2[[#This Row],[Rm ]]-Tableau2[[#Totals],[Rm ]])^2</f>
        <v>5.6112546196881249E-5</v>
      </c>
      <c r="T591" s="15">
        <f t="shared" si="18"/>
        <v>0.232012380787467</v>
      </c>
      <c r="U591" s="15">
        <f t="shared" si="19"/>
        <v>0.24824197725623262</v>
      </c>
    </row>
    <row r="592" spans="1:21" x14ac:dyDescent="0.35">
      <c r="A592" s="10">
        <v>45705</v>
      </c>
      <c r="B592" s="2">
        <v>4.7946886378977998E-3</v>
      </c>
      <c r="C592" s="2">
        <v>-3.5454706983708222E-4</v>
      </c>
      <c r="D592" s="2">
        <v>1.9557499215530721E-2</v>
      </c>
      <c r="E592" s="2">
        <v>0</v>
      </c>
      <c r="F592" s="2">
        <v>3.7721087778515523E-2</v>
      </c>
      <c r="G592" s="2">
        <v>8.5106896679086105E-3</v>
      </c>
      <c r="H592" s="2">
        <v>1.8100041643617941E-2</v>
      </c>
      <c r="I592" s="2">
        <v>3.0220542642884519E-2</v>
      </c>
      <c r="J592" s="2">
        <v>3.9220713153281329E-2</v>
      </c>
      <c r="K592" s="2">
        <v>0</v>
      </c>
      <c r="L592" s="2">
        <v>3.2157111634531443E-2</v>
      </c>
      <c r="M592" s="2">
        <v>5.29101763441568E-3</v>
      </c>
      <c r="N592" s="2">
        <v>2.3780528665403391E-2</v>
      </c>
      <c r="O592" s="2">
        <v>7.3439742557585052E-3</v>
      </c>
      <c r="P592" s="2">
        <v>0</v>
      </c>
      <c r="Q592" s="15">
        <f>AVERAGE(Tableau2[[#This Row],[AWB]:[IAM]])</f>
        <v>1.5089556523993889E-2</v>
      </c>
      <c r="R592" s="15">
        <f>ABS(Tableau2[[#This Row],[Rm ]])</f>
        <v>1.5089556523993889E-2</v>
      </c>
      <c r="S592" s="15">
        <f>(Tableau2[[#This Row],[Rm ]]-Tableau2[[#Totals],[Rm ]])^2</f>
        <v>2.044299854647116E-4</v>
      </c>
      <c r="T592" s="15">
        <f t="shared" si="18"/>
        <v>0.1761776720425543</v>
      </c>
      <c r="U592" s="15">
        <f t="shared" si="19"/>
        <v>0.232012380787467</v>
      </c>
    </row>
    <row r="593" spans="1:21" x14ac:dyDescent="0.35">
      <c r="A593" s="10">
        <v>45706</v>
      </c>
      <c r="B593" s="2">
        <v>1.363901305094007E-2</v>
      </c>
      <c r="C593" s="2">
        <v>-3.5524016043677721E-3</v>
      </c>
      <c r="D593" s="2">
        <v>-1.4569957704491659E-2</v>
      </c>
      <c r="E593" s="2">
        <v>3.2088314551500449E-2</v>
      </c>
      <c r="F593" s="2">
        <v>1.749344442114265E-3</v>
      </c>
      <c r="G593" s="2">
        <v>-1.7525560764124079E-2</v>
      </c>
      <c r="H593" s="2">
        <v>1.5742967164031559E-2</v>
      </c>
      <c r="I593" s="2">
        <v>-7.9699337080646696E-3</v>
      </c>
      <c r="J593" s="2">
        <v>-6.4308903302904034E-3</v>
      </c>
      <c r="K593" s="2">
        <v>0</v>
      </c>
      <c r="L593" s="2">
        <v>2.500130220541719E-2</v>
      </c>
      <c r="M593" s="2">
        <v>-5.2784377050315429E-4</v>
      </c>
      <c r="N593" s="2">
        <v>-1.0050335853501451E-2</v>
      </c>
      <c r="O593" s="2">
        <v>0</v>
      </c>
      <c r="P593" s="2">
        <v>0</v>
      </c>
      <c r="Q593" s="15">
        <f>AVERAGE(Tableau2[[#This Row],[AWB]:[IAM]])</f>
        <v>1.8396011785773566E-3</v>
      </c>
      <c r="R593" s="15">
        <f>ABS(Tableau2[[#This Row],[Rm ]])</f>
        <v>1.8396011785773566E-3</v>
      </c>
      <c r="S593" s="15">
        <f>(Tableau2[[#This Row],[Rm ]]-Tableau2[[#Totals],[Rm ]])^2</f>
        <v>1.0981910081198477E-6</v>
      </c>
      <c r="T593" s="15">
        <f t="shared" si="18"/>
        <v>0.15650942341515414</v>
      </c>
      <c r="U593" s="15">
        <f t="shared" si="19"/>
        <v>0.1761776720425543</v>
      </c>
    </row>
    <row r="594" spans="1:21" x14ac:dyDescent="0.35">
      <c r="A594" s="10">
        <v>45707</v>
      </c>
      <c r="B594" s="2">
        <v>1.959369390040128E-2</v>
      </c>
      <c r="C594" s="2">
        <v>-3.565066164496145E-3</v>
      </c>
      <c r="D594" s="2">
        <v>4.9627893421290972E-3</v>
      </c>
      <c r="E594" s="2">
        <v>-8.4567100182235087E-3</v>
      </c>
      <c r="F594" s="2">
        <v>3.7383221106071581E-3</v>
      </c>
      <c r="G594" s="2">
        <v>1.7525560764124041E-2</v>
      </c>
      <c r="H594" s="2">
        <v>3.5852109899172632E-2</v>
      </c>
      <c r="I594" s="2">
        <v>-2.0024481048723768E-3</v>
      </c>
      <c r="J594" s="2">
        <v>6.4308903302903323E-3</v>
      </c>
      <c r="K594" s="2">
        <v>-2.249719734015442E-3</v>
      </c>
      <c r="L594" s="2">
        <v>2.439145312415927E-2</v>
      </c>
      <c r="M594" s="2">
        <v>5.2784377050312241E-4</v>
      </c>
      <c r="N594" s="2">
        <v>0</v>
      </c>
      <c r="O594" s="2">
        <v>-4.8899852941917919E-3</v>
      </c>
      <c r="P594" s="2">
        <v>0</v>
      </c>
      <c r="Q594" s="15">
        <f>AVERAGE(Tableau2[[#This Row],[AWB]:[IAM]])</f>
        <v>6.1239155950391774E-3</v>
      </c>
      <c r="R594" s="15">
        <f>ABS(Tableau2[[#This Row],[Rm ]])</f>
        <v>6.1239155950391774E-3</v>
      </c>
      <c r="S594" s="15">
        <f>(Tableau2[[#This Row],[Rm ]]-Tableau2[[#Totals],[Rm ]])^2</f>
        <v>2.8433002111690909E-5</v>
      </c>
      <c r="T594" s="15">
        <f t="shared" si="18"/>
        <v>0.14063260553053344</v>
      </c>
      <c r="U594" s="15">
        <f t="shared" si="19"/>
        <v>0.15650942341515414</v>
      </c>
    </row>
    <row r="595" spans="1:21" x14ac:dyDescent="0.35">
      <c r="A595" s="10">
        <v>45708</v>
      </c>
      <c r="B595" s="2">
        <v>-3.7383221106071039E-3</v>
      </c>
      <c r="C595" s="2">
        <v>-1.077209698191107E-2</v>
      </c>
      <c r="D595" s="2">
        <v>-9.950330853168092E-3</v>
      </c>
      <c r="E595" s="2">
        <v>-2.1253993123134781E-3</v>
      </c>
      <c r="F595" s="2">
        <v>0</v>
      </c>
      <c r="G595" s="2">
        <v>-8.5106896679086191E-3</v>
      </c>
      <c r="H595" s="2">
        <v>-1.7348638334612979E-2</v>
      </c>
      <c r="I595" s="2">
        <v>2.002448104872366E-3</v>
      </c>
      <c r="J595" s="2">
        <v>1.273902577742971E-2</v>
      </c>
      <c r="K595" s="2">
        <v>-2.047853134354068E-2</v>
      </c>
      <c r="L595" s="2">
        <v>6.0060240602119487E-3</v>
      </c>
      <c r="M595" s="2">
        <v>-2.642009462838696E-3</v>
      </c>
      <c r="N595" s="2">
        <v>-1.015237146401796E-2</v>
      </c>
      <c r="O595" s="2">
        <v>4.8899852941917711E-3</v>
      </c>
      <c r="P595" s="2">
        <v>0</v>
      </c>
      <c r="Q595" s="15">
        <f>AVERAGE(Tableau2[[#This Row],[AWB]:[IAM]])</f>
        <v>-4.0053937529475258E-3</v>
      </c>
      <c r="R595" s="15">
        <f>ABS(Tableau2[[#This Row],[Rm ]])</f>
        <v>4.0053937529475258E-3</v>
      </c>
      <c r="S595" s="15">
        <f>(Tableau2[[#This Row],[Rm ]]-Tableau2[[#Totals],[Rm ]])^2</f>
        <v>2.301167758534971E-5</v>
      </c>
      <c r="T595" s="15">
        <f t="shared" si="18"/>
        <v>0.10262222475219748</v>
      </c>
      <c r="U595" s="15">
        <f t="shared" si="19"/>
        <v>0.14063260553053344</v>
      </c>
    </row>
    <row r="596" spans="1:21" x14ac:dyDescent="0.35">
      <c r="A596" s="10">
        <v>45709</v>
      </c>
      <c r="B596" s="2">
        <v>-2.249719734015442E-3</v>
      </c>
      <c r="C596" s="2">
        <v>-3.435497457284822E-3</v>
      </c>
      <c r="D596" s="2">
        <v>0</v>
      </c>
      <c r="E596" s="2">
        <v>-1.933465170745572E-2</v>
      </c>
      <c r="F596" s="2">
        <v>-1.5037877364540561E-2</v>
      </c>
      <c r="G596" s="2">
        <v>4.1847109935500497E-2</v>
      </c>
      <c r="H596" s="2">
        <v>-3.2178898364235091E-2</v>
      </c>
      <c r="I596" s="2">
        <v>-2.225060893481981E-2</v>
      </c>
      <c r="J596" s="2">
        <v>-2.629199218213318E-2</v>
      </c>
      <c r="K596" s="2">
        <v>1.142869582362285E-2</v>
      </c>
      <c r="L596" s="2">
        <v>-1.204833851617448E-2</v>
      </c>
      <c r="M596" s="2">
        <v>4.7506027585977988E-3</v>
      </c>
      <c r="N596" s="2">
        <v>-2.8462464663761521E-2</v>
      </c>
      <c r="O596" s="2">
        <v>0</v>
      </c>
      <c r="P596" s="2">
        <v>0</v>
      </c>
      <c r="Q596" s="15">
        <f>AVERAGE(Tableau2[[#This Row],[AWB]:[IAM]])</f>
        <v>-6.8842426937799654E-3</v>
      </c>
      <c r="R596" s="15">
        <f>ABS(Tableau2[[#This Row],[Rm ]])</f>
        <v>6.8842426937799654E-3</v>
      </c>
      <c r="S596" s="15">
        <f>(Tableau2[[#This Row],[Rm ]]-Tableau2[[#Totals],[Rm ]])^2</f>
        <v>5.8919406760996904E-5</v>
      </c>
      <c r="T596" s="15">
        <f t="shared" si="18"/>
        <v>0.20840497257245991</v>
      </c>
      <c r="U596" s="15">
        <f t="shared" si="19"/>
        <v>0.10262222475219748</v>
      </c>
    </row>
    <row r="597" spans="1:21" x14ac:dyDescent="0.35">
      <c r="A597" s="10">
        <v>45712</v>
      </c>
      <c r="B597" s="2">
        <v>0</v>
      </c>
      <c r="C597" s="2">
        <v>0</v>
      </c>
      <c r="D597" s="2">
        <v>9.7027754613851214E-3</v>
      </c>
      <c r="E597" s="2">
        <v>0</v>
      </c>
      <c r="F597" s="2">
        <v>-1.015237146401796E-2</v>
      </c>
      <c r="G597" s="2">
        <v>4.8009219186360662E-2</v>
      </c>
      <c r="H597" s="2">
        <v>-1.038071605456074E-2</v>
      </c>
      <c r="I597" s="2">
        <v>-1.2118588917560499E-2</v>
      </c>
      <c r="J597" s="2">
        <v>5.184716734186896E-3</v>
      </c>
      <c r="K597" s="2">
        <v>0</v>
      </c>
      <c r="L597" s="2">
        <v>0</v>
      </c>
      <c r="M597" s="2">
        <v>5.2645434224604128E-4</v>
      </c>
      <c r="N597" s="2">
        <v>1.0443959161083311E-2</v>
      </c>
      <c r="O597" s="2">
        <v>1.188036764046874E-2</v>
      </c>
      <c r="P597" s="2">
        <v>0</v>
      </c>
      <c r="Q597" s="15">
        <f>AVERAGE(Tableau2[[#This Row],[AWB]:[IAM]])</f>
        <v>3.5397210726394374E-3</v>
      </c>
      <c r="R597" s="15">
        <f>ABS(Tableau2[[#This Row],[Rm ]])</f>
        <v>3.5397210726394374E-3</v>
      </c>
      <c r="S597" s="15">
        <f>(Tableau2[[#This Row],[Rm ]]-Tableau2[[#Totals],[Rm ]])^2</f>
        <v>7.5518666542631579E-6</v>
      </c>
      <c r="T597" s="15">
        <f t="shared" si="18"/>
        <v>0.13174112597277823</v>
      </c>
      <c r="U597" s="15">
        <f t="shared" si="19"/>
        <v>0.20840497257245991</v>
      </c>
    </row>
    <row r="598" spans="1:21" x14ac:dyDescent="0.35">
      <c r="A598" s="10">
        <v>45713</v>
      </c>
      <c r="B598" s="2">
        <v>0</v>
      </c>
      <c r="C598" s="2">
        <v>1.4207594439195909E-2</v>
      </c>
      <c r="D598" s="2">
        <v>-9.7027754613851942E-3</v>
      </c>
      <c r="E598" s="2">
        <v>0</v>
      </c>
      <c r="F598" s="2">
        <v>1.0152371464017909E-2</v>
      </c>
      <c r="G598" s="2">
        <v>1.5504186535965249E-2</v>
      </c>
      <c r="H598" s="2">
        <v>1.911215940986947E-3</v>
      </c>
      <c r="I598" s="2">
        <v>1.2118588917560579E-2</v>
      </c>
      <c r="J598" s="2">
        <v>1.291989843802727E-3</v>
      </c>
      <c r="K598" s="2">
        <v>2.024816082994749E-2</v>
      </c>
      <c r="L598" s="2">
        <v>0</v>
      </c>
      <c r="M598" s="2">
        <v>0</v>
      </c>
      <c r="N598" s="2">
        <v>-1.2020003616548961E-2</v>
      </c>
      <c r="O598" s="2">
        <v>-6.7714889940504426E-3</v>
      </c>
      <c r="P598" s="2">
        <v>0</v>
      </c>
      <c r="Q598" s="15">
        <f>AVERAGE(Tableau2[[#This Row],[AWB]:[IAM]])</f>
        <v>3.1293226599661472E-3</v>
      </c>
      <c r="R598" s="15">
        <f>ABS(Tableau2[[#This Row],[Rm ]])</f>
        <v>3.1293226599661472E-3</v>
      </c>
      <c r="S598" s="15">
        <f>(Tableau2[[#This Row],[Rm ]]-Tableau2[[#Totals],[Rm ]])^2</f>
        <v>5.4646896756022136E-6</v>
      </c>
      <c r="T598" s="15">
        <f t="shared" si="18"/>
        <v>0.11024787662441103</v>
      </c>
      <c r="U598" s="15">
        <f t="shared" si="19"/>
        <v>0.13174112597277823</v>
      </c>
    </row>
    <row r="599" spans="1:21" x14ac:dyDescent="0.35">
      <c r="A599" s="10">
        <v>45714</v>
      </c>
      <c r="B599" s="2">
        <v>-9.0498355199179273E-3</v>
      </c>
      <c r="C599" s="2">
        <v>1.418463499195638E-2</v>
      </c>
      <c r="D599" s="2">
        <v>0</v>
      </c>
      <c r="E599" s="2">
        <v>-6.5288588824635556E-3</v>
      </c>
      <c r="F599" s="2">
        <v>-3.3379222073834612E-2</v>
      </c>
      <c r="G599" s="2">
        <v>-2.8874421099137071E-2</v>
      </c>
      <c r="H599" s="2">
        <v>4.8947201292503927E-2</v>
      </c>
      <c r="I599" s="2">
        <v>6.7950431328288076E-3</v>
      </c>
      <c r="J599" s="2">
        <v>1.282891231616399E-2</v>
      </c>
      <c r="K599" s="2">
        <v>0</v>
      </c>
      <c r="L599" s="2">
        <v>1.8165309263977851E-3</v>
      </c>
      <c r="M599" s="2">
        <v>5.249355886143745E-3</v>
      </c>
      <c r="N599" s="2">
        <v>7.333715425470194E-3</v>
      </c>
      <c r="O599" s="2">
        <v>6.7714889940504583E-3</v>
      </c>
      <c r="P599" s="2">
        <v>-1.342302033214066E-2</v>
      </c>
      <c r="Q599" s="15">
        <f>AVERAGE(Tableau2[[#This Row],[AWB]:[IAM]])</f>
        <v>8.447683372014306E-4</v>
      </c>
      <c r="R599" s="15">
        <f>ABS(Tableau2[[#This Row],[Rm ]])</f>
        <v>8.447683372014306E-4</v>
      </c>
      <c r="S599" s="15">
        <f>(Tableau2[[#This Row],[Rm ]]-Tableau2[[#Totals],[Rm ]])^2</f>
        <v>2.8210172084725093E-9</v>
      </c>
      <c r="T599" s="15">
        <f t="shared" si="18"/>
        <v>0.18102086977775506</v>
      </c>
      <c r="U599" s="15">
        <f t="shared" si="19"/>
        <v>0.11024787662441103</v>
      </c>
    </row>
    <row r="600" spans="1:21" x14ac:dyDescent="0.35">
      <c r="A600" s="10">
        <v>45715</v>
      </c>
      <c r="B600" s="2">
        <v>-7.6045993852193036E-3</v>
      </c>
      <c r="C600" s="2">
        <v>-3.5273405179684111E-3</v>
      </c>
      <c r="D600" s="2">
        <v>0</v>
      </c>
      <c r="E600" s="2">
        <v>6.528858882463631E-3</v>
      </c>
      <c r="F600" s="2">
        <v>1.8111749943046099E-2</v>
      </c>
      <c r="G600" s="2">
        <v>-1.8378463751408589E-2</v>
      </c>
      <c r="H600" s="2">
        <v>-2.5105921131076361E-2</v>
      </c>
      <c r="I600" s="2">
        <v>-1.8223738956451501E-2</v>
      </c>
      <c r="J600" s="2">
        <v>-2.3864402432496112E-2</v>
      </c>
      <c r="K600" s="2">
        <v>2.224695022111109E-3</v>
      </c>
      <c r="L600" s="2">
        <v>-7.8955770027800392E-3</v>
      </c>
      <c r="M600" s="2">
        <v>-5.2493558861436782E-3</v>
      </c>
      <c r="N600" s="2">
        <v>5.2056338272649704E-3</v>
      </c>
      <c r="O600" s="2">
        <v>-1.1880367640468679E-2</v>
      </c>
      <c r="P600" s="2">
        <v>1.342302033214055E-2</v>
      </c>
      <c r="Q600" s="15">
        <f>AVERAGE(Tableau2[[#This Row],[AWB]:[IAM]])</f>
        <v>-5.0823872464657565E-3</v>
      </c>
      <c r="R600" s="15">
        <f>ABS(Tableau2[[#This Row],[Rm ]])</f>
        <v>5.0823872464657565E-3</v>
      </c>
      <c r="S600" s="15">
        <f>(Tableau2[[#This Row],[Rm ]]-Tableau2[[#Totals],[Rm ]])^2</f>
        <v>3.4504373350663787E-5</v>
      </c>
      <c r="T600" s="15">
        <f t="shared" si="18"/>
        <v>0.13781494268860389</v>
      </c>
      <c r="U600" s="15">
        <f t="shared" si="19"/>
        <v>0.18102086977775506</v>
      </c>
    </row>
    <row r="601" spans="1:21" x14ac:dyDescent="0.35">
      <c r="A601" s="10">
        <v>45720</v>
      </c>
      <c r="B601" s="2">
        <v>-2.629695229046199E-2</v>
      </c>
      <c r="C601" s="2">
        <v>-1.0300215377174659E-2</v>
      </c>
      <c r="D601" s="2">
        <v>-1.0050335853501451E-2</v>
      </c>
      <c r="E601" s="2">
        <v>-3.5323760830408363E-2</v>
      </c>
      <c r="F601" s="2">
        <v>1.020417017424167E-2</v>
      </c>
      <c r="G601" s="2">
        <v>-9.2893746892696333E-2</v>
      </c>
      <c r="H601" s="2">
        <v>-3.9763233172013107E-2</v>
      </c>
      <c r="I601" s="2">
        <v>-3.9864598563927822E-2</v>
      </c>
      <c r="J601" s="2">
        <v>-3.5207887589736669E-2</v>
      </c>
      <c r="K601" s="2">
        <v>-1.1173300598125191E-2</v>
      </c>
      <c r="L601" s="2">
        <v>1.8127384592556701E-2</v>
      </c>
      <c r="M601" s="2">
        <v>5.52853156570879E-2</v>
      </c>
      <c r="N601" s="2">
        <v>-1.0963304797269469E-2</v>
      </c>
      <c r="O601" s="2">
        <v>-9.8040000966208556E-3</v>
      </c>
      <c r="P601" s="2">
        <v>0</v>
      </c>
      <c r="Q601" s="15">
        <f>AVERAGE(Tableau2[[#This Row],[AWB]:[IAM]])</f>
        <v>-1.5868297709203314E-2</v>
      </c>
      <c r="R601" s="15">
        <f>ABS(Tableau2[[#This Row],[Rm ]])</f>
        <v>1.5868297709203314E-2</v>
      </c>
      <c r="S601" s="15">
        <f>(Tableau2[[#This Row],[Rm ]]-Tableau2[[#Totals],[Rm ]])^2</f>
        <v>2.7755402721516166E-4</v>
      </c>
      <c r="T601" s="15">
        <f t="shared" si="18"/>
        <v>0.33347037497279253</v>
      </c>
      <c r="U601" s="15">
        <f t="shared" si="19"/>
        <v>0.13781494268860389</v>
      </c>
    </row>
    <row r="602" spans="1:21" x14ac:dyDescent="0.35">
      <c r="A602" s="10">
        <v>45721</v>
      </c>
      <c r="B602" s="2">
        <v>-4.7132844520982016E-3</v>
      </c>
      <c r="C602" s="2">
        <v>1.294688652954947E-2</v>
      </c>
      <c r="D602" s="2">
        <v>-1.015237146401796E-2</v>
      </c>
      <c r="E602" s="2">
        <v>-8.9160344614642329E-3</v>
      </c>
      <c r="F602" s="2">
        <v>-1.0204170174241739E-2</v>
      </c>
      <c r="G602" s="2">
        <v>0</v>
      </c>
      <c r="H602" s="2">
        <v>-1.4209830572652909E-2</v>
      </c>
      <c r="I602" s="2">
        <v>-2.274475014123456E-2</v>
      </c>
      <c r="J602" s="2">
        <v>-2.0304575503820631E-3</v>
      </c>
      <c r="K602" s="2">
        <v>-1.9973428398711489E-2</v>
      </c>
      <c r="L602" s="2">
        <v>-4.0946752801247793E-2</v>
      </c>
      <c r="M602" s="2">
        <v>-2.266528653515873E-2</v>
      </c>
      <c r="N602" s="2">
        <v>1.355599486771302E-2</v>
      </c>
      <c r="O602" s="2">
        <v>-1.488861249375064E-2</v>
      </c>
      <c r="P602" s="2">
        <v>0</v>
      </c>
      <c r="Q602" s="15">
        <f>AVERAGE(Tableau2[[#This Row],[AWB]:[IAM]])</f>
        <v>-9.6628065098465221E-3</v>
      </c>
      <c r="R602" s="15">
        <f>ABS(Tableau2[[#This Row],[Rm ]])</f>
        <v>9.6628065098465221E-3</v>
      </c>
      <c r="S602" s="15">
        <f>(Tableau2[[#This Row],[Rm ]]-Tableau2[[#Totals],[Rm ]])^2</f>
        <v>1.0929576730719765E-4</v>
      </c>
      <c r="T602" s="15">
        <f t="shared" si="18"/>
        <v>0.14794688159529723</v>
      </c>
      <c r="U602" s="15">
        <f t="shared" si="19"/>
        <v>0.33347037497279253</v>
      </c>
    </row>
    <row r="603" spans="1:21" x14ac:dyDescent="0.35">
      <c r="A603" s="10">
        <v>45722</v>
      </c>
      <c r="B603" s="2">
        <v>-1.576044455465766E-3</v>
      </c>
      <c r="C603" s="2">
        <v>-9.3830908831261158E-3</v>
      </c>
      <c r="D603" s="2">
        <v>-3.1090587070031119E-2</v>
      </c>
      <c r="E603" s="2">
        <v>1.01977233923878E-3</v>
      </c>
      <c r="F603" s="2">
        <v>2.531780798428979E-2</v>
      </c>
      <c r="G603" s="2">
        <v>1.7544309650909529E-2</v>
      </c>
      <c r="H603" s="2">
        <v>-1.6231194928582549E-2</v>
      </c>
      <c r="I603" s="2">
        <v>3.4204773148317569E-3</v>
      </c>
      <c r="J603" s="2">
        <v>-1.777216974579765E-2</v>
      </c>
      <c r="K603" s="2">
        <v>3.1146728996836719E-2</v>
      </c>
      <c r="L603" s="2">
        <v>-2.016451435393175E-2</v>
      </c>
      <c r="M603" s="2">
        <v>7.6123179061963978E-3</v>
      </c>
      <c r="N603" s="2">
        <v>-1.6184117273982619E-2</v>
      </c>
      <c r="O603" s="2">
        <v>3.3434776086237419E-2</v>
      </c>
      <c r="P603" s="2">
        <v>2.6317308317373361E-2</v>
      </c>
      <c r="Q603" s="15">
        <f>AVERAGE(Tableau2[[#This Row],[AWB]:[IAM]])</f>
        <v>2.2274519923330791E-3</v>
      </c>
      <c r="R603" s="15">
        <f>ABS(Tableau2[[#This Row],[Rm ]])</f>
        <v>2.2274519923330791E-3</v>
      </c>
      <c r="S603" s="15">
        <f>(Tableau2[[#This Row],[Rm ]]-Tableau2[[#Totals],[Rm ]])^2</f>
        <v>2.0615127496203564E-6</v>
      </c>
      <c r="T603" s="15">
        <f t="shared" si="18"/>
        <v>0.23591925871731589</v>
      </c>
      <c r="U603" s="15">
        <f t="shared" si="19"/>
        <v>0.14794688159529723</v>
      </c>
    </row>
    <row r="604" spans="1:21" x14ac:dyDescent="0.35">
      <c r="A604" s="10">
        <v>45723</v>
      </c>
      <c r="B604" s="2">
        <v>1.5760444554657139E-3</v>
      </c>
      <c r="C604" s="2">
        <v>-3.5580857874052782E-4</v>
      </c>
      <c r="D604" s="2">
        <v>0</v>
      </c>
      <c r="E604" s="2">
        <v>1.906956272035075E-2</v>
      </c>
      <c r="F604" s="2">
        <v>0</v>
      </c>
      <c r="G604" s="2">
        <v>-3.484324082610922E-3</v>
      </c>
      <c r="H604" s="2">
        <v>1.444068415479443E-2</v>
      </c>
      <c r="I604" s="2">
        <v>0</v>
      </c>
      <c r="J604" s="2">
        <v>3.3901551675681423E-2</v>
      </c>
      <c r="K604" s="2">
        <v>0</v>
      </c>
      <c r="L604" s="2">
        <v>7.8327483416310795E-2</v>
      </c>
      <c r="M604" s="2">
        <v>-3.9706169694228292E-2</v>
      </c>
      <c r="N604" s="2">
        <v>6.2959284568148309E-3</v>
      </c>
      <c r="O604" s="2">
        <v>-8.742163495865915E-3</v>
      </c>
      <c r="P604" s="2">
        <v>-1.307208156735289E-2</v>
      </c>
      <c r="Q604" s="15">
        <f>AVERAGE(Tableau2[[#This Row],[AWB]:[IAM]])</f>
        <v>5.8833804973746264E-3</v>
      </c>
      <c r="R604" s="15">
        <f>ABS(Tableau2[[#This Row],[Rm ]])</f>
        <v>5.8833804973746264E-3</v>
      </c>
      <c r="S604" s="15">
        <f>(Tableau2[[#This Row],[Rm ]]-Tableau2[[#Totals],[Rm ]])^2</f>
        <v>2.5925667641378512E-5</v>
      </c>
      <c r="T604" s="15">
        <f t="shared" si="18"/>
        <v>0.22754485128041255</v>
      </c>
      <c r="U604" s="15">
        <f t="shared" si="19"/>
        <v>0.23591925871731589</v>
      </c>
    </row>
    <row r="605" spans="1:21" x14ac:dyDescent="0.35">
      <c r="A605" s="10">
        <v>45729</v>
      </c>
      <c r="B605" s="2">
        <v>1.5625317903080811E-2</v>
      </c>
      <c r="C605" s="2">
        <v>6.0315953657987522E-3</v>
      </c>
      <c r="D605" s="2">
        <v>0</v>
      </c>
      <c r="E605" s="2">
        <v>-4.5462374076757288E-2</v>
      </c>
      <c r="F605" s="2">
        <v>7.4720148387010573E-3</v>
      </c>
      <c r="G605" s="2">
        <v>-1.450256136662683E-2</v>
      </c>
      <c r="H605" s="2">
        <v>-1.972736131153062E-2</v>
      </c>
      <c r="I605" s="2">
        <v>0</v>
      </c>
      <c r="J605" s="2">
        <v>-6.8992871486951435E-2</v>
      </c>
      <c r="K605" s="2">
        <v>1.1049836186584941E-2</v>
      </c>
      <c r="L605" s="2">
        <v>-3.9621028701466873E-2</v>
      </c>
      <c r="M605" s="2">
        <v>-6.3324749869195949E-3</v>
      </c>
      <c r="N605" s="2">
        <v>-6.2959284568148118E-3</v>
      </c>
      <c r="O605" s="2">
        <v>-1.9705071079332441E-2</v>
      </c>
      <c r="P605" s="2">
        <v>-1.3245226750020571E-2</v>
      </c>
      <c r="Q605" s="15">
        <f>AVERAGE(Tableau2[[#This Row],[AWB]:[IAM]])</f>
        <v>-1.2913742261483663E-2</v>
      </c>
      <c r="R605" s="15">
        <f>ABS(Tableau2[[#This Row],[Rm ]])</f>
        <v>1.2913742261483663E-2</v>
      </c>
      <c r="S605" s="15">
        <f>(Tableau2[[#This Row],[Rm ]]-Tableau2[[#Totals],[Rm ]])^2</f>
        <v>1.8783791651555843E-4</v>
      </c>
      <c r="T605" s="15">
        <f t="shared" si="18"/>
        <v>0.26141121236196641</v>
      </c>
      <c r="U605" s="15">
        <f t="shared" si="19"/>
        <v>0.22754485128041255</v>
      </c>
    </row>
    <row r="606" spans="1:21" x14ac:dyDescent="0.35">
      <c r="A606" s="10">
        <v>45730</v>
      </c>
      <c r="B606" s="2">
        <v>6.1823999083175599E-3</v>
      </c>
      <c r="C606" s="2">
        <v>4.5879734616614863E-3</v>
      </c>
      <c r="D606" s="2">
        <v>1.047129986729544E-2</v>
      </c>
      <c r="E606" s="2">
        <v>2.2989518224698781E-2</v>
      </c>
      <c r="F606" s="2">
        <v>9.8766234959120989E-3</v>
      </c>
      <c r="G606" s="2">
        <v>9.2532054804831763E-3</v>
      </c>
      <c r="H606" s="2">
        <v>-1.646392030175543E-3</v>
      </c>
      <c r="I606" s="2">
        <v>0</v>
      </c>
      <c r="J606" s="2">
        <v>-3.5720664784186262E-4</v>
      </c>
      <c r="K606" s="2">
        <v>-1.1049836186584941E-2</v>
      </c>
      <c r="L606" s="2">
        <v>4.2774278477789793E-3</v>
      </c>
      <c r="M606" s="2">
        <v>1.367003411323676E-2</v>
      </c>
      <c r="N606" s="2">
        <v>0</v>
      </c>
      <c r="O606" s="2">
        <v>1.970507107933234E-2</v>
      </c>
      <c r="P606" s="2">
        <v>0</v>
      </c>
      <c r="Q606" s="15">
        <f>AVERAGE(Tableau2[[#This Row],[AWB]:[IAM]])</f>
        <v>5.8640079076076176E-3</v>
      </c>
      <c r="R606" s="15">
        <f>ABS(Tableau2[[#This Row],[Rm ]])</f>
        <v>5.8640079076076176E-3</v>
      </c>
      <c r="S606" s="15">
        <f>(Tableau2[[#This Row],[Rm ]]-Tableau2[[#Totals],[Rm ]])^2</f>
        <v>2.5728763123500421E-5</v>
      </c>
      <c r="T606" s="15">
        <f t="shared" si="18"/>
        <v>9.6727119584945204E-2</v>
      </c>
      <c r="U606" s="15">
        <f t="shared" si="19"/>
        <v>0.26141121236196641</v>
      </c>
    </row>
    <row r="607" spans="1:21" x14ac:dyDescent="0.35">
      <c r="A607" s="10">
        <v>45734</v>
      </c>
      <c r="B607" s="2">
        <v>1.693480506333148E-3</v>
      </c>
      <c r="C607" s="2">
        <v>-6.7126201532553718E-3</v>
      </c>
      <c r="D607" s="2">
        <v>1.5504186535965249E-2</v>
      </c>
      <c r="E607" s="2">
        <v>-2.2989518224698718E-2</v>
      </c>
      <c r="F607" s="2">
        <v>0.1004343973217704</v>
      </c>
      <c r="G607" s="2">
        <v>6.9930354909706043E-3</v>
      </c>
      <c r="H607" s="2">
        <v>6.9330691869119677E-3</v>
      </c>
      <c r="I607" s="2">
        <v>-2.4420036555517438E-3</v>
      </c>
      <c r="J607" s="2">
        <v>1.454184163979833E-2</v>
      </c>
      <c r="K607" s="2">
        <v>2.1978906718775171E-2</v>
      </c>
      <c r="L607" s="2">
        <v>4.7628048989254657E-2</v>
      </c>
      <c r="M607" s="2">
        <v>-7.8637364602145762E-3</v>
      </c>
      <c r="N607" s="2">
        <v>0</v>
      </c>
      <c r="O607" s="2">
        <v>-1.474228173720343E-2</v>
      </c>
      <c r="P607" s="2">
        <v>0</v>
      </c>
      <c r="Q607" s="15">
        <f>AVERAGE(Tableau2[[#This Row],[AWB]:[IAM]])</f>
        <v>1.0730453743923712E-2</v>
      </c>
      <c r="R607" s="15">
        <f>ABS(Tableau2[[#This Row],[Rm ]])</f>
        <v>1.0730453743923712E-2</v>
      </c>
      <c r="S607" s="15">
        <f>(Tableau2[[#This Row],[Rm ]]-Tableau2[[#Totals],[Rm ]])^2</f>
        <v>9.8779718716954194E-5</v>
      </c>
      <c r="T607" s="15">
        <f t="shared" si="18"/>
        <v>0.28285513481089503</v>
      </c>
      <c r="U607" s="15">
        <f t="shared" si="19"/>
        <v>9.6727119584945204E-2</v>
      </c>
    </row>
    <row r="608" spans="1:21" x14ac:dyDescent="0.35">
      <c r="A608" s="10">
        <v>45735</v>
      </c>
      <c r="B608" s="2">
        <v>3.0300757768702079E-2</v>
      </c>
      <c r="C608" s="2">
        <v>3.1852796352868462E-3</v>
      </c>
      <c r="D608" s="2">
        <v>9.6964270813331074E-3</v>
      </c>
      <c r="E608" s="2">
        <v>2.0714204387563231E-2</v>
      </c>
      <c r="F608" s="2">
        <v>7.2217297064571973E-2</v>
      </c>
      <c r="G608" s="2">
        <v>-6.5545351550689796E-3</v>
      </c>
      <c r="H608" s="2">
        <v>1.6231194928582549E-2</v>
      </c>
      <c r="I608" s="2">
        <v>6.3368479170928362E-3</v>
      </c>
      <c r="J608" s="2">
        <v>0</v>
      </c>
      <c r="K608" s="2">
        <v>0</v>
      </c>
      <c r="L608" s="2">
        <v>4.4350645224066808E-2</v>
      </c>
      <c r="M608" s="2">
        <v>5.249355886143745E-3</v>
      </c>
      <c r="N608" s="2">
        <v>2.628122406269408E-3</v>
      </c>
      <c r="O608" s="2">
        <v>1.960847138837634E-2</v>
      </c>
      <c r="P608" s="2">
        <v>0</v>
      </c>
      <c r="Q608" s="15">
        <f>AVERAGE(Tableau2[[#This Row],[AWB]:[IAM]])</f>
        <v>1.4930937902194663E-2</v>
      </c>
      <c r="R608" s="15">
        <f>ABS(Tableau2[[#This Row],[Rm ]])</f>
        <v>1.4930937902194663E-2</v>
      </c>
      <c r="S608" s="15">
        <f>(Tableau2[[#This Row],[Rm ]]-Tableau2[[#Totals],[Rm ]])^2</f>
        <v>1.9991931849119238E-4</v>
      </c>
      <c r="T608" s="15">
        <f t="shared" si="18"/>
        <v>0.21373834465534167</v>
      </c>
      <c r="U608" s="15">
        <f t="shared" si="19"/>
        <v>0.28285513481089503</v>
      </c>
    </row>
    <row r="609" spans="1:21" x14ac:dyDescent="0.35">
      <c r="A609" s="10">
        <v>45736</v>
      </c>
      <c r="B609" s="2">
        <v>7.2857358934047909E-3</v>
      </c>
      <c r="C609" s="2">
        <v>-1.065729447398798E-2</v>
      </c>
      <c r="D609" s="2">
        <v>1.562138090295674E-2</v>
      </c>
      <c r="E609" s="2">
        <v>-2.0714204387563221E-2</v>
      </c>
      <c r="F609" s="2">
        <v>3.5340802136741442E-2</v>
      </c>
      <c r="G609" s="2">
        <v>8.2951796328530926E-3</v>
      </c>
      <c r="H609" s="2">
        <v>-1.4414664002184651E-2</v>
      </c>
      <c r="I609" s="2">
        <v>9.5177650482018608E-2</v>
      </c>
      <c r="J609" s="2">
        <v>1.398624197473987E-2</v>
      </c>
      <c r="K609" s="2">
        <v>7.3129232474699685E-2</v>
      </c>
      <c r="L609" s="2">
        <v>5.4125764138307587E-2</v>
      </c>
      <c r="M609" s="2">
        <v>-1.8494582636164419E-2</v>
      </c>
      <c r="N609" s="2">
        <v>7.8431774610258787E-3</v>
      </c>
      <c r="O609" s="2">
        <v>3.3415996919844017E-2</v>
      </c>
      <c r="P609" s="2">
        <v>0</v>
      </c>
      <c r="Q609" s="15">
        <f>AVERAGE(Tableau2[[#This Row],[AWB]:[IAM]])</f>
        <v>1.8662694434446101E-2</v>
      </c>
      <c r="R609" s="15">
        <f>ABS(Tableau2[[#This Row],[Rm ]])</f>
        <v>1.8662694434446101E-2</v>
      </c>
      <c r="S609" s="15">
        <f>(Tableau2[[#This Row],[Rm ]]-Tableau2[[#Totals],[Rm ]])^2</f>
        <v>3.1937404731136997E-4</v>
      </c>
      <c r="T609" s="15">
        <f t="shared" si="18"/>
        <v>0.37833343315327872</v>
      </c>
      <c r="U609" s="15">
        <f t="shared" si="19"/>
        <v>0.21373834465534167</v>
      </c>
    </row>
    <row r="610" spans="1:21" x14ac:dyDescent="0.35">
      <c r="A610" s="10">
        <v>45737</v>
      </c>
      <c r="B610" s="2">
        <v>1.762160134981941E-2</v>
      </c>
      <c r="C610" s="2">
        <v>7.1174677688639549E-3</v>
      </c>
      <c r="D610" s="2">
        <v>0</v>
      </c>
      <c r="E610" s="2">
        <v>1.1560822401076009E-2</v>
      </c>
      <c r="F610" s="2">
        <v>3.7023129609794037E-2</v>
      </c>
      <c r="G610" s="2">
        <v>-1.7406444777841E-3</v>
      </c>
      <c r="H610" s="2">
        <v>-1.816530926397894E-3</v>
      </c>
      <c r="I610" s="2">
        <v>1.490928735382888E-2</v>
      </c>
      <c r="J610" s="2">
        <v>-2.1053409197832381E-2</v>
      </c>
      <c r="K610" s="2">
        <v>1.025237646435145E-2</v>
      </c>
      <c r="L610" s="2">
        <v>5.1345980038625672E-2</v>
      </c>
      <c r="M610" s="2">
        <v>4.942488332752297E-2</v>
      </c>
      <c r="N610" s="2">
        <v>2.112936117451894E-2</v>
      </c>
      <c r="O610" s="2">
        <v>1.398624197473987E-2</v>
      </c>
      <c r="P610" s="2">
        <v>0</v>
      </c>
      <c r="Q610" s="15">
        <f>AVERAGE(Tableau2[[#This Row],[AWB]:[IAM]])</f>
        <v>1.3984037790741788E-2</v>
      </c>
      <c r="R610" s="15">
        <f>ABS(Tableau2[[#This Row],[Rm ]])</f>
        <v>1.3984037790741788E-2</v>
      </c>
      <c r="S610" s="15">
        <f>(Tableau2[[#This Row],[Rm ]]-Tableau2[[#Totals],[Rm ]])^2</f>
        <v>1.740389613675877E-4</v>
      </c>
      <c r="T610" s="15">
        <f t="shared" si="18"/>
        <v>0.20205267198262217</v>
      </c>
      <c r="U610" s="15">
        <f t="shared" si="19"/>
        <v>0.37833343315327872</v>
      </c>
    </row>
    <row r="611" spans="1:21" x14ac:dyDescent="0.35">
      <c r="A611" s="10">
        <v>45740</v>
      </c>
      <c r="B611" s="2">
        <v>2.586351058991937E-2</v>
      </c>
      <c r="C611" s="2">
        <v>1.023117056574901E-2</v>
      </c>
      <c r="D611" s="2">
        <v>4.9875415110389679E-3</v>
      </c>
      <c r="E611" s="2">
        <v>1.142869582362285E-2</v>
      </c>
      <c r="F611" s="2">
        <v>0</v>
      </c>
      <c r="G611" s="2">
        <v>-6.9930354909705254E-3</v>
      </c>
      <c r="H611" s="2">
        <v>0</v>
      </c>
      <c r="I611" s="2">
        <v>1.21134944343094E-2</v>
      </c>
      <c r="J611" s="2">
        <v>-1.4285957247476539E-2</v>
      </c>
      <c r="K611" s="2">
        <v>3.9220713153281329E-2</v>
      </c>
      <c r="L611" s="2">
        <v>4.9790664503015607E-2</v>
      </c>
      <c r="M611" s="2">
        <v>-3.093030069135861E-2</v>
      </c>
      <c r="N611" s="2">
        <v>5.0981392896222194E-4</v>
      </c>
      <c r="O611" s="2">
        <v>2.3145469377713451E-4</v>
      </c>
      <c r="P611" s="2">
        <v>3.9220713153281329E-2</v>
      </c>
      <c r="Q611" s="15">
        <f>AVERAGE(Tableau2[[#This Row],[AWB]:[IAM]])</f>
        <v>9.4258985951434383E-3</v>
      </c>
      <c r="R611" s="15">
        <f>ABS(Tableau2[[#This Row],[Rm ]])</f>
        <v>9.4258985951434383E-3</v>
      </c>
      <c r="S611" s="15">
        <f>(Tableau2[[#This Row],[Rm ]]-Tableau2[[#Totals],[Rm ]])^2</f>
        <v>7.4550160935404214E-5</v>
      </c>
      <c r="T611" s="15">
        <f t="shared" si="18"/>
        <v>0.21596685052675432</v>
      </c>
      <c r="U611" s="15">
        <f t="shared" si="19"/>
        <v>0.20205267198262217</v>
      </c>
    </row>
    <row r="612" spans="1:21" x14ac:dyDescent="0.35">
      <c r="A612" s="10">
        <v>45741</v>
      </c>
      <c r="B612" s="2">
        <v>-1.702351388832957E-2</v>
      </c>
      <c r="C612" s="2">
        <v>-1.200579392411749E-2</v>
      </c>
      <c r="D612" s="2">
        <v>1.481508578514068E-2</v>
      </c>
      <c r="E612" s="2">
        <v>-1.1773582876532551E-2</v>
      </c>
      <c r="F612" s="2">
        <v>-1.9222026646592189E-2</v>
      </c>
      <c r="G612" s="2">
        <v>-2.6350476380051142E-3</v>
      </c>
      <c r="H612" s="2">
        <v>1.712524952546338E-2</v>
      </c>
      <c r="I612" s="2">
        <v>-1.1025946746910639E-2</v>
      </c>
      <c r="J612" s="2">
        <v>7.168489478612497E-3</v>
      </c>
      <c r="K612" s="2">
        <v>0</v>
      </c>
      <c r="L612" s="2">
        <v>4.6520015634892907E-2</v>
      </c>
      <c r="M612" s="2">
        <v>-2.6212334798741931E-3</v>
      </c>
      <c r="N612" s="2">
        <v>-1.644435822637718E-2</v>
      </c>
      <c r="O612" s="2">
        <v>-1.374832327337076E-2</v>
      </c>
      <c r="P612" s="2">
        <v>-3.9220713153281267E-2</v>
      </c>
      <c r="Q612" s="15">
        <f>AVERAGE(Tableau2[[#This Row],[AWB]:[IAM]])</f>
        <v>-4.0061132952854328E-3</v>
      </c>
      <c r="R612" s="15">
        <f>ABS(Tableau2[[#This Row],[Rm ]])</f>
        <v>4.0061132952854328E-3</v>
      </c>
      <c r="S612" s="15">
        <f>(Tableau2[[#This Row],[Rm ]]-Tableau2[[#Totals],[Rm ]])^2</f>
        <v>2.3018581462567462E-5</v>
      </c>
      <c r="T612" s="15">
        <f t="shared" si="18"/>
        <v>0.18396374487899361</v>
      </c>
      <c r="U612" s="15">
        <f t="shared" si="19"/>
        <v>0.21596685052675432</v>
      </c>
    </row>
    <row r="613" spans="1:21" x14ac:dyDescent="0.35">
      <c r="A613" s="10">
        <v>45742</v>
      </c>
      <c r="B613" s="2">
        <v>-1.588333306269431E-3</v>
      </c>
      <c r="C613" s="2">
        <v>1.77462335836848E-3</v>
      </c>
      <c r="D613" s="2">
        <v>-2.73308937169713E-2</v>
      </c>
      <c r="E613" s="2">
        <v>-8.8930539320264766E-3</v>
      </c>
      <c r="F613" s="2">
        <v>1.9222026646592089E-2</v>
      </c>
      <c r="G613" s="2">
        <v>-1.238953901209292E-2</v>
      </c>
      <c r="H613" s="2">
        <v>-1.7125249525463369E-2</v>
      </c>
      <c r="I613" s="2">
        <v>1.2100406934087491E-2</v>
      </c>
      <c r="J613" s="2">
        <v>-1.438873745209956E-2</v>
      </c>
      <c r="K613" s="2">
        <v>0</v>
      </c>
      <c r="L613" s="2">
        <v>-2.2989518224698718E-2</v>
      </c>
      <c r="M613" s="2">
        <v>2.097536164946331E-3</v>
      </c>
      <c r="N613" s="2">
        <v>-5.1948168771040228E-3</v>
      </c>
      <c r="O613" s="2">
        <v>6.5481992635003329E-3</v>
      </c>
      <c r="P613" s="2">
        <v>0</v>
      </c>
      <c r="Q613" s="15">
        <f>AVERAGE(Tableau2[[#This Row],[AWB]:[IAM]])</f>
        <v>-4.5438233119487375E-3</v>
      </c>
      <c r="R613" s="15">
        <f>ABS(Tableau2[[#This Row],[Rm ]])</f>
        <v>4.5438233119487375E-3</v>
      </c>
      <c r="S613" s="15">
        <f>(Tableau2[[#This Row],[Rm ]]-Tableau2[[#Totals],[Rm ]])^2</f>
        <v>2.8467329759560289E-5</v>
      </c>
      <c r="T613" s="15">
        <f t="shared" si="18"/>
        <v>0.14876918935581157</v>
      </c>
      <c r="U613" s="15">
        <f t="shared" si="19"/>
        <v>0.18396374487899361</v>
      </c>
    </row>
    <row r="614" spans="1:21" x14ac:dyDescent="0.35">
      <c r="A614" s="10">
        <v>45744</v>
      </c>
      <c r="B614" s="2">
        <v>1.120862431591807E-2</v>
      </c>
      <c r="C614" s="2">
        <v>4.7758116775146828E-3</v>
      </c>
      <c r="D614" s="2">
        <v>-1.3184775176749959E-2</v>
      </c>
      <c r="E614" s="2">
        <v>-4.9950930405394313E-2</v>
      </c>
      <c r="F614" s="2">
        <v>-3.5228691883743828E-2</v>
      </c>
      <c r="G614" s="2">
        <v>2.375826661885266E-2</v>
      </c>
      <c r="H614" s="2">
        <v>9.0498355199178562E-3</v>
      </c>
      <c r="I614" s="2">
        <v>-2.1272779605644221E-2</v>
      </c>
      <c r="J614" s="2">
        <v>7.2202479734870973E-3</v>
      </c>
      <c r="K614" s="2">
        <v>-1.9418085857101631E-2</v>
      </c>
      <c r="L614" s="2">
        <v>7.1779682394130739E-2</v>
      </c>
      <c r="M614" s="2">
        <v>1.6108428331626269E-2</v>
      </c>
      <c r="N614" s="2">
        <v>-8.8935977256777935E-3</v>
      </c>
      <c r="O614" s="2">
        <v>5.2225260904214282E-2</v>
      </c>
      <c r="P614" s="2">
        <v>5.1959738930711173E-2</v>
      </c>
      <c r="Q614" s="15">
        <f>AVERAGE(Tableau2[[#This Row],[AWB]:[IAM]])</f>
        <v>6.6758024008040729E-3</v>
      </c>
      <c r="R614" s="15">
        <f>ABS(Tableau2[[#This Row],[Rm ]])</f>
        <v>6.6758024008040729E-3</v>
      </c>
      <c r="S614" s="15">
        <f>(Tableau2[[#This Row],[Rm ]]-Tableau2[[#Totals],[Rm ]])^2</f>
        <v>3.4623189595205384E-5</v>
      </c>
      <c r="T614" s="15">
        <f t="shared" si="18"/>
        <v>0.3375423241369378</v>
      </c>
      <c r="U614" s="15">
        <f t="shared" si="19"/>
        <v>0.14876918935581157</v>
      </c>
    </row>
    <row r="615" spans="1:21" x14ac:dyDescent="0.35">
      <c r="A615" s="10">
        <v>45749</v>
      </c>
      <c r="B615" s="2">
        <v>-1.4102982342282491E-2</v>
      </c>
      <c r="C615" s="2">
        <v>-1.1536200349565441E-2</v>
      </c>
      <c r="D615" s="2">
        <v>2.5202946870393709E-2</v>
      </c>
      <c r="E615" s="2">
        <v>4.0626853530271102E-2</v>
      </c>
      <c r="F615" s="2">
        <v>2.9442754816699911E-2</v>
      </c>
      <c r="G615" s="2">
        <v>0</v>
      </c>
      <c r="H615" s="2">
        <v>-1.8019641457895039E-4</v>
      </c>
      <c r="I615" s="2">
        <v>-3.1876096767569181E-2</v>
      </c>
      <c r="J615" s="2">
        <v>-7.2202479734870201E-3</v>
      </c>
      <c r="K615" s="2">
        <v>0</v>
      </c>
      <c r="L615" s="2">
        <v>-8.1125544812368458E-2</v>
      </c>
      <c r="M615" s="2">
        <v>-4.1322372849104949E-3</v>
      </c>
      <c r="N615" s="2">
        <v>8.8935977256776409E-3</v>
      </c>
      <c r="O615" s="2">
        <v>4.4150182091166933E-3</v>
      </c>
      <c r="P615" s="2">
        <v>-5.1959738930711097E-2</v>
      </c>
      <c r="Q615" s="15">
        <f>AVERAGE(Tableau2[[#This Row],[AWB]:[IAM]])</f>
        <v>-6.2368049148876043E-3</v>
      </c>
      <c r="R615" s="15">
        <f>ABS(Tableau2[[#This Row],[Rm ]])</f>
        <v>6.2368049148876043E-3</v>
      </c>
      <c r="S615" s="15">
        <f>(Tableau2[[#This Row],[Rm ]]-Tableau2[[#Totals],[Rm ]])^2</f>
        <v>4.9399250016459886E-5</v>
      </c>
      <c r="T615" s="15">
        <f t="shared" si="18"/>
        <v>0.27812522495854747</v>
      </c>
      <c r="U615" s="15">
        <f t="shared" si="19"/>
        <v>0.3375423241369378</v>
      </c>
    </row>
    <row r="616" spans="1:21" x14ac:dyDescent="0.35">
      <c r="A616" s="10">
        <v>45750</v>
      </c>
      <c r="B616" s="2">
        <v>-1.459879942115264E-2</v>
      </c>
      <c r="C616" s="2">
        <v>-3.5765417237863112E-3</v>
      </c>
      <c r="D616" s="2">
        <v>-2.9807713257142009E-2</v>
      </c>
      <c r="E616" s="2">
        <v>-5.0184578536372343E-2</v>
      </c>
      <c r="F616" s="2">
        <v>-1.3632148790057639E-2</v>
      </c>
      <c r="G616" s="2">
        <v>-2.6433257068155479E-2</v>
      </c>
      <c r="H616" s="2">
        <v>-4.5910910785688062E-2</v>
      </c>
      <c r="I616" s="2">
        <v>-2.8721101115997679E-2</v>
      </c>
      <c r="J616" s="2">
        <v>-2.197890671877523E-2</v>
      </c>
      <c r="K616" s="2">
        <v>-3.959725462435925E-2</v>
      </c>
      <c r="L616" s="2">
        <v>-3.8282186571016917E-2</v>
      </c>
      <c r="M616" s="2">
        <v>-1.6701849617931471E-2</v>
      </c>
      <c r="N616" s="2">
        <v>-1.5748356968139171E-2</v>
      </c>
      <c r="O616" s="2">
        <v>-1.9573578639958209E-2</v>
      </c>
      <c r="P616" s="2">
        <v>8.3114906710506586E-2</v>
      </c>
      <c r="Q616" s="15">
        <f>AVERAGE(Tableau2[[#This Row],[AWB]:[IAM]])</f>
        <v>-1.877548514186839E-2</v>
      </c>
      <c r="R616" s="15">
        <f>ABS(Tableau2[[#This Row],[Rm ]])</f>
        <v>1.877548514186839E-2</v>
      </c>
      <c r="S616" s="15">
        <f>(Tableau2[[#This Row],[Rm ]]-Tableau2[[#Totals],[Rm ]])^2</f>
        <v>3.8287297678721896E-4</v>
      </c>
      <c r="T616" s="15">
        <f t="shared" si="18"/>
        <v>0.16792254301908274</v>
      </c>
      <c r="U616" s="15">
        <f t="shared" si="19"/>
        <v>0.27812522495854747</v>
      </c>
    </row>
    <row r="617" spans="1:21" x14ac:dyDescent="0.35">
      <c r="A617" s="10">
        <v>45751</v>
      </c>
      <c r="B617" s="2">
        <v>-7.3801072976225337E-3</v>
      </c>
      <c r="C617" s="2">
        <v>-1.4435472611747661E-2</v>
      </c>
      <c r="D617" s="2">
        <v>0</v>
      </c>
      <c r="E617" s="2">
        <v>6.1826153551858151E-2</v>
      </c>
      <c r="F617" s="2">
        <v>-9.8522964430115944E-3</v>
      </c>
      <c r="G617" s="2">
        <v>-1.3401833589559791E-3</v>
      </c>
      <c r="H617" s="2">
        <v>5.6444176196771313E-3</v>
      </c>
      <c r="I617" s="2">
        <v>2.3282897595911681E-3</v>
      </c>
      <c r="J617" s="2">
        <v>-6.688988150796652E-3</v>
      </c>
      <c r="K617" s="2">
        <v>-2.3112873683096911E-2</v>
      </c>
      <c r="L617" s="2">
        <v>2.4573628712546581E-2</v>
      </c>
      <c r="M617" s="2">
        <v>-5.2770571008437812E-3</v>
      </c>
      <c r="N617" s="2">
        <v>4.7506027585977988E-3</v>
      </c>
      <c r="O617" s="2">
        <v>-2.0422765633861049E-2</v>
      </c>
      <c r="P617" s="2">
        <v>-8.3114906710506684E-2</v>
      </c>
      <c r="Q617" s="15">
        <f>AVERAGE(Tableau2[[#This Row],[AWB]:[IAM]])</f>
        <v>-4.8334372392114678E-3</v>
      </c>
      <c r="R617" s="15">
        <f>ABS(Tableau2[[#This Row],[Rm ]])</f>
        <v>4.8334372392114678E-3</v>
      </c>
      <c r="S617" s="15">
        <f>(Tableau2[[#This Row],[Rm ]]-Tableau2[[#Totals],[Rm ]])^2</f>
        <v>3.1641663693069989E-5</v>
      </c>
      <c r="T617" s="15">
        <f t="shared" si="18"/>
        <v>0.19017123459571469</v>
      </c>
      <c r="U617" s="15">
        <f t="shared" si="19"/>
        <v>0.16792254301908274</v>
      </c>
    </row>
    <row r="618" spans="1:21" x14ac:dyDescent="0.35">
      <c r="A618" s="10">
        <v>45754</v>
      </c>
      <c r="B618" s="2">
        <v>-4.3139492660617708E-2</v>
      </c>
      <c r="C618" s="2">
        <v>-1.1332601634531619E-2</v>
      </c>
      <c r="D618" s="2">
        <v>-2.5975486403260681E-2</v>
      </c>
      <c r="E618" s="2">
        <v>-7.6961041136128325E-2</v>
      </c>
      <c r="F618" s="2">
        <v>-6.1033121082484237E-2</v>
      </c>
      <c r="G618" s="2">
        <v>-0.1050128882116219</v>
      </c>
      <c r="H618" s="2">
        <v>-0.10525628927803519</v>
      </c>
      <c r="I618" s="2">
        <v>-8.9975596818346895E-2</v>
      </c>
      <c r="J618" s="2">
        <v>-8.4776739188213407E-2</v>
      </c>
      <c r="K618" s="2">
        <v>-4.0474107927774568E-2</v>
      </c>
      <c r="L618" s="2">
        <v>-6.9468948620437468E-2</v>
      </c>
      <c r="M618" s="2">
        <v>-0.1000834585569825</v>
      </c>
      <c r="N618" s="2">
        <v>-0.1048340613155804</v>
      </c>
      <c r="O618" s="2">
        <v>-5.2234879942214249E-2</v>
      </c>
      <c r="P618" s="2">
        <v>0</v>
      </c>
      <c r="Q618" s="15">
        <f>AVERAGE(Tableau2[[#This Row],[AWB]:[IAM]])</f>
        <v>-6.4703914185081951E-2</v>
      </c>
      <c r="R618" s="15">
        <f>ABS(Tableau2[[#This Row],[Rm ]])</f>
        <v>6.4703914185081951E-2</v>
      </c>
      <c r="S618" s="15">
        <f>(Tableau2[[#This Row],[Rm ]]-Tableau2[[#Totals],[Rm ]])^2</f>
        <v>4.2896695944448582E-3</v>
      </c>
      <c r="T618" s="15">
        <f t="shared" si="18"/>
        <v>0.37708509938330459</v>
      </c>
      <c r="U618" s="15">
        <f t="shared" si="19"/>
        <v>0.19017123459571469</v>
      </c>
    </row>
    <row r="619" spans="1:21" x14ac:dyDescent="0.35">
      <c r="A619" s="10">
        <v>45755</v>
      </c>
      <c r="B619" s="2">
        <v>1.8998579707862059E-2</v>
      </c>
      <c r="C619" s="2">
        <v>3.6697288889624021E-3</v>
      </c>
      <c r="D619" s="2">
        <v>-1.5915455305899572E-2</v>
      </c>
      <c r="E619" s="2">
        <v>3.4401426717332317E-2</v>
      </c>
      <c r="F619" s="2">
        <v>1.649134545969699E-2</v>
      </c>
      <c r="G619" s="2">
        <v>1.0864304391905661E-2</v>
      </c>
      <c r="H619" s="2">
        <v>5.2096901412741498E-4</v>
      </c>
      <c r="I619" s="2">
        <v>1.515180502060225E-2</v>
      </c>
      <c r="J619" s="2">
        <v>5.2955872577134383E-2</v>
      </c>
      <c r="K619" s="2">
        <v>-4.3573053689557007E-3</v>
      </c>
      <c r="L619" s="2">
        <v>1.46875266294093E-2</v>
      </c>
      <c r="M619" s="2">
        <v>6.6729102517389713E-2</v>
      </c>
      <c r="N619" s="2">
        <v>3.4486176071169397E-2</v>
      </c>
      <c r="O619" s="2">
        <v>4.8297513616944932E-4</v>
      </c>
      <c r="P619" s="2">
        <v>0</v>
      </c>
      <c r="Q619" s="15">
        <f>AVERAGE(Tableau2[[#This Row],[AWB]:[IAM]])</f>
        <v>1.6611136763793735E-2</v>
      </c>
      <c r="R619" s="15">
        <f>ABS(Tableau2[[#This Row],[Rm ]])</f>
        <v>1.6611136763793735E-2</v>
      </c>
      <c r="S619" s="15">
        <f>(Tableau2[[#This Row],[Rm ]]-Tableau2[[#Totals],[Rm ]])^2</f>
        <v>2.502560004811651E-4</v>
      </c>
      <c r="T619" s="15">
        <f t="shared" si="18"/>
        <v>0.23352721989763084</v>
      </c>
      <c r="U619" s="15">
        <f t="shared" si="19"/>
        <v>0.37708509938330459</v>
      </c>
    </row>
    <row r="620" spans="1:21" x14ac:dyDescent="0.35">
      <c r="A620" s="10">
        <v>45756</v>
      </c>
      <c r="B620" s="2">
        <v>-3.4273190896794398E-2</v>
      </c>
      <c r="C620" s="2">
        <v>-2.0165330427646028E-2</v>
      </c>
      <c r="D620" s="2">
        <v>-1.6172859245600961E-2</v>
      </c>
      <c r="E620" s="2">
        <v>-3.4401426717332442E-2</v>
      </c>
      <c r="F620" s="2">
        <v>-3.5831019526926841E-2</v>
      </c>
      <c r="G620" s="2">
        <v>-3.8042625445850443E-2</v>
      </c>
      <c r="H620" s="2">
        <v>-5.568890586058866E-2</v>
      </c>
      <c r="I620" s="2">
        <v>-5.6451012625552008E-2</v>
      </c>
      <c r="J620" s="2">
        <v>-2.6522615508978969E-2</v>
      </c>
      <c r="K620" s="2">
        <v>-4.0094457201878091E-2</v>
      </c>
      <c r="L620" s="2">
        <v>-7.2446360781601674E-2</v>
      </c>
      <c r="M620" s="2">
        <v>-1.5435808129839249E-2</v>
      </c>
      <c r="N620" s="2">
        <v>2.2347298691996621E-2</v>
      </c>
      <c r="O620" s="2">
        <v>3.3743102635886502E-3</v>
      </c>
      <c r="P620" s="2">
        <v>0</v>
      </c>
      <c r="Q620" s="15">
        <f>AVERAGE(Tableau2[[#This Row],[AWB]:[IAM]])</f>
        <v>-2.7986933560866963E-2</v>
      </c>
      <c r="R620" s="15">
        <f>ABS(Tableau2[[#This Row],[Rm ]])</f>
        <v>2.7986933560866963E-2</v>
      </c>
      <c r="S620" s="15">
        <f>(Tableau2[[#This Row],[Rm ]]-Tableau2[[#Totals],[Rm ]])^2</f>
        <v>8.2820716463817426E-4</v>
      </c>
      <c r="T620" s="15">
        <f t="shared" si="18"/>
        <v>0.26054592314903513</v>
      </c>
      <c r="U620" s="15">
        <f t="shared" si="19"/>
        <v>0.23352721989763084</v>
      </c>
    </row>
    <row r="621" spans="1:21" x14ac:dyDescent="0.35">
      <c r="A621" s="10">
        <v>45757</v>
      </c>
      <c r="B621" s="2">
        <v>5.1695893307379193E-3</v>
      </c>
      <c r="C621" s="2">
        <v>9.1154942410610479E-3</v>
      </c>
      <c r="D621" s="2">
        <v>-7.9137320558723856E-2</v>
      </c>
      <c r="E621" s="2">
        <v>2.4692612590371411E-2</v>
      </c>
      <c r="F621" s="2">
        <v>5.021975697902635E-2</v>
      </c>
      <c r="G621" s="2">
        <v>8.7393956857842653E-2</v>
      </c>
      <c r="H621" s="2">
        <v>3.5592485411426643E-2</v>
      </c>
      <c r="I621" s="2">
        <v>2.7205444529090239E-2</v>
      </c>
      <c r="J621" s="2">
        <v>1.1787955752042171E-2</v>
      </c>
      <c r="K621" s="2">
        <v>3.3522692038643637E-2</v>
      </c>
      <c r="L621" s="2">
        <v>6.2340160566755037E-2</v>
      </c>
      <c r="M621" s="2">
        <v>2.739897418811435E-2</v>
      </c>
      <c r="N621" s="2">
        <v>-3.3711057342311723E-2</v>
      </c>
      <c r="O621" s="2">
        <v>2.9399936356724471E-2</v>
      </c>
      <c r="P621" s="2">
        <v>0</v>
      </c>
      <c r="Q621" s="15">
        <f>AVERAGE(Tableau2[[#This Row],[AWB]:[IAM]])</f>
        <v>1.9399378729386685E-2</v>
      </c>
      <c r="R621" s="15">
        <f>ABS(Tableau2[[#This Row],[Rm ]])</f>
        <v>1.9399378729386685E-2</v>
      </c>
      <c r="S621" s="15">
        <f>(Tableau2[[#This Row],[Rm ]]-Tableau2[[#Totals],[Rm ]])^2</f>
        <v>3.4624737910291876E-4</v>
      </c>
      <c r="T621" s="15">
        <f t="shared" si="18"/>
        <v>0.38823713509293495</v>
      </c>
      <c r="U621" s="15">
        <f t="shared" si="19"/>
        <v>0.26054592314903513</v>
      </c>
    </row>
    <row r="622" spans="1:21" x14ac:dyDescent="0.35">
      <c r="A622" s="10">
        <v>45758</v>
      </c>
      <c r="B622" s="2">
        <v>-1.558963940570765E-2</v>
      </c>
      <c r="C622" s="2">
        <v>-7.4349784875180902E-3</v>
      </c>
      <c r="D622" s="2">
        <v>3.4685557987890109E-2</v>
      </c>
      <c r="E622" s="2">
        <v>-4.7449599712987761E-2</v>
      </c>
      <c r="F622" s="2">
        <v>0</v>
      </c>
      <c r="G622" s="2">
        <v>-9.0459876479677626E-2</v>
      </c>
      <c r="H622" s="2">
        <v>-2.6820499338589699E-2</v>
      </c>
      <c r="I622" s="2">
        <v>-2.455713789651448E-2</v>
      </c>
      <c r="J622" s="2">
        <v>-3.9845908547199667E-2</v>
      </c>
      <c r="K622" s="2">
        <v>-0.1051163452256524</v>
      </c>
      <c r="L622" s="2">
        <v>-7.5398017484211738E-2</v>
      </c>
      <c r="M622" s="2">
        <v>-6.7064230580545878E-2</v>
      </c>
      <c r="N622" s="2">
        <v>-1.7291497110060991E-2</v>
      </c>
      <c r="O622" s="2">
        <v>-2.699666675492516E-2</v>
      </c>
      <c r="P622" s="2">
        <v>0</v>
      </c>
      <c r="Q622" s="15">
        <f>AVERAGE(Tableau2[[#This Row],[AWB]:[IAM]])</f>
        <v>-3.3955922602380069E-2</v>
      </c>
      <c r="R622" s="15">
        <f>ABS(Tableau2[[#This Row],[Rm ]])</f>
        <v>3.3955922602380069E-2</v>
      </c>
      <c r="S622" s="15">
        <f>(Tableau2[[#This Row],[Rm ]]-Tableau2[[#Totals],[Rm ]])^2</f>
        <v>1.2073941553701045E-3</v>
      </c>
      <c r="T622" s="15">
        <f t="shared" si="18"/>
        <v>0.41150469040310128</v>
      </c>
      <c r="U622" s="15">
        <f t="shared" si="19"/>
        <v>0.38823713509293495</v>
      </c>
    </row>
    <row r="623" spans="1:21" x14ac:dyDescent="0.35">
      <c r="A623" s="10">
        <v>45761</v>
      </c>
      <c r="B623" s="2">
        <v>2.8012159404264929E-2</v>
      </c>
      <c r="C623" s="2">
        <v>7.4349784875179913E-3</v>
      </c>
      <c r="D623" s="2">
        <v>4.987183004017294E-2</v>
      </c>
      <c r="E623" s="2">
        <v>6.3778961645537549E-2</v>
      </c>
      <c r="F623" s="2">
        <v>1.035437126270509E-2</v>
      </c>
      <c r="G623" s="2">
        <v>7.2058791108786199E-2</v>
      </c>
      <c r="H623" s="2">
        <v>1.6242912602936869E-2</v>
      </c>
      <c r="I623" s="2">
        <v>3.7377826325575972E-2</v>
      </c>
      <c r="J623" s="2">
        <v>5.3039735949980682E-2</v>
      </c>
      <c r="K623" s="2">
        <v>9.5177003323094575E-2</v>
      </c>
      <c r="L623" s="2">
        <v>6.7750771447814218E-2</v>
      </c>
      <c r="M623" s="2">
        <v>6.6523543895300158E-2</v>
      </c>
      <c r="N623" s="2">
        <v>4.5462374076757413E-2</v>
      </c>
      <c r="O623" s="2">
        <v>3.1426094675364127E-2</v>
      </c>
      <c r="P623" s="2">
        <v>3.9220713153281329E-2</v>
      </c>
      <c r="Q623" s="15">
        <f>AVERAGE(Tableau2[[#This Row],[AWB]:[IAM]])</f>
        <v>4.5582137826606008E-2</v>
      </c>
      <c r="R623" s="15">
        <f>ABS(Tableau2[[#This Row],[Rm ]])</f>
        <v>4.5582137826606008E-2</v>
      </c>
      <c r="S623" s="15">
        <f>(Tableau2[[#This Row],[Rm ]]-Tableau2[[#Totals],[Rm ]])^2</f>
        <v>2.0061873439301569E-3</v>
      </c>
      <c r="T623" s="15">
        <f t="shared" si="18"/>
        <v>0.29231401555378561</v>
      </c>
      <c r="U623" s="15">
        <f t="shared" si="19"/>
        <v>0.41150469040310128</v>
      </c>
    </row>
    <row r="624" spans="1:21" x14ac:dyDescent="0.35">
      <c r="A624" s="10">
        <v>45762</v>
      </c>
      <c r="B624" s="2">
        <v>2.439145312415927E-2</v>
      </c>
      <c r="C624" s="2">
        <v>0</v>
      </c>
      <c r="D624" s="2">
        <v>1.182173896516673E-2</v>
      </c>
      <c r="E624" s="2">
        <v>-1.4501764713525919E-2</v>
      </c>
      <c r="F624" s="2">
        <v>2.8866341890576169E-2</v>
      </c>
      <c r="G624" s="2">
        <v>5.1055170800284169E-2</v>
      </c>
      <c r="H624" s="2">
        <v>9.1298629001249604E-2</v>
      </c>
      <c r="I624" s="2">
        <v>6.3901375528250093E-2</v>
      </c>
      <c r="J624" s="2">
        <v>-5.4116869607260211E-3</v>
      </c>
      <c r="K624" s="2">
        <v>8.4047314056279604E-2</v>
      </c>
      <c r="L624" s="2">
        <v>7.2058791108786407E-2</v>
      </c>
      <c r="M624" s="2">
        <v>6.4690252551259471E-3</v>
      </c>
      <c r="N624" s="2">
        <v>4.8790164169432042E-2</v>
      </c>
      <c r="O624" s="2">
        <v>1.408961984679849E-2</v>
      </c>
      <c r="P624" s="2">
        <v>3.7740327982847113E-2</v>
      </c>
      <c r="Q624" s="15">
        <f>AVERAGE(Tableau2[[#This Row],[AWB]:[IAM]])</f>
        <v>3.4307766670313579E-2</v>
      </c>
      <c r="R624" s="15">
        <f>ABS(Tableau2[[#This Row],[Rm ]])</f>
        <v>3.4307766670313579E-2</v>
      </c>
      <c r="S624" s="15">
        <f>(Tableau2[[#This Row],[Rm ]]-Tableau2[[#Totals],[Rm ]])^2</f>
        <v>1.1233297355777367E-3</v>
      </c>
      <c r="T624" s="15">
        <f t="shared" si="18"/>
        <v>0.41427108801816998</v>
      </c>
      <c r="U624" s="15">
        <f t="shared" si="19"/>
        <v>0.29231401555378561</v>
      </c>
    </row>
    <row r="625" spans="1:21" x14ac:dyDescent="0.35">
      <c r="A625" s="10">
        <v>45763</v>
      </c>
      <c r="B625" s="2">
        <v>1.5048911794203069E-3</v>
      </c>
      <c r="C625" s="2">
        <v>0</v>
      </c>
      <c r="D625" s="2">
        <v>-1.1821738965166809E-2</v>
      </c>
      <c r="E625" s="2">
        <v>-1.705653434957268E-3</v>
      </c>
      <c r="F625" s="2">
        <v>-3.1446566794717189E-3</v>
      </c>
      <c r="G625" s="2">
        <v>6.7644000885420637E-3</v>
      </c>
      <c r="H625" s="2">
        <v>-1.9627091678487058E-3</v>
      </c>
      <c r="I625" s="2">
        <v>-5.752652489449922E-3</v>
      </c>
      <c r="J625" s="2">
        <v>5.7971176843259146E-3</v>
      </c>
      <c r="K625" s="2">
        <v>-2.041024601431772E-4</v>
      </c>
      <c r="L625" s="2">
        <v>4.1964199099032207E-2</v>
      </c>
      <c r="M625" s="2">
        <v>1.440409006319535E-2</v>
      </c>
      <c r="N625" s="2">
        <v>-5.3050522296932291E-3</v>
      </c>
      <c r="O625" s="2">
        <v>4.5766670274118926E-3</v>
      </c>
      <c r="P625" s="2">
        <v>3.6367644170875013E-2</v>
      </c>
      <c r="Q625" s="15">
        <f>AVERAGE(Tableau2[[#This Row],[AWB]:[IAM]])</f>
        <v>5.4321629257381284E-3</v>
      </c>
      <c r="R625" s="15">
        <f>ABS(Tableau2[[#This Row],[Rm ]])</f>
        <v>5.4321629257381284E-3</v>
      </c>
      <c r="S625" s="15">
        <f>(Tableau2[[#This Row],[Rm ]]-Tableau2[[#Totals],[Rm ]])^2</f>
        <v>2.1534312989290373E-5</v>
      </c>
      <c r="T625" s="15">
        <f t="shared" si="18"/>
        <v>0.12740015712576541</v>
      </c>
      <c r="U625" s="15">
        <f t="shared" si="19"/>
        <v>0.41427108801816998</v>
      </c>
    </row>
    <row r="626" spans="1:21" x14ac:dyDescent="0.35">
      <c r="A626" s="10">
        <v>45764</v>
      </c>
      <c r="B626" s="2">
        <v>-1.504891179420277E-3</v>
      </c>
      <c r="C626" s="2">
        <v>0</v>
      </c>
      <c r="D626" s="2">
        <v>2.139118998131756E-2</v>
      </c>
      <c r="E626" s="2">
        <v>1.1999416748278041E-2</v>
      </c>
      <c r="F626" s="2">
        <v>-1.2877840176491649E-2</v>
      </c>
      <c r="G626" s="2">
        <v>-1.2209059636773821E-2</v>
      </c>
      <c r="H626" s="2">
        <v>-3.7397937495492958E-3</v>
      </c>
      <c r="I626" s="2">
        <v>-9.4192219164916397E-3</v>
      </c>
      <c r="J626" s="2">
        <v>2.285813807605018E-2</v>
      </c>
      <c r="K626" s="2">
        <v>-2.0831938238934901E-2</v>
      </c>
      <c r="L626" s="2">
        <v>4.3776529689142092E-2</v>
      </c>
      <c r="M626" s="2">
        <v>1.0587613482421179E-3</v>
      </c>
      <c r="N626" s="2">
        <v>-7.4746744167057374E-3</v>
      </c>
      <c r="O626" s="2">
        <v>-8.0229656709993585E-3</v>
      </c>
      <c r="P626" s="2">
        <v>2.9327615094519921E-2</v>
      </c>
      <c r="Q626" s="15">
        <f>AVERAGE(Tableau2[[#This Row],[AWB]:[IAM]])</f>
        <v>3.6220843968122153E-3</v>
      </c>
      <c r="R626" s="15">
        <f>ABS(Tableau2[[#This Row],[Rm ]])</f>
        <v>3.6220843968122153E-3</v>
      </c>
      <c r="S626" s="15">
        <f>(Tableau2[[#This Row],[Rm ]]-Tableau2[[#Totals],[Rm ]])^2</f>
        <v>8.0113300704640045E-6</v>
      </c>
      <c r="T626" s="15">
        <f t="shared" si="18"/>
        <v>0.19849310655929961</v>
      </c>
      <c r="U626" s="15">
        <f t="shared" si="19"/>
        <v>0.12740015712576541</v>
      </c>
    </row>
    <row r="627" spans="1:21" x14ac:dyDescent="0.35">
      <c r="A627" s="10">
        <v>45769</v>
      </c>
      <c r="B627" s="2">
        <v>1.5048911794203069E-3</v>
      </c>
      <c r="C627" s="2">
        <v>-5.5710450494553601E-3</v>
      </c>
      <c r="D627" s="2">
        <v>3.125254350410453E-2</v>
      </c>
      <c r="E627" s="2">
        <v>-3.0165935394256792E-3</v>
      </c>
      <c r="F627" s="2">
        <v>1.621870994400575E-2</v>
      </c>
      <c r="G627" s="2">
        <v>2.272211838776498E-3</v>
      </c>
      <c r="H627" s="2">
        <v>-8.515746084881072E-3</v>
      </c>
      <c r="I627" s="2">
        <v>-7.9779861043031239E-2</v>
      </c>
      <c r="J627" s="2">
        <v>-2.093320966646579E-2</v>
      </c>
      <c r="K627" s="2">
        <v>-9.8440422127185935E-3</v>
      </c>
      <c r="L627" s="2">
        <v>-1.6747857301222649E-2</v>
      </c>
      <c r="M627" s="2">
        <v>-1.331577597577218E-2</v>
      </c>
      <c r="N627" s="2">
        <v>2.141328441343078E-3</v>
      </c>
      <c r="O627" s="2">
        <v>3.5940132120033823E-2</v>
      </c>
      <c r="P627" s="2">
        <v>9.0569586254198975E-2</v>
      </c>
      <c r="Q627" s="15">
        <f>AVERAGE(Tableau2[[#This Row],[AWB]:[IAM]])</f>
        <v>1.4783514939273601E-3</v>
      </c>
      <c r="R627" s="15">
        <f>ABS(Tableau2[[#This Row],[Rm ]])</f>
        <v>1.4783514939273601E-3</v>
      </c>
      <c r="S627" s="15">
        <f>(Tableau2[[#This Row],[Rm ]]-Tableau2[[#Totals],[Rm ]])^2</f>
        <v>4.7155195349645729E-7</v>
      </c>
      <c r="T627" s="15">
        <f t="shared" si="18"/>
        <v>0.25595006653919605</v>
      </c>
      <c r="U627" s="15">
        <f t="shared" si="19"/>
        <v>0.19849310655929961</v>
      </c>
    </row>
    <row r="628" spans="1:21" x14ac:dyDescent="0.35">
      <c r="A628" s="10">
        <v>45770</v>
      </c>
      <c r="B628" s="2">
        <v>-7.5472056353829663E-3</v>
      </c>
      <c r="C628" s="2">
        <v>-1.8639334380627531E-3</v>
      </c>
      <c r="D628" s="2">
        <v>1.020417017424167E-2</v>
      </c>
      <c r="E628" s="2">
        <v>-2.137485958473356E-2</v>
      </c>
      <c r="F628" s="2">
        <v>-5.8875480063943456E-4</v>
      </c>
      <c r="G628" s="2">
        <v>1.84399198402437E-2</v>
      </c>
      <c r="H628" s="2">
        <v>-1.7859409169513271E-2</v>
      </c>
      <c r="I628" s="2">
        <v>2.3377688009062508E-2</v>
      </c>
      <c r="J628" s="2">
        <v>1.1531809849920911E-3</v>
      </c>
      <c r="K628" s="2">
        <v>2.965484281569556E-2</v>
      </c>
      <c r="L628" s="2">
        <v>-4.4454323915015811E-4</v>
      </c>
      <c r="M628" s="2">
        <v>0</v>
      </c>
      <c r="N628" s="2">
        <v>-7.5147965024863874E-3</v>
      </c>
      <c r="O628" s="2">
        <v>4.7478300076590783E-2</v>
      </c>
      <c r="P628" s="2">
        <v>4.4405849942557349E-2</v>
      </c>
      <c r="Q628" s="15">
        <f>AVERAGE(Tableau2[[#This Row],[AWB]:[IAM]])</f>
        <v>7.8346966315610087E-3</v>
      </c>
      <c r="R628" s="15">
        <f>ABS(Tableau2[[#This Row],[Rm ]])</f>
        <v>7.8346966315610087E-3</v>
      </c>
      <c r="S628" s="15">
        <f>(Tableau2[[#This Row],[Rm ]]-Tableau2[[#Totals],[Rm ]])^2</f>
        <v>4.960443418004832E-5</v>
      </c>
      <c r="T628" s="15">
        <f t="shared" si="18"/>
        <v>0.21897210571445444</v>
      </c>
      <c r="U628" s="15">
        <f t="shared" si="19"/>
        <v>0.25595006653919605</v>
      </c>
    </row>
    <row r="629" spans="1:21" x14ac:dyDescent="0.35">
      <c r="A629" s="10">
        <v>45772</v>
      </c>
      <c r="B629" s="2">
        <v>4.5351551653913628E-3</v>
      </c>
      <c r="C629" s="2">
        <v>-3.7383221106071039E-3</v>
      </c>
      <c r="D629" s="2">
        <v>2.506396866321622E-2</v>
      </c>
      <c r="E629" s="2">
        <v>-2.4721891453890368E-3</v>
      </c>
      <c r="F629" s="2">
        <v>7.8492939665851438E-4</v>
      </c>
      <c r="G629" s="2">
        <v>3.3307198017768762E-2</v>
      </c>
      <c r="H629" s="2">
        <v>-2.23164138940064E-2</v>
      </c>
      <c r="I629" s="2">
        <v>-2.206449018410208E-2</v>
      </c>
      <c r="J629" s="2">
        <v>2.915216851033698E-2</v>
      </c>
      <c r="K629" s="2">
        <v>1.2252400961009829E-3</v>
      </c>
      <c r="L629" s="2">
        <v>1.105472235116573E-2</v>
      </c>
      <c r="M629" s="2">
        <v>8.010723746078979E-3</v>
      </c>
      <c r="N629" s="2">
        <v>1.815319470754213E-2</v>
      </c>
      <c r="O629" s="2">
        <v>1.199635558938463E-2</v>
      </c>
      <c r="P629" s="2">
        <v>1.50378773645405E-2</v>
      </c>
      <c r="Q629" s="15">
        <f>AVERAGE(Tableau2[[#This Row],[AWB]:[IAM]])</f>
        <v>7.1820078849386777E-3</v>
      </c>
      <c r="R629" s="15">
        <f>ABS(Tableau2[[#This Row],[Rm ]])</f>
        <v>7.1820078849386777E-3</v>
      </c>
      <c r="S629" s="15">
        <f>(Tableau2[[#This Row],[Rm ]]-Tableau2[[#Totals],[Rm ]])^2</f>
        <v>4.0836608865460505E-5</v>
      </c>
      <c r="T629" s="15">
        <f t="shared" si="18"/>
        <v>0.18130814689342065</v>
      </c>
      <c r="U629" s="15">
        <f t="shared" si="19"/>
        <v>0.21897210571445444</v>
      </c>
    </row>
    <row r="630" spans="1:21" x14ac:dyDescent="0.35">
      <c r="A630" s="10">
        <v>45777</v>
      </c>
      <c r="B630" s="2">
        <v>-4.5351551653912622E-3</v>
      </c>
      <c r="C630" s="2">
        <v>-7.1415451052696021E-3</v>
      </c>
      <c r="D630" s="2">
        <v>9.8904074058914077E-2</v>
      </c>
      <c r="E630" s="2">
        <v>-4.8384189669919636E-3</v>
      </c>
      <c r="F630" s="2">
        <v>-1.6215502623304151E-2</v>
      </c>
      <c r="G630" s="2">
        <v>-0.12861737782209359</v>
      </c>
      <c r="H630" s="2">
        <v>-6.2305497506360864E-3</v>
      </c>
      <c r="I630" s="2">
        <v>0</v>
      </c>
      <c r="J630" s="2">
        <v>-2.264247674975978E-2</v>
      </c>
      <c r="K630" s="2">
        <v>-2.041024601431772E-4</v>
      </c>
      <c r="L630" s="2">
        <v>5.3511588529213172E-2</v>
      </c>
      <c r="M630" s="2">
        <v>-8.010723746078972E-3</v>
      </c>
      <c r="N630" s="2">
        <v>5.2770571008438193E-3</v>
      </c>
      <c r="O630" s="2">
        <v>-8.4034107963795041E-3</v>
      </c>
      <c r="P630" s="2">
        <v>-6.9895441817121864E-3</v>
      </c>
      <c r="Q630" s="15">
        <f>AVERAGE(Tableau2[[#This Row],[AWB]:[IAM]])</f>
        <v>-3.7424058452526139E-3</v>
      </c>
      <c r="R630" s="15">
        <f>ABS(Tableau2[[#This Row],[Rm ]])</f>
        <v>3.7424058452526139E-3</v>
      </c>
      <c r="S630" s="15">
        <f>(Tableau2[[#This Row],[Rm ]]-Tableau2[[#Totals],[Rm ]])^2</f>
        <v>2.0557708549201533E-5</v>
      </c>
      <c r="T630" s="15">
        <f t="shared" si="18"/>
        <v>0.34937063046281963</v>
      </c>
      <c r="U630" s="15">
        <f t="shared" si="19"/>
        <v>0.18130814689342065</v>
      </c>
    </row>
    <row r="631" spans="1:21" x14ac:dyDescent="0.35">
      <c r="A631" s="10">
        <v>45779</v>
      </c>
      <c r="B631" s="2">
        <v>4.5351551653913628E-3</v>
      </c>
      <c r="C631" s="2">
        <v>3.7650646886636489E-3</v>
      </c>
      <c r="D631" s="2">
        <v>1.336322781216716E-2</v>
      </c>
      <c r="E631" s="2">
        <v>1.7138697048643649E-2</v>
      </c>
      <c r="F631" s="2">
        <v>1.6607736399660549E-2</v>
      </c>
      <c r="G631" s="2">
        <v>0</v>
      </c>
      <c r="H631" s="2">
        <v>1.6529301951210509E-2</v>
      </c>
      <c r="I631" s="2">
        <v>9.9243436648502811E-3</v>
      </c>
      <c r="J631" s="2">
        <v>3.007745523727795E-2</v>
      </c>
      <c r="K631" s="2">
        <v>4.8021976810636011E-2</v>
      </c>
      <c r="L631" s="2">
        <v>4.1675349634240632E-4</v>
      </c>
      <c r="M631" s="2">
        <v>1.3315775975772159E-2</v>
      </c>
      <c r="N631" s="2">
        <v>1.5777021416177341E-3</v>
      </c>
      <c r="O631" s="2">
        <v>4.2105325363434578E-3</v>
      </c>
      <c r="P631" s="2">
        <v>-1.00250634962559E-3</v>
      </c>
      <c r="Q631" s="15">
        <f>AVERAGE(Tableau2[[#This Row],[AWB]:[IAM]])</f>
        <v>1.1898747771930087E-2</v>
      </c>
      <c r="R631" s="15">
        <f>ABS(Tableau2[[#This Row],[Rm ]])</f>
        <v>1.1898747771930087E-2</v>
      </c>
      <c r="S631" s="15">
        <f>(Tableau2[[#This Row],[Rm ]]-Tableau2[[#Totals],[Rm ]])^2</f>
        <v>1.2336750788266684E-4</v>
      </c>
      <c r="T631" s="15">
        <f t="shared" si="18"/>
        <v>0.13148470315026281</v>
      </c>
      <c r="U631" s="15">
        <f t="shared" si="19"/>
        <v>0.34937063046281963</v>
      </c>
    </row>
    <row r="632" spans="1:21" x14ac:dyDescent="0.35">
      <c r="A632" s="10">
        <v>45782</v>
      </c>
      <c r="B632" s="2">
        <v>0</v>
      </c>
      <c r="C632" s="2">
        <v>0</v>
      </c>
      <c r="D632" s="2">
        <v>-3.1463269455785113E-2</v>
      </c>
      <c r="E632" s="2">
        <v>-2.4479816386400008E-3</v>
      </c>
      <c r="F632" s="2">
        <v>5.6701686768512458E-3</v>
      </c>
      <c r="G632" s="2">
        <v>1.941808585710152E-2</v>
      </c>
      <c r="H632" s="2">
        <v>1.211889163733571E-2</v>
      </c>
      <c r="I632" s="2">
        <v>2.0768439448392911E-3</v>
      </c>
      <c r="J632" s="2">
        <v>0</v>
      </c>
      <c r="K632" s="2">
        <v>1.9436352085710311E-3</v>
      </c>
      <c r="L632" s="2">
        <v>0</v>
      </c>
      <c r="M632" s="2">
        <v>-7.9681696491768449E-3</v>
      </c>
      <c r="N632" s="2">
        <v>-1.577702141617697E-3</v>
      </c>
      <c r="O632" s="2">
        <v>-1.2685159527315691E-2</v>
      </c>
      <c r="P632" s="2">
        <v>-2.0080328032457458E-3</v>
      </c>
      <c r="Q632" s="15">
        <f>AVERAGE(Tableau2[[#This Row],[AWB]:[IAM]])</f>
        <v>-1.128179326072153E-3</v>
      </c>
      <c r="R632" s="15">
        <f>ABS(Tableau2[[#This Row],[Rm ]])</f>
        <v>1.128179326072153E-3</v>
      </c>
      <c r="S632" s="15">
        <f>(Tableau2[[#This Row],[Rm ]]-Tableau2[[#Totals],[Rm ]])^2</f>
        <v>3.6857641786218664E-6</v>
      </c>
      <c r="T632" s="15">
        <f t="shared" si="18"/>
        <v>0.10194128194000097</v>
      </c>
      <c r="U632" s="15">
        <f t="shared" si="19"/>
        <v>0.13148470315026281</v>
      </c>
    </row>
    <row r="633" spans="1:21" x14ac:dyDescent="0.35">
      <c r="A633" s="10">
        <v>45783</v>
      </c>
      <c r="B633" s="2">
        <v>0</v>
      </c>
      <c r="C633" s="2">
        <v>1.8788163512269181E-4</v>
      </c>
      <c r="D633" s="2">
        <v>0</v>
      </c>
      <c r="E633" s="2">
        <v>4.8899852941917711E-3</v>
      </c>
      <c r="F633" s="2">
        <v>9.5081729222144962E-3</v>
      </c>
      <c r="G633" s="2">
        <v>0</v>
      </c>
      <c r="H633" s="2">
        <v>3.9788967964682093E-2</v>
      </c>
      <c r="I633" s="2">
        <v>4.0406970650425672E-2</v>
      </c>
      <c r="J633" s="2">
        <v>4.9847805727567522E-2</v>
      </c>
      <c r="K633" s="2">
        <v>0</v>
      </c>
      <c r="L633" s="2">
        <v>2.6317308317373361E-2</v>
      </c>
      <c r="M633" s="2">
        <v>2.663117419483628E-3</v>
      </c>
      <c r="N633" s="2">
        <v>1.047129986729544E-2</v>
      </c>
      <c r="O633" s="2">
        <v>0</v>
      </c>
      <c r="P633" s="2">
        <v>4.0120414899608541E-3</v>
      </c>
      <c r="Q633" s="15">
        <f>AVERAGE(Tableau2[[#This Row],[AWB]:[IAM]])</f>
        <v>1.2539570085887835E-2</v>
      </c>
      <c r="R633" s="15">
        <f>ABS(Tableau2[[#This Row],[Rm ]])</f>
        <v>1.2539570085887835E-2</v>
      </c>
      <c r="S633" s="15">
        <f>(Tableau2[[#This Row],[Rm ]]-Tableau2[[#Totals],[Rm ]])^2</f>
        <v>1.3801350679046228E-4</v>
      </c>
      <c r="T633" s="15">
        <f t="shared" si="18"/>
        <v>0.20444651794346277</v>
      </c>
      <c r="U633" s="15">
        <f t="shared" si="19"/>
        <v>0.10194128194000097</v>
      </c>
    </row>
    <row r="634" spans="1:21" x14ac:dyDescent="0.35">
      <c r="A634" s="10">
        <v>45785</v>
      </c>
      <c r="B634" s="2">
        <v>1.05027221991492E-2</v>
      </c>
      <c r="C634" s="2">
        <v>-1.3159133396213371E-3</v>
      </c>
      <c r="D634" s="2">
        <v>1.8100041643617941E-2</v>
      </c>
      <c r="E634" s="2">
        <v>0</v>
      </c>
      <c r="F634" s="2">
        <v>-1.126444227792949E-2</v>
      </c>
      <c r="G634" s="2">
        <v>-7.0814584744459952E-2</v>
      </c>
      <c r="H634" s="2">
        <v>-1.5686596167699511E-2</v>
      </c>
      <c r="I634" s="2">
        <v>-2.854810519780546E-2</v>
      </c>
      <c r="J634" s="2">
        <v>-2.1368334405698911E-2</v>
      </c>
      <c r="K634" s="2">
        <v>-9.7134538963189205E-4</v>
      </c>
      <c r="L634" s="2">
        <v>9.6931292056597514E-3</v>
      </c>
      <c r="M634" s="2">
        <v>2.6248226074936411E-2</v>
      </c>
      <c r="N634" s="2">
        <v>1.2936791030719361E-2</v>
      </c>
      <c r="O634" s="2">
        <v>2.105340919783226E-2</v>
      </c>
      <c r="P634" s="2">
        <v>-3.007521063955217E-3</v>
      </c>
      <c r="Q634" s="15">
        <f>AVERAGE(Tableau2[[#This Row],[AWB]:[IAM]])</f>
        <v>-3.6295015489924568E-3</v>
      </c>
      <c r="R634" s="15">
        <f>ABS(Tableau2[[#This Row],[Rm ]])</f>
        <v>3.6295015489924568E-3</v>
      </c>
      <c r="S634" s="15">
        <f>(Tableau2[[#This Row],[Rm ]]-Tableau2[[#Totals],[Rm ]])^2</f>
        <v>1.9546626011507845E-5</v>
      </c>
      <c r="T634" s="15">
        <f t="shared" si="18"/>
        <v>0.258488594977894</v>
      </c>
      <c r="U634" s="15">
        <f t="shared" si="19"/>
        <v>0.20444651794346277</v>
      </c>
    </row>
    <row r="635" spans="1:21" x14ac:dyDescent="0.35">
      <c r="A635" s="10">
        <v>45786</v>
      </c>
      <c r="B635" s="2">
        <v>-5.9880418446225572E-3</v>
      </c>
      <c r="C635" s="2">
        <v>5.6417490918145784E-4</v>
      </c>
      <c r="D635" s="2">
        <v>2.6550232094120961E-2</v>
      </c>
      <c r="E635" s="2">
        <v>1.188036764046874E-2</v>
      </c>
      <c r="F635" s="2">
        <v>1.5504186535965249E-2</v>
      </c>
      <c r="G635" s="2">
        <v>-1.9699422796371959E-2</v>
      </c>
      <c r="H635" s="2">
        <v>3.9447782910163251E-3</v>
      </c>
      <c r="I635" s="2">
        <v>1.1719879370315539E-2</v>
      </c>
      <c r="J635" s="2">
        <v>7.8881728490060796E-3</v>
      </c>
      <c r="K635" s="2">
        <v>-1.945525905491331E-3</v>
      </c>
      <c r="L635" s="2">
        <v>2.0684906153512109E-2</v>
      </c>
      <c r="M635" s="2">
        <v>1.5424470325631731E-2</v>
      </c>
      <c r="N635" s="2">
        <v>7.6824961720162108E-3</v>
      </c>
      <c r="O635" s="2">
        <v>6.2305497506361628E-3</v>
      </c>
      <c r="P635" s="2">
        <v>-8.0645598367304078E-3</v>
      </c>
      <c r="Q635" s="15">
        <f>AVERAGE(Tableau2[[#This Row],[AWB]:[IAM]])</f>
        <v>6.1584442472436196E-3</v>
      </c>
      <c r="R635" s="15">
        <f>ABS(Tableau2[[#This Row],[Rm ]])</f>
        <v>6.1584442472436196E-3</v>
      </c>
      <c r="S635" s="15">
        <f>(Tableau2[[#This Row],[Rm ]]-Tableau2[[#Totals],[Rm ]])^2</f>
        <v>2.880242587651507E-5</v>
      </c>
      <c r="T635" s="15">
        <f t="shared" si="18"/>
        <v>0.12300372152125129</v>
      </c>
      <c r="U635" s="15">
        <f t="shared" si="19"/>
        <v>0.258488594977894</v>
      </c>
    </row>
    <row r="636" spans="1:21" x14ac:dyDescent="0.35">
      <c r="A636" s="10">
        <v>45792</v>
      </c>
      <c r="B636" s="2">
        <v>1.3423020332140771E-2</v>
      </c>
      <c r="C636" s="2">
        <v>7.305455362236403E-3</v>
      </c>
      <c r="D636" s="2">
        <v>2.586351058991937E-2</v>
      </c>
      <c r="E636" s="2">
        <v>2.4099289187619999E-4</v>
      </c>
      <c r="F636" s="2">
        <v>1.885949792324338E-2</v>
      </c>
      <c r="G636" s="2">
        <v>1.047129986729544E-2</v>
      </c>
      <c r="H636" s="2">
        <v>-2.5923685009791541E-2</v>
      </c>
      <c r="I636" s="2">
        <v>-3.4792840695808278E-2</v>
      </c>
      <c r="J636" s="2">
        <v>7.1174677688639549E-3</v>
      </c>
      <c r="K636" s="2">
        <v>0</v>
      </c>
      <c r="L636" s="2">
        <v>8.6683239168801968E-2</v>
      </c>
      <c r="M636" s="2">
        <v>0</v>
      </c>
      <c r="N636" s="2">
        <v>7.6239251106593664E-3</v>
      </c>
      <c r="O636" s="2">
        <v>-6.2305497506360864E-3</v>
      </c>
      <c r="P636" s="2">
        <v>-1.324522675002068E-2</v>
      </c>
      <c r="Q636" s="15">
        <f>AVERAGE(Tableau2[[#This Row],[AWB]:[IAM]])</f>
        <v>6.4930737872520173E-3</v>
      </c>
      <c r="R636" s="15">
        <f>ABS(Tableau2[[#This Row],[Rm ]])</f>
        <v>6.4930737872520173E-3</v>
      </c>
      <c r="S636" s="15">
        <f>(Tableau2[[#This Row],[Rm ]]-Tableau2[[#Totals],[Rm ]])^2</f>
        <v>3.2506175180717544E-5</v>
      </c>
      <c r="T636" s="15">
        <f t="shared" si="18"/>
        <v>0.23238323781550119</v>
      </c>
      <c r="U636" s="15">
        <f t="shared" si="19"/>
        <v>0.12300372152125129</v>
      </c>
    </row>
    <row r="637" spans="1:21" x14ac:dyDescent="0.35">
      <c r="A637" s="10">
        <v>45793</v>
      </c>
      <c r="B637" s="2">
        <v>-1.1772731157060051E-2</v>
      </c>
      <c r="C637" s="2">
        <v>-3.3651181503134469E-3</v>
      </c>
      <c r="D637" s="2">
        <v>0</v>
      </c>
      <c r="E637" s="2">
        <v>-3.6813973122716323E-2</v>
      </c>
      <c r="F637" s="2">
        <v>-1.8859497923243391E-2</v>
      </c>
      <c r="G637" s="2">
        <v>0</v>
      </c>
      <c r="H637" s="2">
        <v>-2.454110891611766E-2</v>
      </c>
      <c r="I637" s="2">
        <v>-3.0083461225247951E-2</v>
      </c>
      <c r="J637" s="2">
        <v>-2.6955809988528218E-2</v>
      </c>
      <c r="K637" s="2">
        <v>-4.684463826394062E-2</v>
      </c>
      <c r="L637" s="2">
        <v>-5.0669670478349551E-3</v>
      </c>
      <c r="M637" s="2">
        <v>-2.5317807984289901E-2</v>
      </c>
      <c r="N637" s="2">
        <v>-7.6239251106593707E-3</v>
      </c>
      <c r="O637" s="2">
        <v>-2.084066587185178E-2</v>
      </c>
      <c r="P637" s="2">
        <v>5.1151006667704089E-3</v>
      </c>
      <c r="Q637" s="15">
        <f>AVERAGE(Tableau2[[#This Row],[AWB]:[IAM]])</f>
        <v>-1.6864706939668888E-2</v>
      </c>
      <c r="R637" s="15">
        <f>ABS(Tableau2[[#This Row],[Rm ]])</f>
        <v>1.6864706939668888E-2</v>
      </c>
      <c r="S637" s="15">
        <f>(Tableau2[[#This Row],[Rm ]]-Tableau2[[#Totals],[Rm ]])^2</f>
        <v>3.1174712006283215E-4</v>
      </c>
      <c r="T637" s="15">
        <f t="shared" si="18"/>
        <v>0.17016412845782616</v>
      </c>
      <c r="U637" s="15">
        <f t="shared" si="19"/>
        <v>0.23238323781550119</v>
      </c>
    </row>
    <row r="638" spans="1:21" x14ac:dyDescent="0.35">
      <c r="A638" s="10">
        <v>45797</v>
      </c>
      <c r="B638" s="2">
        <v>1.915283845468263E-2</v>
      </c>
      <c r="C638" s="2">
        <v>0</v>
      </c>
      <c r="D638" s="2">
        <v>-1.716780362236545E-2</v>
      </c>
      <c r="E638" s="2">
        <v>4.9875415110389679E-3</v>
      </c>
      <c r="F638" s="2">
        <v>3.7555125648768208E-2</v>
      </c>
      <c r="G638" s="2">
        <v>5.712817406687107E-3</v>
      </c>
      <c r="H638" s="2">
        <v>-2.6951400163976341E-3</v>
      </c>
      <c r="I638" s="2">
        <v>-2.7030679986182022E-4</v>
      </c>
      <c r="J638" s="2">
        <v>9.0662452377532603E-3</v>
      </c>
      <c r="K638" s="2">
        <v>4.5675503290550479E-2</v>
      </c>
      <c r="L638" s="2">
        <v>9.511224492425388E-2</v>
      </c>
      <c r="M638" s="2">
        <v>2.0202707317519469E-2</v>
      </c>
      <c r="N638" s="2">
        <v>5.0890695074712281E-3</v>
      </c>
      <c r="O638" s="2">
        <v>4.2535092091732928E-4</v>
      </c>
      <c r="P638" s="2">
        <v>0</v>
      </c>
      <c r="Q638" s="15">
        <f>AVERAGE(Tableau2[[#This Row],[AWB]:[IAM]])</f>
        <v>1.4856412918734511E-2</v>
      </c>
      <c r="R638" s="15">
        <f>ABS(Tableau2[[#This Row],[Rm ]])</f>
        <v>1.4856412918734511E-2</v>
      </c>
      <c r="S638" s="15">
        <f>(Tableau2[[#This Row],[Rm ]]-Tableau2[[#Totals],[Rm ]])^2</f>
        <v>1.9781741282866487E-4</v>
      </c>
      <c r="T638" s="15">
        <f t="shared" si="18"/>
        <v>0.27296672469338534</v>
      </c>
      <c r="U638" s="15">
        <f t="shared" si="19"/>
        <v>0.17016412845782616</v>
      </c>
    </row>
    <row r="639" spans="1:21" x14ac:dyDescent="0.35">
      <c r="A639" s="10">
        <v>45798</v>
      </c>
      <c r="B639" s="2">
        <v>7.3260400920728812E-3</v>
      </c>
      <c r="C639" s="2">
        <v>0</v>
      </c>
      <c r="D639" s="2">
        <v>-4.3384015985981298E-3</v>
      </c>
      <c r="E639" s="2">
        <v>1.8484814674103161E-2</v>
      </c>
      <c r="F639" s="2">
        <v>-1.8506930678073741E-2</v>
      </c>
      <c r="G639" s="2">
        <v>4.6499696288594692E-3</v>
      </c>
      <c r="H639" s="2">
        <v>-2.9922164907433369E-2</v>
      </c>
      <c r="I639" s="2">
        <v>-1.3335345255916869E-2</v>
      </c>
      <c r="J639" s="2">
        <v>-3.6166404701885499E-3</v>
      </c>
      <c r="K639" s="2">
        <v>1.169134973390101E-3</v>
      </c>
      <c r="L639" s="2">
        <v>4.2944451829741277E-2</v>
      </c>
      <c r="M639" s="2">
        <v>-1.0261673553121171E-3</v>
      </c>
      <c r="N639" s="2">
        <v>2.0283982613926192E-3</v>
      </c>
      <c r="O639" s="2">
        <v>1.99985614545919E-2</v>
      </c>
      <c r="P639" s="2">
        <v>2.0202707317519469E-2</v>
      </c>
      <c r="Q639" s="15">
        <f>AVERAGE(Tableau2[[#This Row],[AWB]:[IAM]])</f>
        <v>3.0705618644098738E-3</v>
      </c>
      <c r="R639" s="15">
        <f>ABS(Tableau2[[#This Row],[Rm ]])</f>
        <v>3.0705618644098738E-3</v>
      </c>
      <c r="S639" s="15">
        <f>(Tableau2[[#This Row],[Rm ]]-Tableau2[[#Totals],[Rm ]])^2</f>
        <v>5.1934160941826451E-6</v>
      </c>
      <c r="T639" s="15">
        <f t="shared" si="18"/>
        <v>0.1743763451979555</v>
      </c>
      <c r="U639" s="15">
        <f t="shared" si="19"/>
        <v>0.27296672469338534</v>
      </c>
    </row>
    <row r="640" spans="1:21" x14ac:dyDescent="0.35">
      <c r="A640" s="10">
        <v>45799</v>
      </c>
      <c r="B640" s="2">
        <v>1.161116092767784E-2</v>
      </c>
      <c r="C640" s="2">
        <v>2.5696949584175059E-2</v>
      </c>
      <c r="D640" s="2">
        <v>1.2959144642505121E-2</v>
      </c>
      <c r="E640" s="2">
        <v>-1.3440041121410039E-3</v>
      </c>
      <c r="F640" s="2">
        <v>1.405175345565029E-2</v>
      </c>
      <c r="G640" s="2">
        <v>-1.036278703554655E-2</v>
      </c>
      <c r="H640" s="2">
        <v>5.3333459753626029E-3</v>
      </c>
      <c r="I640" s="2">
        <v>1.6843647329553998E-2</v>
      </c>
      <c r="J640" s="2">
        <v>3.1737375786712547E-2</v>
      </c>
      <c r="K640" s="2">
        <v>-1.9493183560496531E-3</v>
      </c>
      <c r="L640" s="2">
        <v>-3.5712336152666661E-2</v>
      </c>
      <c r="M640" s="2">
        <v>4.098366392282185E-3</v>
      </c>
      <c r="N640" s="2">
        <v>-5.0671397081152351E-4</v>
      </c>
      <c r="O640" s="2">
        <v>-1.5543266082387E-2</v>
      </c>
      <c r="P640" s="2">
        <v>0</v>
      </c>
      <c r="Q640" s="15">
        <f>AVERAGE(Tableau2[[#This Row],[AWB]:[IAM]])</f>
        <v>3.7942212256211519E-3</v>
      </c>
      <c r="R640" s="15">
        <f>ABS(Tableau2[[#This Row],[Rm ]])</f>
        <v>3.7942212256211519E-3</v>
      </c>
      <c r="S640" s="15">
        <f>(Tableau2[[#This Row],[Rm ]]-Tableau2[[#Totals],[Rm ]])^2</f>
        <v>9.0154034089654572E-6</v>
      </c>
      <c r="T640" s="15">
        <f t="shared" si="18"/>
        <v>0.18041467543398784</v>
      </c>
      <c r="U640" s="15">
        <f t="shared" si="19"/>
        <v>0.1743763451979555</v>
      </c>
    </row>
    <row r="641" spans="1:21" x14ac:dyDescent="0.35">
      <c r="A641" s="10">
        <v>45800</v>
      </c>
      <c r="B641" s="2">
        <v>2.737951130378404E-3</v>
      </c>
      <c r="C641" s="2">
        <v>3.8254896821465641E-3</v>
      </c>
      <c r="D641" s="2">
        <v>4.290924760109138E-4</v>
      </c>
      <c r="E641" s="2">
        <v>-2.2128352073001109E-2</v>
      </c>
      <c r="F641" s="2">
        <v>-1.424045050310142E-2</v>
      </c>
      <c r="G641" s="2">
        <v>1.0362787035546659E-2</v>
      </c>
      <c r="H641" s="2">
        <v>0</v>
      </c>
      <c r="I641" s="2">
        <v>-4.1248630056484208E-2</v>
      </c>
      <c r="J641" s="2">
        <v>-1.023117056574897E-2</v>
      </c>
      <c r="K641" s="2">
        <v>0</v>
      </c>
      <c r="L641" s="2">
        <v>1.2046377156913269E-2</v>
      </c>
      <c r="M641" s="2">
        <v>-1.338156869583137E-2</v>
      </c>
      <c r="N641" s="2">
        <v>-6.6107537980524839E-3</v>
      </c>
      <c r="O641" s="2">
        <v>-4.8806462931223578E-3</v>
      </c>
      <c r="P641" s="2">
        <v>0</v>
      </c>
      <c r="Q641" s="15">
        <f>AVERAGE(Tableau2[[#This Row],[AWB]:[IAM]])</f>
        <v>-5.5546583002897406E-3</v>
      </c>
      <c r="R641" s="15">
        <f>ABS(Tableau2[[#This Row],[Rm ]])</f>
        <v>5.5546583002897406E-3</v>
      </c>
      <c r="S641" s="15">
        <f>(Tableau2[[#This Row],[Rm ]]-Tableau2[[#Totals],[Rm ]])^2</f>
        <v>4.0275693626240337E-5</v>
      </c>
      <c r="T641" s="15">
        <f t="shared" si="18"/>
        <v>0.14384160403402516</v>
      </c>
      <c r="U641" s="15">
        <f t="shared" si="19"/>
        <v>0.18041467543398784</v>
      </c>
    </row>
    <row r="642" spans="1:21" x14ac:dyDescent="0.35">
      <c r="A642" s="10">
        <v>45804</v>
      </c>
      <c r="B642" s="2">
        <v>-2.314682276158549E-2</v>
      </c>
      <c r="C642" s="2">
        <v>-1.096903137057393E-2</v>
      </c>
      <c r="D642" s="2">
        <v>3.8535693159899719E-3</v>
      </c>
      <c r="E642" s="2">
        <v>-3.8825272642249182E-3</v>
      </c>
      <c r="F642" s="2">
        <v>-9.290046907092642E-3</v>
      </c>
      <c r="G642" s="2">
        <v>-1.025862579385035E-2</v>
      </c>
      <c r="H642" s="2">
        <v>-2.8049303809899551E-2</v>
      </c>
      <c r="I642" s="2">
        <v>-2.415233184174544E-2</v>
      </c>
      <c r="J642" s="2">
        <v>-1.392630969819436E-2</v>
      </c>
      <c r="K642" s="2">
        <v>0</v>
      </c>
      <c r="L642" s="2">
        <v>-3.7255008876014711E-2</v>
      </c>
      <c r="M642" s="2">
        <v>2.0513539833103028E-2</v>
      </c>
      <c r="N642" s="2">
        <v>5.0890695074712281E-3</v>
      </c>
      <c r="O642" s="2">
        <v>-2.1718948546944169E-2</v>
      </c>
      <c r="P642" s="2">
        <v>0</v>
      </c>
      <c r="Q642" s="15">
        <f>AVERAGE(Tableau2[[#This Row],[AWB]:[IAM]])</f>
        <v>-1.0212851880904089E-2</v>
      </c>
      <c r="R642" s="15">
        <f>ABS(Tableau2[[#This Row],[Rm ]])</f>
        <v>1.0212851880904089E-2</v>
      </c>
      <c r="S642" s="15">
        <f>(Tableau2[[#This Row],[Rm ]]-Tableau2[[#Totals],[Rm ]])^2</f>
        <v>1.2109917363534277E-4</v>
      </c>
      <c r="T642" s="15">
        <f t="shared" si="18"/>
        <v>0.1660151402143068</v>
      </c>
      <c r="U642" s="15">
        <f t="shared" si="19"/>
        <v>0.14384160403402516</v>
      </c>
    </row>
    <row r="643" spans="1:21" x14ac:dyDescent="0.35">
      <c r="A643" s="10">
        <v>45805</v>
      </c>
      <c r="B643" s="2">
        <v>-8.8757979139682912E-3</v>
      </c>
      <c r="C643" s="2">
        <v>-1.839926922007183E-3</v>
      </c>
      <c r="D643" s="2">
        <v>0</v>
      </c>
      <c r="E643" s="2">
        <v>1.3793970461063029E-3</v>
      </c>
      <c r="F643" s="2">
        <v>5.3191614776000266E-3</v>
      </c>
      <c r="G643" s="2">
        <v>-1.04161241696226E-4</v>
      </c>
      <c r="H643" s="2">
        <v>2.8049303809899589E-2</v>
      </c>
      <c r="I643" s="2">
        <v>-2.2394421403608731E-2</v>
      </c>
      <c r="J643" s="2">
        <v>6.8088419293303786E-3</v>
      </c>
      <c r="K643" s="2">
        <v>0</v>
      </c>
      <c r="L643" s="2">
        <v>-4.0094457201878091E-2</v>
      </c>
      <c r="M643" s="2">
        <v>-1.277156567948751E-2</v>
      </c>
      <c r="N643" s="2">
        <v>0</v>
      </c>
      <c r="O643" s="2">
        <v>8.6918736458693388E-4</v>
      </c>
      <c r="P643" s="2">
        <v>-5.0125418235443982E-3</v>
      </c>
      <c r="Q643" s="15">
        <f>AVERAGE(Tableau2[[#This Row],[AWB]:[IAM]])</f>
        <v>-3.2444653705778139E-3</v>
      </c>
      <c r="R643" s="15">
        <f>ABS(Tableau2[[#This Row],[Rm ]])</f>
        <v>3.2444653705778139E-3</v>
      </c>
      <c r="S643" s="15">
        <f>(Tableau2[[#This Row],[Rm ]]-Tableau2[[#Totals],[Rm ]])^2</f>
        <v>1.6290268358601903E-5</v>
      </c>
      <c r="T643" s="15">
        <f t="shared" ref="T643:T706" si="20">(ABS(B643-$Q643)+ABS(C643-$Q643)+ABS(D643-$Q643)+ABS(E643-$Q643)+ABS(F643-$Q643)+ABS(G643-$Q643)+ABS(H643-$Q643)+ABS(I643-$Q643)+ABS(J643-$Q643)+ABS(K643-$Q643)+ABS(L643-$Q643)+ABS(M643-$Q643)+ABS(N643-$Q643)+ABS(O643-$Q643)+ABS(P643-$Q643)/15)</f>
        <v>0.14420270964976048</v>
      </c>
      <c r="U643" s="15">
        <f t="shared" si="19"/>
        <v>0.1660151402143068</v>
      </c>
    </row>
    <row r="644" spans="1:21" x14ac:dyDescent="0.35">
      <c r="A644" s="10">
        <v>45807</v>
      </c>
      <c r="B644" s="2">
        <v>-1.34631801682939E-2</v>
      </c>
      <c r="C644" s="2">
        <v>-1.2975158863133419E-2</v>
      </c>
      <c r="D644" s="2">
        <v>1.6949558313773209E-2</v>
      </c>
      <c r="E644" s="2">
        <v>5.00001041670584E-3</v>
      </c>
      <c r="F644" s="2">
        <v>2.2710077890756341E-3</v>
      </c>
      <c r="G644" s="2">
        <v>5.077232537342314E-2</v>
      </c>
      <c r="H644" s="2">
        <v>8.4746269909722356E-3</v>
      </c>
      <c r="I644" s="2">
        <v>5.7158413839948623E-2</v>
      </c>
      <c r="J644" s="2">
        <v>-2.1661496781179419E-2</v>
      </c>
      <c r="K644" s="2">
        <v>0</v>
      </c>
      <c r="L644" s="2">
        <v>7.7349466077892864E-2</v>
      </c>
      <c r="M644" s="2">
        <v>0</v>
      </c>
      <c r="N644" s="2">
        <v>1.160749848076055E-2</v>
      </c>
      <c r="O644" s="2">
        <v>-8.6918736458685116E-4</v>
      </c>
      <c r="P644" s="2">
        <v>5.0125418235444138E-3</v>
      </c>
      <c r="Q644" s="15">
        <f>AVERAGE(Tableau2[[#This Row],[AWB]:[IAM]])</f>
        <v>1.237509506192686E-2</v>
      </c>
      <c r="R644" s="15">
        <f>ABS(Tableau2[[#This Row],[Rm ]])</f>
        <v>1.237509506192686E-2</v>
      </c>
      <c r="S644" s="15">
        <f>(Tableau2[[#This Row],[Rm ]]-Tableau2[[#Totals],[Rm ]])^2</f>
        <v>1.3417608162253096E-4</v>
      </c>
      <c r="T644" s="15">
        <f t="shared" si="20"/>
        <v>0.2985870503588372</v>
      </c>
      <c r="U644" s="15">
        <f t="shared" ref="U644:U707" si="21">T643</f>
        <v>0.14420270964976048</v>
      </c>
    </row>
    <row r="645" spans="1:21" x14ac:dyDescent="0.35">
      <c r="A645" s="10">
        <v>45810</v>
      </c>
      <c r="B645" s="2">
        <v>8.9955629085777828E-3</v>
      </c>
      <c r="C645" s="2">
        <v>2.2141125877213501E-2</v>
      </c>
      <c r="D645" s="2">
        <v>0</v>
      </c>
      <c r="E645" s="2">
        <v>-2.496880198587154E-3</v>
      </c>
      <c r="F645" s="2">
        <v>-7.5901692666755956E-3</v>
      </c>
      <c r="G645" s="2">
        <v>2.830838126392228E-2</v>
      </c>
      <c r="H645" s="2">
        <v>5.9382848404662743E-2</v>
      </c>
      <c r="I645" s="2">
        <v>1.434111727065775E-2</v>
      </c>
      <c r="J645" s="2">
        <v>5.3298581724361922E-2</v>
      </c>
      <c r="K645" s="2">
        <v>1.4528100562909809E-2</v>
      </c>
      <c r="L645" s="2">
        <v>-1.30295002903338E-2</v>
      </c>
      <c r="M645" s="2">
        <v>2.186713116397274E-2</v>
      </c>
      <c r="N645" s="2">
        <v>5.0163030898894791E-4</v>
      </c>
      <c r="O645" s="2">
        <v>1.2959144642505121E-2</v>
      </c>
      <c r="P645" s="2">
        <v>-1.5113637810048181E-2</v>
      </c>
      <c r="Q645" s="15">
        <f>AVERAGE(Tableau2[[#This Row],[AWB]:[IAM]])</f>
        <v>1.3206229104141856E-2</v>
      </c>
      <c r="R645" s="15">
        <f>ABS(Tableau2[[#This Row],[Rm ]])</f>
        <v>1.3206229104141856E-2</v>
      </c>
      <c r="S645" s="15">
        <f>(Tableau2[[#This Row],[Rm ]]-Tableau2[[#Totals],[Rm ]])^2</f>
        <v>1.5412164799472397E-4</v>
      </c>
      <c r="T645" s="15">
        <f t="shared" si="20"/>
        <v>0.21641548929083812</v>
      </c>
      <c r="U645" s="15">
        <f t="shared" si="21"/>
        <v>0.2985870503588372</v>
      </c>
    </row>
    <row r="646" spans="1:21" x14ac:dyDescent="0.35">
      <c r="A646" s="10">
        <v>45812</v>
      </c>
      <c r="B646" s="2">
        <v>1.7751945458450321E-2</v>
      </c>
      <c r="C646" s="2">
        <v>7.3847249951749669E-2</v>
      </c>
      <c r="D646" s="2">
        <v>0.10745915231474749</v>
      </c>
      <c r="E646" s="2">
        <v>2.225060893481972E-2</v>
      </c>
      <c r="F646" s="2">
        <v>0</v>
      </c>
      <c r="G646" s="2">
        <v>-3.857285399758042E-3</v>
      </c>
      <c r="H646" s="2">
        <v>3.3238641475733931E-2</v>
      </c>
      <c r="I646" s="2">
        <v>1.305785691745669E-2</v>
      </c>
      <c r="J646" s="2">
        <v>-1.3235999572291379E-2</v>
      </c>
      <c r="K646" s="2">
        <v>3.2913884605917793E-2</v>
      </c>
      <c r="L646" s="2">
        <v>9.4632783230431256E-3</v>
      </c>
      <c r="M646" s="2">
        <v>3.7516739384933932E-2</v>
      </c>
      <c r="N646" s="2">
        <v>3.0045090202987222E-3</v>
      </c>
      <c r="O646" s="2">
        <v>8.5470605784583476E-3</v>
      </c>
      <c r="P646" s="2">
        <v>2.506396866321622E-2</v>
      </c>
      <c r="Q646" s="15">
        <f>AVERAGE(Tableau2[[#This Row],[AWB]:[IAM]])</f>
        <v>2.4468107377118433E-2</v>
      </c>
      <c r="R646" s="15">
        <f>ABS(Tableau2[[#This Row],[Rm ]])</f>
        <v>2.4468107377118433E-2</v>
      </c>
      <c r="S646" s="15">
        <f>(Tableau2[[#This Row],[Rm ]]-Tableau2[[#Totals],[Rm ]])^2</f>
        <v>5.6057439298452057E-4</v>
      </c>
      <c r="T646" s="15">
        <f t="shared" si="20"/>
        <v>0.32590584706681885</v>
      </c>
      <c r="U646" s="15">
        <f t="shared" si="21"/>
        <v>0.21641548929083812</v>
      </c>
    </row>
    <row r="647" spans="1:21" x14ac:dyDescent="0.35">
      <c r="A647" s="10">
        <v>45813</v>
      </c>
      <c r="B647" s="2">
        <v>2.19699832054215E-3</v>
      </c>
      <c r="C647" s="2">
        <v>3.6609745612561022E-2</v>
      </c>
      <c r="D647" s="2">
        <v>4.4287680201116279E-2</v>
      </c>
      <c r="E647" s="2">
        <v>3.8491653020566167E-2</v>
      </c>
      <c r="F647" s="2">
        <v>-1.9231361927887641E-2</v>
      </c>
      <c r="G647" s="2">
        <v>9.4870908986806821E-2</v>
      </c>
      <c r="H647" s="2">
        <v>0</v>
      </c>
      <c r="I647" s="2">
        <v>3.1917602968305162E-2</v>
      </c>
      <c r="J647" s="2">
        <v>-9.8661829210539443E-3</v>
      </c>
      <c r="K647" s="2">
        <v>-4.2769989129295138E-2</v>
      </c>
      <c r="L647" s="2">
        <v>3.2472804311980052E-4</v>
      </c>
      <c r="M647" s="2">
        <v>-4.154900291287239E-2</v>
      </c>
      <c r="N647" s="2">
        <v>-1.0050335853501451E-2</v>
      </c>
      <c r="O647" s="2">
        <v>1.058210933053701E-2</v>
      </c>
      <c r="P647" s="2">
        <v>0</v>
      </c>
      <c r="Q647" s="15">
        <f>AVERAGE(Tableau2[[#This Row],[AWB]:[IAM]])</f>
        <v>9.0543035825962574E-3</v>
      </c>
      <c r="R647" s="15">
        <f>ABS(Tableau2[[#This Row],[Rm ]])</f>
        <v>9.0543035825962574E-3</v>
      </c>
      <c r="S647" s="15">
        <f>(Tableau2[[#This Row],[Rm ]]-Tableau2[[#Totals],[Rm ]])^2</f>
        <v>6.8271360140235095E-5</v>
      </c>
      <c r="T647" s="15">
        <f t="shared" si="20"/>
        <v>0.3964170739048733</v>
      </c>
      <c r="U647" s="15">
        <f t="shared" si="21"/>
        <v>0.32590584706681885</v>
      </c>
    </row>
    <row r="648" spans="1:21" x14ac:dyDescent="0.35">
      <c r="A648" s="10">
        <v>45814</v>
      </c>
      <c r="B648" s="2">
        <v>-1.7563730960618491E-2</v>
      </c>
      <c r="C648" s="2">
        <v>-1.315808457751109E-2</v>
      </c>
      <c r="D648" s="2">
        <v>-2.5595547188963771E-2</v>
      </c>
      <c r="E648" s="2">
        <v>-2.6340835238053469E-2</v>
      </c>
      <c r="F648" s="2">
        <v>0</v>
      </c>
      <c r="G648" s="2">
        <v>-8.8261826282720716E-3</v>
      </c>
      <c r="H648" s="2">
        <v>-1.316317883399158E-2</v>
      </c>
      <c r="I648" s="2">
        <v>7.8227256812088575E-3</v>
      </c>
      <c r="J648" s="2">
        <v>4.6359044657612453E-2</v>
      </c>
      <c r="K648" s="2">
        <v>1.941936116404199E-4</v>
      </c>
      <c r="L648" s="2">
        <v>-1.6366977464205359E-2</v>
      </c>
      <c r="M648" s="2">
        <v>2.493894834725215E-2</v>
      </c>
      <c r="N648" s="2">
        <v>0</v>
      </c>
      <c r="O648" s="2">
        <v>2.28938198658525E-2</v>
      </c>
      <c r="P648" s="2">
        <v>0</v>
      </c>
      <c r="Q648" s="15">
        <f>AVERAGE(Tableau2[[#This Row],[AWB]:[IAM]])</f>
        <v>-1.2537203152032973E-3</v>
      </c>
      <c r="R648" s="15">
        <f>ABS(Tableau2[[#This Row],[Rm ]])</f>
        <v>1.2537203152032973E-3</v>
      </c>
      <c r="S648" s="15">
        <f>(Tableau2[[#This Row],[Rm ]]-Tableau2[[#Totals],[Rm ]])^2</f>
        <v>4.1835605412714029E-6</v>
      </c>
      <c r="T648" s="15">
        <f t="shared" si="20"/>
        <v>0.22330685040952908</v>
      </c>
      <c r="U648" s="15">
        <f t="shared" si="21"/>
        <v>0.3964170739048733</v>
      </c>
    </row>
    <row r="649" spans="1:21" x14ac:dyDescent="0.35">
      <c r="A649" s="10">
        <v>45818</v>
      </c>
      <c r="B649" s="2">
        <v>1.242987296676667E-2</v>
      </c>
      <c r="C649" s="2">
        <v>-6.6445427186686131E-3</v>
      </c>
      <c r="D649" s="2">
        <v>0</v>
      </c>
      <c r="E649" s="2">
        <v>1.4388737452099671E-2</v>
      </c>
      <c r="F649" s="2">
        <v>4.8426244757879917E-3</v>
      </c>
      <c r="G649" s="2">
        <v>3.7838825889846252E-2</v>
      </c>
      <c r="H649" s="2">
        <v>-2.3410077019737009E-3</v>
      </c>
      <c r="I649" s="2">
        <v>1.315978222482664E-2</v>
      </c>
      <c r="J649" s="2">
        <v>-1.4300550142196271E-2</v>
      </c>
      <c r="K649" s="2">
        <v>1.9231361927887589E-2</v>
      </c>
      <c r="L649" s="2">
        <v>3.294895896852485E-3</v>
      </c>
      <c r="M649" s="2">
        <v>-1.588911282733424E-2</v>
      </c>
      <c r="N649" s="2">
        <v>1.005033585350151E-2</v>
      </c>
      <c r="O649" s="2">
        <v>-2.079076966907378E-2</v>
      </c>
      <c r="P649" s="2">
        <v>-3.015303817068744E-2</v>
      </c>
      <c r="Q649" s="15">
        <f>AVERAGE(Tableau2[[#This Row],[AWB]:[IAM]])</f>
        <v>1.6744943638423181E-3</v>
      </c>
      <c r="R649" s="15">
        <f>ABS(Tableau2[[#This Row],[Rm ]])</f>
        <v>1.6744943638423181E-3</v>
      </c>
      <c r="S649" s="15">
        <f>(Tableau2[[#This Row],[Rm ]]-Tableau2[[#Totals],[Rm ]])^2</f>
        <v>7.794051864335559E-7</v>
      </c>
      <c r="T649" s="15">
        <f t="shared" si="20"/>
        <v>0.1739752665214328</v>
      </c>
      <c r="U649" s="15">
        <f t="shared" si="21"/>
        <v>0.22330685040952908</v>
      </c>
    </row>
    <row r="650" spans="1:21" x14ac:dyDescent="0.35">
      <c r="A650" s="10">
        <v>45820</v>
      </c>
      <c r="B650" s="2">
        <v>6.1574743733520754E-3</v>
      </c>
      <c r="C650" s="2">
        <v>-1.342302033214066E-2</v>
      </c>
      <c r="D650" s="2">
        <v>-1.8692133012152522E-2</v>
      </c>
      <c r="E650" s="2">
        <v>-1.1976191046715649E-2</v>
      </c>
      <c r="F650" s="2">
        <v>-5.8139698654198447E-3</v>
      </c>
      <c r="G650" s="2">
        <v>-1.548418033404211E-2</v>
      </c>
      <c r="H650" s="2">
        <v>-1.972450534777859E-2</v>
      </c>
      <c r="I650" s="2">
        <v>-2.0982507906035511E-2</v>
      </c>
      <c r="J650" s="2">
        <v>-1.2422519998557211E-2</v>
      </c>
      <c r="K650" s="2">
        <v>-4.839024414810502E-2</v>
      </c>
      <c r="L650" s="2">
        <v>-8.2576852389815766E-3</v>
      </c>
      <c r="M650" s="2">
        <v>-9.0498355199179273E-3</v>
      </c>
      <c r="N650" s="2">
        <v>2.4692612590371411E-2</v>
      </c>
      <c r="O650" s="2">
        <v>-8.4388686458645949E-3</v>
      </c>
      <c r="P650" s="2">
        <v>0</v>
      </c>
      <c r="Q650" s="15">
        <f>AVERAGE(Tableau2[[#This Row],[AWB]:[IAM]])</f>
        <v>-1.0787038295465847E-2</v>
      </c>
      <c r="R650" s="15">
        <f>ABS(Tableau2[[#This Row],[Rm ]])</f>
        <v>1.0787038295465847E-2</v>
      </c>
      <c r="S650" s="15">
        <f>(Tableau2[[#This Row],[Rm ]]-Tableau2[[#Totals],[Rm ]])^2</f>
        <v>1.3406614047534863E-4</v>
      </c>
      <c r="T650" s="15">
        <f t="shared" si="20"/>
        <v>0.13953008911449952</v>
      </c>
      <c r="U650" s="15">
        <f t="shared" si="21"/>
        <v>0.1739752665214328</v>
      </c>
    </row>
    <row r="651" spans="1:21" x14ac:dyDescent="0.35">
      <c r="A651" s="10">
        <v>45821</v>
      </c>
      <c r="B651" s="2">
        <v>2.6273551823809351E-3</v>
      </c>
      <c r="C651" s="2">
        <v>-5.0804512324189519E-3</v>
      </c>
      <c r="D651" s="2">
        <v>3.7041271680349083E-2</v>
      </c>
      <c r="E651" s="2">
        <v>-4.8309272696655803E-3</v>
      </c>
      <c r="F651" s="2">
        <v>2.0202707317519469E-2</v>
      </c>
      <c r="G651" s="2">
        <v>-6.398961820738143E-2</v>
      </c>
      <c r="H651" s="2">
        <v>-3.9920212695374498E-3</v>
      </c>
      <c r="I651" s="2">
        <v>-3.1107120687008209E-2</v>
      </c>
      <c r="J651" s="2">
        <v>0</v>
      </c>
      <c r="K651" s="2">
        <v>0</v>
      </c>
      <c r="L651" s="2">
        <v>-2.1794659827420321E-2</v>
      </c>
      <c r="M651" s="2">
        <v>-2.5576841789649741E-2</v>
      </c>
      <c r="N651" s="2">
        <v>-4.1838771425342043E-2</v>
      </c>
      <c r="O651" s="2">
        <v>-4.2462908814510968E-3</v>
      </c>
      <c r="P651" s="2">
        <v>0</v>
      </c>
      <c r="Q651" s="15">
        <f>AVERAGE(Tableau2[[#This Row],[AWB]:[IAM]])</f>
        <v>-9.5056912273083546E-3</v>
      </c>
      <c r="R651" s="15">
        <f>ABS(Tableau2[[#This Row],[Rm ]])</f>
        <v>9.5056912273083546E-3</v>
      </c>
      <c r="S651" s="15">
        <f>(Tableau2[[#This Row],[Rm ]]-Tableau2[[#Totals],[Rm ]])^2</f>
        <v>1.0603534114364912E-4</v>
      </c>
      <c r="T651" s="15">
        <f t="shared" si="20"/>
        <v>0.26468513312169872</v>
      </c>
      <c r="U651" s="15">
        <f t="shared" si="21"/>
        <v>0.13953008911449952</v>
      </c>
    </row>
    <row r="652" spans="1:21" x14ac:dyDescent="0.35">
      <c r="A652" s="10">
        <v>45824</v>
      </c>
      <c r="B652" s="2">
        <v>-1.4536633629253009E-2</v>
      </c>
      <c r="C652" s="2">
        <v>-1.5398080111121719E-2</v>
      </c>
      <c r="D652" s="2">
        <v>-3.027178362510256E-2</v>
      </c>
      <c r="E652" s="2">
        <v>4.8309272696655924E-3</v>
      </c>
      <c r="F652" s="2">
        <v>-4.0080213975388218E-3</v>
      </c>
      <c r="G652" s="2">
        <v>2.7688065681330189E-3</v>
      </c>
      <c r="H652" s="2">
        <v>-3.045920748470857E-2</v>
      </c>
      <c r="I652" s="2">
        <v>-3.9382757067536557E-2</v>
      </c>
      <c r="J652" s="2">
        <v>6.920442844573757E-3</v>
      </c>
      <c r="K652" s="2">
        <v>5.389885338605177E-2</v>
      </c>
      <c r="L652" s="2">
        <v>-2.3667714249336991E-2</v>
      </c>
      <c r="M652" s="2">
        <v>-4.1536923686934044E-3</v>
      </c>
      <c r="N652" s="2">
        <v>-2.889777966643628E-2</v>
      </c>
      <c r="O652" s="2">
        <v>-4.2643987864575397E-3</v>
      </c>
      <c r="P652" s="2">
        <v>0</v>
      </c>
      <c r="Q652" s="15">
        <f>AVERAGE(Tableau2[[#This Row],[AWB]:[IAM]])</f>
        <v>-8.4414025545174205E-3</v>
      </c>
      <c r="R652" s="15">
        <f>ABS(Tableau2[[#This Row],[Rm ]])</f>
        <v>8.4414025545174205E-3</v>
      </c>
      <c r="S652" s="15">
        <f>(Tableau2[[#This Row],[Rm ]]-Tableau2[[#Totals],[Rm ]])^2</f>
        <v>8.5249353435657473E-5</v>
      </c>
      <c r="T652" s="15">
        <f t="shared" si="20"/>
        <v>0.23916963351953124</v>
      </c>
      <c r="U652" s="15">
        <f t="shared" si="21"/>
        <v>0.26468513312169872</v>
      </c>
    </row>
    <row r="653" spans="1:21" x14ac:dyDescent="0.35">
      <c r="A653" s="10">
        <v>45825</v>
      </c>
      <c r="B653" s="2">
        <v>-6.8269781333400179E-3</v>
      </c>
      <c r="C653" s="2">
        <v>0</v>
      </c>
      <c r="D653" s="2">
        <v>4.4876664693879768E-3</v>
      </c>
      <c r="E653" s="2">
        <v>-1.20489186241331E-4</v>
      </c>
      <c r="F653" s="2">
        <v>-1.522334053034881E-2</v>
      </c>
      <c r="G653" s="2">
        <v>1.3730192811902041E-2</v>
      </c>
      <c r="H653" s="2">
        <v>-2.5053502445550251E-2</v>
      </c>
      <c r="I653" s="2">
        <v>-1.6997576368571139E-2</v>
      </c>
      <c r="J653" s="2">
        <v>-1.3802624689583469E-3</v>
      </c>
      <c r="K653" s="2">
        <v>-5.5086092379467988E-3</v>
      </c>
      <c r="L653" s="2">
        <v>-7.3158312706302362E-3</v>
      </c>
      <c r="M653" s="2">
        <v>4.1536923686933949E-3</v>
      </c>
      <c r="N653" s="2">
        <v>2.614380574070894E-3</v>
      </c>
      <c r="O653" s="2">
        <v>-1.5070252920998169E-2</v>
      </c>
      <c r="P653" s="2">
        <v>0</v>
      </c>
      <c r="Q653" s="15">
        <f>AVERAGE(Tableau2[[#This Row],[AWB]:[IAM]])</f>
        <v>-4.5673940225687193E-3</v>
      </c>
      <c r="R653" s="15">
        <f>ABS(Tableau2[[#This Row],[Rm ]])</f>
        <v>4.5673940225687193E-3</v>
      </c>
      <c r="S653" s="15">
        <f>(Tableau2[[#This Row],[Rm ]]-Tableau2[[#Totals],[Rm ]])^2</f>
        <v>2.8719407372742446E-5</v>
      </c>
      <c r="T653" s="15">
        <f t="shared" si="20"/>
        <v>0.11578576441107798</v>
      </c>
      <c r="U653" s="15">
        <f t="shared" si="21"/>
        <v>0.23916963351953124</v>
      </c>
    </row>
    <row r="654" spans="1:21" x14ac:dyDescent="0.35">
      <c r="A654" s="10">
        <v>45827</v>
      </c>
      <c r="B654" s="2">
        <v>-2.0309084637975081E-2</v>
      </c>
      <c r="C654" s="2">
        <v>-3.5091319811270061E-2</v>
      </c>
      <c r="D654" s="2">
        <v>-3.0305349495328919E-2</v>
      </c>
      <c r="E654" s="2">
        <v>-9.8081551550929791E-3</v>
      </c>
      <c r="F654" s="2">
        <v>-3.8910554929665652E-3</v>
      </c>
      <c r="G654" s="2">
        <v>-4.6520015634892817E-2</v>
      </c>
      <c r="H654" s="2">
        <v>-4.9847805727567522E-2</v>
      </c>
      <c r="I654" s="2">
        <v>-2.8987536873252302E-2</v>
      </c>
      <c r="J654" s="2">
        <v>-3.3711057342311723E-2</v>
      </c>
      <c r="K654" s="2">
        <v>-1.7485314341019499E-2</v>
      </c>
      <c r="L654" s="2">
        <v>-4.286370443178239E-2</v>
      </c>
      <c r="M654" s="2">
        <v>-1.566611674439946E-2</v>
      </c>
      <c r="N654" s="2">
        <v>-7.8637364602145762E-3</v>
      </c>
      <c r="O654" s="2">
        <v>-1.5300844955300491E-2</v>
      </c>
      <c r="P654" s="2">
        <v>1.0152371464017909E-2</v>
      </c>
      <c r="Q654" s="15">
        <f>AVERAGE(Tableau2[[#This Row],[AWB]:[IAM]])</f>
        <v>-2.3166581709290431E-2</v>
      </c>
      <c r="R654" s="15">
        <f>ABS(Tableau2[[#This Row],[Rm ]])</f>
        <v>2.3166581709290431E-2</v>
      </c>
      <c r="S654" s="15">
        <f>(Tableau2[[#This Row],[Rm ]]-Tableau2[[#Totals],[Rm ]])^2</f>
        <v>5.7399711044959329E-4</v>
      </c>
      <c r="T654" s="15">
        <f t="shared" si="20"/>
        <v>0.17922374507432434</v>
      </c>
      <c r="U654" s="15">
        <f t="shared" si="21"/>
        <v>0.11578576441107798</v>
      </c>
    </row>
    <row r="655" spans="1:21" x14ac:dyDescent="0.35">
      <c r="A655" s="10">
        <v>45828</v>
      </c>
      <c r="B655" s="2">
        <v>1.058210933053701E-2</v>
      </c>
      <c r="C655" s="2">
        <v>1.436067583388639E-2</v>
      </c>
      <c r="D655" s="2">
        <v>3.7740327982847113E-2</v>
      </c>
      <c r="E655" s="2">
        <v>5.097717071668801E-3</v>
      </c>
      <c r="F655" s="2">
        <v>1.336064021890045E-2</v>
      </c>
      <c r="G655" s="2">
        <v>5.6470346488060832E-2</v>
      </c>
      <c r="H655" s="2">
        <v>2.8479471321868701E-2</v>
      </c>
      <c r="I655" s="2">
        <v>2.8987536873252191E-2</v>
      </c>
      <c r="J655" s="2">
        <v>0</v>
      </c>
      <c r="K655" s="2">
        <v>-7.7564479358955781E-4</v>
      </c>
      <c r="L655" s="2">
        <v>5.1566979560083943E-2</v>
      </c>
      <c r="M655" s="2">
        <v>7.8637364602144513E-3</v>
      </c>
      <c r="N655" s="2">
        <v>1.2552466071119881E-2</v>
      </c>
      <c r="O655" s="2">
        <v>1.3781252781847889E-2</v>
      </c>
      <c r="P655" s="2">
        <v>1.005033585350151E-2</v>
      </c>
      <c r="Q655" s="15">
        <f>AVERAGE(Tableau2[[#This Row],[AWB]:[IAM]])</f>
        <v>1.9341196736946637E-2</v>
      </c>
      <c r="R655" s="15">
        <f>ABS(Tableau2[[#This Row],[Rm ]])</f>
        <v>1.9341196736946637E-2</v>
      </c>
      <c r="S655" s="15">
        <f>(Tableau2[[#This Row],[Rm ]]-Tableau2[[#Totals],[Rm ]])^2</f>
        <v>3.4408549537473906E-4</v>
      </c>
      <c r="T655" s="15">
        <f t="shared" si="20"/>
        <v>0.20440588692487699</v>
      </c>
      <c r="U655" s="15">
        <f t="shared" si="21"/>
        <v>0.17922374507432434</v>
      </c>
    </row>
    <row r="656" spans="1:21" x14ac:dyDescent="0.35">
      <c r="A656" s="10">
        <v>45831</v>
      </c>
      <c r="B656" s="2">
        <v>-7.5472056353829663E-3</v>
      </c>
      <c r="C656" s="2">
        <v>-7.24320806502236E-3</v>
      </c>
      <c r="D656" s="2">
        <v>-2.6267926820610191E-2</v>
      </c>
      <c r="E656" s="2">
        <v>4.8309272696655924E-3</v>
      </c>
      <c r="F656" s="2">
        <v>-3.9028386967478373E-2</v>
      </c>
      <c r="G656" s="2">
        <v>5.0032373748542483E-2</v>
      </c>
      <c r="H656" s="2">
        <v>-5.4141983908725143E-3</v>
      </c>
      <c r="I656" s="2">
        <v>-5.7306747089850953E-3</v>
      </c>
      <c r="J656" s="2">
        <v>-7.168489478612516E-3</v>
      </c>
      <c r="K656" s="2">
        <v>0</v>
      </c>
      <c r="L656" s="2">
        <v>-1.466506729120012E-2</v>
      </c>
      <c r="M656" s="2">
        <v>-1.314079356105825E-2</v>
      </c>
      <c r="N656" s="2">
        <v>-1.2552466071119969E-2</v>
      </c>
      <c r="O656" s="2">
        <v>-5.0092667090108111E-3</v>
      </c>
      <c r="P656" s="2">
        <v>0</v>
      </c>
      <c r="Q656" s="15">
        <f>AVERAGE(Tableau2[[#This Row],[AWB]:[IAM]])</f>
        <v>-5.9269588454096724E-3</v>
      </c>
      <c r="R656" s="15">
        <f>ABS(Tableau2[[#This Row],[Rm ]])</f>
        <v>5.9269588454096724E-3</v>
      </c>
      <c r="S656" s="15">
        <f>(Tableau2[[#This Row],[Rm ]]-Tableau2[[#Totals],[Rm ]])^2</f>
        <v>4.5139773190287453E-5</v>
      </c>
      <c r="T656" s="15">
        <f t="shared" si="20"/>
        <v>0.15486391799869903</v>
      </c>
      <c r="U656" s="15">
        <f t="shared" si="21"/>
        <v>0.20440588692487699</v>
      </c>
    </row>
    <row r="657" spans="1:21" x14ac:dyDescent="0.35">
      <c r="A657" s="10">
        <v>45832</v>
      </c>
      <c r="B657" s="2">
        <v>2.9852963149681128E-2</v>
      </c>
      <c r="C657" s="2">
        <v>3.8265538078953609E-2</v>
      </c>
      <c r="D657" s="2">
        <v>3.3648034118232729E-2</v>
      </c>
      <c r="E657" s="2">
        <v>7.6095281792064838E-3</v>
      </c>
      <c r="F657" s="2">
        <v>3.9220713153281329E-2</v>
      </c>
      <c r="G657" s="2">
        <v>5.2127706442938217E-2</v>
      </c>
      <c r="H657" s="2">
        <v>4.3554414410399672E-2</v>
      </c>
      <c r="I657" s="2">
        <v>5.3159368280096063E-2</v>
      </c>
      <c r="J657" s="2">
        <v>7.168489478612497E-3</v>
      </c>
      <c r="K657" s="2">
        <v>-9.7040279327851643E-4</v>
      </c>
      <c r="L657" s="2">
        <v>5.9617921628984157E-3</v>
      </c>
      <c r="M657" s="2">
        <v>5.3064212159106762E-2</v>
      </c>
      <c r="N657" s="2">
        <v>2.3408090898014801E-2</v>
      </c>
      <c r="O657" s="2">
        <v>4.3573053689556262E-3</v>
      </c>
      <c r="P657" s="2">
        <v>0</v>
      </c>
      <c r="Q657" s="15">
        <f>AVERAGE(Tableau2[[#This Row],[AWB]:[IAM]])</f>
        <v>2.6028516872473255E-2</v>
      </c>
      <c r="R657" s="15">
        <f>ABS(Tableau2[[#This Row],[Rm ]])</f>
        <v>2.6028516872473255E-2</v>
      </c>
      <c r="S657" s="15">
        <f>(Tableau2[[#This Row],[Rm ]]-Tableau2[[#Totals],[Rm ]])^2</f>
        <v>6.3689919271327786E-4</v>
      </c>
      <c r="T657" s="15">
        <f t="shared" si="20"/>
        <v>0.24503634721149861</v>
      </c>
      <c r="U657" s="15">
        <f t="shared" si="21"/>
        <v>0.15486391799869903</v>
      </c>
    </row>
    <row r="658" spans="1:21" x14ac:dyDescent="0.35">
      <c r="A658" s="10">
        <v>45833</v>
      </c>
      <c r="B658" s="2">
        <v>7.617968279812609E-3</v>
      </c>
      <c r="C658" s="2">
        <v>0</v>
      </c>
      <c r="D658" s="2">
        <v>0</v>
      </c>
      <c r="E658" s="2">
        <v>3.4918961257220132E-2</v>
      </c>
      <c r="F658" s="2">
        <v>0</v>
      </c>
      <c r="G658" s="2">
        <v>-1.2197602650757049E-3</v>
      </c>
      <c r="H658" s="2">
        <v>8.2816208317220176E-3</v>
      </c>
      <c r="I658" s="2">
        <v>5.4347959859567746E-3</v>
      </c>
      <c r="J658" s="2">
        <v>3.3711057342311883E-2</v>
      </c>
      <c r="K658" s="2">
        <v>1.9231361927887589E-2</v>
      </c>
      <c r="L658" s="2">
        <v>1.3889112160667089E-2</v>
      </c>
      <c r="M658" s="2">
        <v>-1.1607498480760481E-2</v>
      </c>
      <c r="N658" s="2">
        <v>1.378627911003413E-2</v>
      </c>
      <c r="O658" s="2">
        <v>2.2144299467861631E-2</v>
      </c>
      <c r="P658" s="2">
        <v>0</v>
      </c>
      <c r="Q658" s="15">
        <f>AVERAGE(Tableau2[[#This Row],[AWB]:[IAM]])</f>
        <v>9.745879841175845E-3</v>
      </c>
      <c r="R658" s="15">
        <f>ABS(Tableau2[[#This Row],[Rm ]])</f>
        <v>9.745879841175845E-3</v>
      </c>
      <c r="S658" s="15">
        <f>(Tableau2[[#This Row],[Rm ]]-Tableau2[[#Totals],[Rm ]])^2</f>
        <v>8.0178140924948256E-5</v>
      </c>
      <c r="T658" s="15">
        <f t="shared" si="20"/>
        <v>0.14931542991942398</v>
      </c>
      <c r="U658" s="15">
        <f t="shared" si="21"/>
        <v>0.24503634721149861</v>
      </c>
    </row>
    <row r="659" spans="1:21" x14ac:dyDescent="0.35">
      <c r="A659" s="10">
        <v>45834</v>
      </c>
      <c r="B659" s="2">
        <v>1.1319232739938311E-2</v>
      </c>
      <c r="C659" s="2">
        <v>-1.339995999476682E-2</v>
      </c>
      <c r="D659" s="2">
        <v>6.9610099730350221E-3</v>
      </c>
      <c r="E659" s="2">
        <v>-1.1426837760777979E-2</v>
      </c>
      <c r="F659" s="2">
        <v>1.715962028282628E-2</v>
      </c>
      <c r="G659" s="2">
        <v>0</v>
      </c>
      <c r="H659" s="2">
        <v>2.0597329630105618E-3</v>
      </c>
      <c r="I659" s="2">
        <v>-8.1333880042839591E-4</v>
      </c>
      <c r="J659" s="2">
        <v>3.5281814144639607E-2</v>
      </c>
      <c r="K659" s="2">
        <v>-2.8612322810322348E-3</v>
      </c>
      <c r="L659" s="2">
        <v>0</v>
      </c>
      <c r="M659" s="2">
        <v>0</v>
      </c>
      <c r="N659" s="2">
        <v>-2.6723070140753511E-2</v>
      </c>
      <c r="O659" s="2">
        <v>-2.2144299467861679E-2</v>
      </c>
      <c r="P659" s="2">
        <v>-5.0125418235443982E-3</v>
      </c>
      <c r="Q659" s="15">
        <f>AVERAGE(Tableau2[[#This Row],[AWB]:[IAM]])</f>
        <v>-6.399913443810158E-4</v>
      </c>
      <c r="R659" s="15">
        <f>ABS(Tableau2[[#This Row],[Rm ]])</f>
        <v>6.399913443810158E-4</v>
      </c>
      <c r="S659" s="15">
        <f>(Tableau2[[#This Row],[Rm ]]-Tableau2[[#Totals],[Rm ]])^2</f>
        <v>2.0496115082188662E-6</v>
      </c>
      <c r="T659" s="15">
        <f t="shared" si="20"/>
        <v>0.15172163460311</v>
      </c>
      <c r="U659" s="15">
        <f t="shared" si="21"/>
        <v>0.14931542991942398</v>
      </c>
    </row>
    <row r="660" spans="1:21" x14ac:dyDescent="0.35">
      <c r="A660" s="10">
        <v>45838</v>
      </c>
      <c r="B660" s="2">
        <v>-1.8937201019750841E-2</v>
      </c>
      <c r="C660" s="2">
        <v>3.10827395821924E-3</v>
      </c>
      <c r="D660" s="2">
        <v>2.2026526900217221E-2</v>
      </c>
      <c r="E660" s="2">
        <v>-4.70841152184319E-2</v>
      </c>
      <c r="F660" s="2">
        <v>-7.5901692666755956E-3</v>
      </c>
      <c r="G660" s="2">
        <v>1.694272073031192E-2</v>
      </c>
      <c r="H660" s="2">
        <v>-2.289381986585251E-2</v>
      </c>
      <c r="I660" s="2">
        <v>3.2493935983096112E-3</v>
      </c>
      <c r="J660" s="2">
        <v>-5.4808236494995027E-2</v>
      </c>
      <c r="K660" s="2">
        <v>-6.7082187351185296E-3</v>
      </c>
      <c r="L660" s="2">
        <v>-3.5091319811270061E-2</v>
      </c>
      <c r="M660" s="2">
        <v>3.9806250400419567E-2</v>
      </c>
      <c r="N660" s="2">
        <v>2.6007817000574399E-3</v>
      </c>
      <c r="O660" s="2">
        <v>2.1506205220963678E-2</v>
      </c>
      <c r="P660" s="2">
        <v>5.0125418235444138E-3</v>
      </c>
      <c r="Q660" s="15">
        <f>AVERAGE(Tableau2[[#This Row],[AWB]:[IAM]])</f>
        <v>-5.2573590720034237E-3</v>
      </c>
      <c r="R660" s="15">
        <f>ABS(Tableau2[[#This Row],[Rm ]])</f>
        <v>5.2573590720034237E-3</v>
      </c>
      <c r="S660" s="15">
        <f>(Tableau2[[#This Row],[Rm ]]-Tableau2[[#Totals],[Rm ]])^2</f>
        <v>3.6590572311596077E-5</v>
      </c>
      <c r="T660" s="15">
        <f t="shared" si="20"/>
        <v>0.30303789298029638</v>
      </c>
      <c r="U660" s="15">
        <f t="shared" si="21"/>
        <v>0.15172163460311</v>
      </c>
    </row>
    <row r="661" spans="1:21" x14ac:dyDescent="0.35">
      <c r="A661" s="10">
        <v>45841</v>
      </c>
      <c r="B661" s="2">
        <v>1.4598799421152629E-2</v>
      </c>
      <c r="C661" s="2">
        <v>5.5499951228177233E-2</v>
      </c>
      <c r="D661" s="2">
        <v>-3.5997342370679607E-2</v>
      </c>
      <c r="E661" s="2">
        <v>2.783959988372104E-2</v>
      </c>
      <c r="F661" s="2">
        <v>4.7506027585977988E-3</v>
      </c>
      <c r="G661" s="2">
        <v>-7.6290271644911629E-3</v>
      </c>
      <c r="H661" s="2">
        <v>3.5163912457666972E-2</v>
      </c>
      <c r="I661" s="2">
        <v>-2.4077770554996339E-2</v>
      </c>
      <c r="J661" s="2">
        <v>1.398624197473987E-2</v>
      </c>
      <c r="K661" s="2">
        <v>3.5886759333524212E-2</v>
      </c>
      <c r="L661" s="2">
        <v>3.5091319811270193E-2</v>
      </c>
      <c r="M661" s="2">
        <v>7.290433262679274E-3</v>
      </c>
      <c r="N661" s="2">
        <v>1.2903404835907781E-2</v>
      </c>
      <c r="O661" s="2">
        <v>6.4870912697886016E-2</v>
      </c>
      <c r="P661" s="2">
        <v>1.980262729617973E-2</v>
      </c>
      <c r="Q661" s="15">
        <f>AVERAGE(Tableau2[[#This Row],[AWB]:[IAM]])</f>
        <v>1.7332028324755711E-2</v>
      </c>
      <c r="R661" s="15">
        <f>ABS(Tableau2[[#This Row],[Rm ]])</f>
        <v>1.7332028324755711E-2</v>
      </c>
      <c r="S661" s="15">
        <f>(Tableau2[[#This Row],[Rm ]]-Tableau2[[#Totals],[Rm ]])^2</f>
        <v>2.7358394680113807E-4</v>
      </c>
      <c r="T661" s="15">
        <f t="shared" si="20"/>
        <v>0.30335587649694173</v>
      </c>
      <c r="U661" s="15">
        <f t="shared" si="21"/>
        <v>0.30303789298029638</v>
      </c>
    </row>
    <row r="662" spans="1:21" x14ac:dyDescent="0.35">
      <c r="A662" s="10">
        <v>45842</v>
      </c>
      <c r="B662" s="2">
        <v>4.3384015985981411E-3</v>
      </c>
      <c r="C662" s="2">
        <v>-1.7957722563161579E-3</v>
      </c>
      <c r="D662" s="2">
        <v>1.0679534386389701E-2</v>
      </c>
      <c r="E662" s="2">
        <v>-2.397849687328266E-2</v>
      </c>
      <c r="F662" s="2">
        <v>4.7281411959458957E-3</v>
      </c>
      <c r="G662" s="2">
        <v>6.2117212448560798E-2</v>
      </c>
      <c r="H662" s="2">
        <v>-4.0733253876357864E-3</v>
      </c>
      <c r="I662" s="2">
        <v>-2.7731576285825602E-3</v>
      </c>
      <c r="J662" s="2">
        <v>1.345079772412304E-2</v>
      </c>
      <c r="K662" s="2">
        <v>0</v>
      </c>
      <c r="L662" s="2">
        <v>6.8728792877620496E-3</v>
      </c>
      <c r="M662" s="2">
        <v>0</v>
      </c>
      <c r="N662" s="2">
        <v>-1.0309369658861209E-2</v>
      </c>
      <c r="O662" s="2">
        <v>5.3694073518291566E-3</v>
      </c>
      <c r="P662" s="2">
        <v>0</v>
      </c>
      <c r="Q662" s="15">
        <f>AVERAGE(Tableau2[[#This Row],[AWB]:[IAM]])</f>
        <v>4.3084168125686936E-3</v>
      </c>
      <c r="R662" s="15">
        <f>ABS(Tableau2[[#This Row],[Rm ]])</f>
        <v>4.3084168125686936E-3</v>
      </c>
      <c r="S662" s="15">
        <f>(Tableau2[[#This Row],[Rm ]]-Tableau2[[#Totals],[Rm ]])^2</f>
        <v>1.2367613025255306E-5</v>
      </c>
      <c r="T662" s="15">
        <f t="shared" si="20"/>
        <v>0.15077372358539173</v>
      </c>
      <c r="U662" s="15">
        <f t="shared" si="21"/>
        <v>0.30335587649694173</v>
      </c>
    </row>
    <row r="663" spans="1:21" x14ac:dyDescent="0.35">
      <c r="A663" s="10">
        <v>45845</v>
      </c>
      <c r="B663" s="2">
        <v>1.005033585350151E-2</v>
      </c>
      <c r="C663" s="2">
        <v>2.261808858777236E-2</v>
      </c>
      <c r="D663" s="2">
        <v>5.4794657646255714E-3</v>
      </c>
      <c r="E663" s="2">
        <v>0</v>
      </c>
      <c r="F663" s="2">
        <v>-1.888574687868136E-3</v>
      </c>
      <c r="G663" s="2">
        <v>1.50378773645405E-2</v>
      </c>
      <c r="H663" s="2">
        <v>3.0565484825488742E-3</v>
      </c>
      <c r="I663" s="2">
        <v>4.7098023063652404E-3</v>
      </c>
      <c r="J663" s="2">
        <v>-3.09643802168314E-2</v>
      </c>
      <c r="K663" s="2">
        <v>1.853568649322835E-3</v>
      </c>
      <c r="L663" s="2">
        <v>-7.2177663406719772E-3</v>
      </c>
      <c r="M663" s="2">
        <v>1.6807118316381191E-2</v>
      </c>
      <c r="N663" s="2">
        <v>2.0703941143084951E-3</v>
      </c>
      <c r="O663" s="2">
        <v>-3.9674668245080009E-4</v>
      </c>
      <c r="P663" s="2">
        <v>0</v>
      </c>
      <c r="Q663" s="15">
        <f>AVERAGE(Tableau2[[#This Row],[AWB]:[IAM]])</f>
        <v>2.747715434102951E-3</v>
      </c>
      <c r="R663" s="15">
        <f>ABS(Tableau2[[#This Row],[Rm ]])</f>
        <v>2.747715434102951E-3</v>
      </c>
      <c r="S663" s="15">
        <f>(Tableau2[[#This Row],[Rm ]]-Tableau2[[#Totals],[Rm ]])^2</f>
        <v>3.8261720764082943E-6</v>
      </c>
      <c r="T663" s="15">
        <f t="shared" si="20"/>
        <v>0.11448592286886643</v>
      </c>
      <c r="U663" s="15">
        <f t="shared" si="21"/>
        <v>0.15077372358539173</v>
      </c>
    </row>
    <row r="664" spans="1:21" x14ac:dyDescent="0.35">
      <c r="A664" s="10">
        <v>45847</v>
      </c>
      <c r="B664" s="2">
        <v>-2.8575510981706891E-4</v>
      </c>
      <c r="C664" s="2">
        <v>6.3694482854799294E-3</v>
      </c>
      <c r="D664" s="2">
        <v>-3.1454952167886248E-2</v>
      </c>
      <c r="E664" s="2">
        <v>-1.474228173720343E-2</v>
      </c>
      <c r="F664" s="2">
        <v>1.8885746878681551E-3</v>
      </c>
      <c r="G664" s="2">
        <v>-4.191089561563683E-2</v>
      </c>
      <c r="H664" s="2">
        <v>1.714615883497058E-2</v>
      </c>
      <c r="I664" s="2">
        <v>-7.2122365331501884E-3</v>
      </c>
      <c r="J664" s="2">
        <v>1.7513582492708211E-2</v>
      </c>
      <c r="K664" s="2">
        <v>-2.781642961876803E-3</v>
      </c>
      <c r="L664" s="2">
        <v>-4.147949258720438E-3</v>
      </c>
      <c r="M664" s="2">
        <v>0</v>
      </c>
      <c r="N664" s="2">
        <v>1.079979640622653E-2</v>
      </c>
      <c r="O664" s="2">
        <v>3.4516441956978519E-2</v>
      </c>
      <c r="P664" s="2">
        <v>9.7561749453648743E-3</v>
      </c>
      <c r="Q664" s="15">
        <f>AVERAGE(Tableau2[[#This Row],[AWB]:[IAM]])</f>
        <v>-3.0303571831294683E-4</v>
      </c>
      <c r="R664" s="15">
        <f>ABS(Tableau2[[#This Row],[Rm ]])</f>
        <v>3.0303571831294683E-4</v>
      </c>
      <c r="S664" s="15">
        <f>(Tableau2[[#This Row],[Rm ]]-Tableau2[[#Totals],[Rm ]])^2</f>
        <v>1.1983479620910003E-6</v>
      </c>
      <c r="T664" s="15">
        <f t="shared" si="20"/>
        <v>0.19147489130975986</v>
      </c>
      <c r="U664" s="15">
        <f t="shared" si="21"/>
        <v>0.11448592286886643</v>
      </c>
    </row>
    <row r="665" spans="1:21" x14ac:dyDescent="0.35">
      <c r="A665" s="10">
        <v>45848</v>
      </c>
      <c r="B665" s="2">
        <v>2.85755109817146E-4</v>
      </c>
      <c r="C665" s="2">
        <v>3.125254350410453E-2</v>
      </c>
      <c r="D665" s="2">
        <v>5.6232575543622614E-3</v>
      </c>
      <c r="E665" s="2">
        <v>-1.9821612039912112E-3</v>
      </c>
      <c r="F665" s="2">
        <v>0</v>
      </c>
      <c r="G665" s="2">
        <v>1.3142825439194331E-2</v>
      </c>
      <c r="H665" s="2">
        <v>-1.3896105192111241E-2</v>
      </c>
      <c r="I665" s="2">
        <v>-5.5694793976576566E-4</v>
      </c>
      <c r="J665" s="2">
        <v>-1.3986241974739839E-2</v>
      </c>
      <c r="K665" s="2">
        <v>0</v>
      </c>
      <c r="L665" s="2">
        <v>-2.4276065329435258E-3</v>
      </c>
      <c r="M665" s="2">
        <v>-2.117499713645863E-2</v>
      </c>
      <c r="N665" s="2">
        <v>-2.5608208616737039E-3</v>
      </c>
      <c r="O665" s="2">
        <v>-2.1897977997767042E-2</v>
      </c>
      <c r="P665" s="2">
        <v>-9.756174945364798E-3</v>
      </c>
      <c r="Q665" s="15">
        <f>AVERAGE(Tableau2[[#This Row],[AWB]:[IAM]])</f>
        <v>-2.528976811822499E-3</v>
      </c>
      <c r="R665" s="15">
        <f>ABS(Tableau2[[#This Row],[Rm ]])</f>
        <v>2.528976811822499E-3</v>
      </c>
      <c r="S665" s="15">
        <f>(Tableau2[[#This Row],[Rm ]]-Tableau2[[#Totals],[Rm ]])^2</f>
        <v>1.1026596216135716E-5</v>
      </c>
      <c r="T665" s="15">
        <f t="shared" si="20"/>
        <v>0.12945152954972103</v>
      </c>
      <c r="U665" s="15">
        <f t="shared" si="21"/>
        <v>0.19147489130975986</v>
      </c>
    </row>
    <row r="666" spans="1:21" x14ac:dyDescent="0.35">
      <c r="A666" s="10">
        <v>45852</v>
      </c>
      <c r="B666" s="2">
        <v>0</v>
      </c>
      <c r="C666" s="2">
        <v>2.731581064696292E-2</v>
      </c>
      <c r="D666" s="2">
        <v>-5.62325755436212E-3</v>
      </c>
      <c r="E666" s="2">
        <v>9.3804686854362055E-3</v>
      </c>
      <c r="F666" s="2">
        <v>-1.520941866352879E-2</v>
      </c>
      <c r="G666" s="2">
        <v>1.1454878974766391E-2</v>
      </c>
      <c r="H666" s="2">
        <v>2.7340404859192489E-3</v>
      </c>
      <c r="I666" s="2">
        <v>-1.114827317246397E-3</v>
      </c>
      <c r="J666" s="2">
        <v>1.398624197473987E-2</v>
      </c>
      <c r="K666" s="2">
        <v>-1.5910490050275679E-2</v>
      </c>
      <c r="L666" s="2">
        <v>1.6870773697741859E-2</v>
      </c>
      <c r="M666" s="2">
        <v>2.0222162381186692E-2</v>
      </c>
      <c r="N666" s="2">
        <v>-9.2736367853292132E-3</v>
      </c>
      <c r="O666" s="2">
        <v>1.091203345098272E-2</v>
      </c>
      <c r="P666" s="2">
        <v>-9.8522964430115944E-3</v>
      </c>
      <c r="Q666" s="15">
        <f>AVERAGE(Tableau2[[#This Row],[AWB]:[IAM]])</f>
        <v>3.7261655655988074E-3</v>
      </c>
      <c r="R666" s="15">
        <f>ABS(Tableau2[[#This Row],[Rm ]])</f>
        <v>3.7261655655988074E-3</v>
      </c>
      <c r="S666" s="15">
        <f>(Tableau2[[#This Row],[Rm ]]-Tableau2[[#Totals],[Rm ]])^2</f>
        <v>8.6113517413547717E-6</v>
      </c>
      <c r="T666" s="15">
        <f t="shared" si="20"/>
        <v>0.15544519049721364</v>
      </c>
      <c r="U666" s="15">
        <f t="shared" si="21"/>
        <v>0.12945152954972103</v>
      </c>
    </row>
    <row r="667" spans="1:21" x14ac:dyDescent="0.35">
      <c r="A667" s="10">
        <v>45853</v>
      </c>
      <c r="B667" s="2">
        <v>-2.8575510981706891E-4</v>
      </c>
      <c r="C667" s="2">
        <v>-7.4568695497508497E-2</v>
      </c>
      <c r="D667" s="2">
        <v>-6.7899166934741358E-3</v>
      </c>
      <c r="E667" s="2">
        <v>0</v>
      </c>
      <c r="F667" s="2">
        <v>5.7306747089850736E-3</v>
      </c>
      <c r="G667" s="2">
        <v>-2.071420438756311E-2</v>
      </c>
      <c r="H667" s="2">
        <v>-9.0406426113275404E-3</v>
      </c>
      <c r="I667" s="2">
        <v>-1.6745747703323E-3</v>
      </c>
      <c r="J667" s="2">
        <v>-6.9468568267848504E-4</v>
      </c>
      <c r="K667" s="2">
        <v>8.4547239189324518E-3</v>
      </c>
      <c r="L667" s="2">
        <v>4.7684014057393391E-3</v>
      </c>
      <c r="M667" s="2">
        <v>0</v>
      </c>
      <c r="N667" s="2">
        <v>-1.145249373178775E-2</v>
      </c>
      <c r="O667" s="2">
        <v>-5.8309203107932096E-3</v>
      </c>
      <c r="P667" s="2">
        <v>0</v>
      </c>
      <c r="Q667" s="15">
        <f>AVERAGE(Tableau2[[#This Row],[AWB]:[IAM]])</f>
        <v>-7.4732059174416826E-3</v>
      </c>
      <c r="R667" s="15">
        <f>ABS(Tableau2[[#This Row],[Rm ]])</f>
        <v>7.4732059174416826E-3</v>
      </c>
      <c r="S667" s="15">
        <f>(Tableau2[[#This Row],[Rm ]]-Tableau2[[#Totals],[Rm ]])^2</f>
        <v>6.8307927444290537E-5</v>
      </c>
      <c r="T667" s="15">
        <f t="shared" si="20"/>
        <v>0.16479143292722809</v>
      </c>
      <c r="U667" s="15">
        <f t="shared" si="21"/>
        <v>0.15544519049721364</v>
      </c>
    </row>
    <row r="668" spans="1:21" x14ac:dyDescent="0.35">
      <c r="A668" s="10">
        <v>45854</v>
      </c>
      <c r="B668" s="2">
        <v>2.85755109817146E-4</v>
      </c>
      <c r="C668" s="2">
        <v>3.2206147000421572E-3</v>
      </c>
      <c r="D668" s="2">
        <v>-7.5728894190869108E-4</v>
      </c>
      <c r="E668" s="2">
        <v>2.453988961566787E-3</v>
      </c>
      <c r="F668" s="2">
        <v>9.519277253821558E-4</v>
      </c>
      <c r="G668" s="2">
        <v>-1.091203345098265E-2</v>
      </c>
      <c r="H668" s="2">
        <v>-1.232048438804062E-2</v>
      </c>
      <c r="I668" s="2">
        <v>-5.6022555486696752E-3</v>
      </c>
      <c r="J668" s="2">
        <v>0</v>
      </c>
      <c r="K668" s="2">
        <v>-1.8710824266399311E-4</v>
      </c>
      <c r="L668" s="2">
        <v>1.1822465010481431E-2</v>
      </c>
      <c r="M668" s="2">
        <v>1.27872924022747E-2</v>
      </c>
      <c r="N668" s="2">
        <v>4.7009749670243756E-3</v>
      </c>
      <c r="O668" s="2">
        <v>-5.4730394630585801E-3</v>
      </c>
      <c r="P668" s="2">
        <v>0</v>
      </c>
      <c r="Q668" s="15">
        <f>AVERAGE(Tableau2[[#This Row],[AWB]:[IAM]])</f>
        <v>6.4720589417636162E-5</v>
      </c>
      <c r="R668" s="15">
        <f>ABS(Tableau2[[#This Row],[Rm ]])</f>
        <v>6.4720589417636162E-5</v>
      </c>
      <c r="S668" s="15">
        <f>(Tableau2[[#This Row],[Rm ]]-Tableau2[[#Totals],[Rm ]])^2</f>
        <v>5.2843376567072958E-7</v>
      </c>
      <c r="T668" s="15">
        <f t="shared" si="20"/>
        <v>7.1479543617874133E-2</v>
      </c>
      <c r="U668" s="15">
        <f t="shared" si="21"/>
        <v>0.16479143292722809</v>
      </c>
    </row>
    <row r="669" spans="1:21" x14ac:dyDescent="0.35">
      <c r="A669" s="10">
        <v>45855</v>
      </c>
      <c r="B669" s="2">
        <v>0</v>
      </c>
      <c r="C669" s="2">
        <v>1.2779726646399019E-2</v>
      </c>
      <c r="D669" s="2">
        <v>-1.137009787075236E-3</v>
      </c>
      <c r="E669" s="2">
        <v>0</v>
      </c>
      <c r="F669" s="2">
        <v>8.5268162291617985E-3</v>
      </c>
      <c r="G669" s="2">
        <v>9.5238931897202075E-2</v>
      </c>
      <c r="H669" s="2">
        <v>1.232048438804066E-2</v>
      </c>
      <c r="I669" s="2">
        <v>1.117330059812525E-2</v>
      </c>
      <c r="J669" s="2">
        <v>-2.2133346873522371E-2</v>
      </c>
      <c r="K669" s="2">
        <v>0</v>
      </c>
      <c r="L669" s="2">
        <v>-9.446763910088786E-3</v>
      </c>
      <c r="M669" s="2">
        <v>1.1696039763191239E-2</v>
      </c>
      <c r="N669" s="2">
        <v>2.062992193684083E-2</v>
      </c>
      <c r="O669" s="2">
        <v>1.9026005867762021E-2</v>
      </c>
      <c r="P669" s="2">
        <v>0</v>
      </c>
      <c r="Q669" s="15">
        <f>AVERAGE(Tableau2[[#This Row],[AWB]:[IAM]])</f>
        <v>1.0578273783735766E-2</v>
      </c>
      <c r="R669" s="15">
        <f>ABS(Tableau2[[#This Row],[Rm ]])</f>
        <v>1.0578273783735766E-2</v>
      </c>
      <c r="S669" s="15">
        <f>(Tableau2[[#This Row],[Rm ]]-Tableau2[[#Totals],[Rm ]])^2</f>
        <v>9.5777905489780475E-5</v>
      </c>
      <c r="T669" s="15">
        <f t="shared" si="20"/>
        <v>0.20775993369133475</v>
      </c>
      <c r="U669" s="15">
        <f t="shared" si="21"/>
        <v>7.1479543617874133E-2</v>
      </c>
    </row>
    <row r="670" spans="1:21" x14ac:dyDescent="0.35">
      <c r="A670" s="10">
        <v>45856</v>
      </c>
      <c r="B670" s="2">
        <v>3.5091319811270193E-2</v>
      </c>
      <c r="C670" s="2">
        <v>0</v>
      </c>
      <c r="D670" s="2">
        <v>1.9341509896446289E-2</v>
      </c>
      <c r="E670" s="2">
        <v>5.1338579938518501E-3</v>
      </c>
      <c r="F670" s="2">
        <v>3.7041271680349083E-2</v>
      </c>
      <c r="G670" s="2">
        <v>1.309521456124902E-2</v>
      </c>
      <c r="H670" s="2">
        <v>-2.06192872027357E-2</v>
      </c>
      <c r="I670" s="2">
        <v>2.4692612590371411E-2</v>
      </c>
      <c r="J670" s="2">
        <v>-5.3428444104954686E-3</v>
      </c>
      <c r="K670" s="2">
        <v>-4.6891204741640229E-3</v>
      </c>
      <c r="L670" s="2">
        <v>1.179457649283688E-2</v>
      </c>
      <c r="M670" s="2">
        <v>-4.2761859338081701E-2</v>
      </c>
      <c r="N670" s="2">
        <v>5.103342800221258E-4</v>
      </c>
      <c r="O670" s="2">
        <v>2.281467776617126E-2</v>
      </c>
      <c r="P670" s="2">
        <v>9.8522964430116395E-3</v>
      </c>
      <c r="Q670" s="15">
        <f>AVERAGE(Tableau2[[#This Row],[AWB]:[IAM]])</f>
        <v>7.0636373393401916E-3</v>
      </c>
      <c r="R670" s="15">
        <f>ABS(Tableau2[[#This Row],[Rm ]])</f>
        <v>7.0636373393401916E-3</v>
      </c>
      <c r="S670" s="15">
        <f>(Tableau2[[#This Row],[Rm ]]-Tableau2[[#Totals],[Rm ]])^2</f>
        <v>3.9337761357316798E-5</v>
      </c>
      <c r="T670" s="15">
        <f t="shared" si="20"/>
        <v>0.23182601255720847</v>
      </c>
      <c r="U670" s="15">
        <f t="shared" si="21"/>
        <v>0.20775993369133475</v>
      </c>
    </row>
    <row r="671" spans="1:21" x14ac:dyDescent="0.35">
      <c r="A671" s="10">
        <v>45859</v>
      </c>
      <c r="B671" s="2">
        <v>-9.7020858064505913E-3</v>
      </c>
      <c r="C671" s="2">
        <v>3.278982282299097E-2</v>
      </c>
      <c r="D671" s="2">
        <v>-1.404648996070723E-2</v>
      </c>
      <c r="E671" s="2">
        <v>4.6223169515127492E-3</v>
      </c>
      <c r="F671" s="2">
        <v>-1.819836716985983E-3</v>
      </c>
      <c r="G671" s="2">
        <v>2.7056801387513291E-2</v>
      </c>
      <c r="H671" s="2">
        <v>4.3654575096399983E-3</v>
      </c>
      <c r="I671" s="2">
        <v>-9.5303648506939887E-3</v>
      </c>
      <c r="J671" s="2">
        <v>2.1202207650602909E-2</v>
      </c>
      <c r="K671" s="2">
        <v>-1.880229393524799E-4</v>
      </c>
      <c r="L671" s="2">
        <v>3.1329850140917638E-2</v>
      </c>
      <c r="M671" s="2">
        <v>1.8755058037006191E-2</v>
      </c>
      <c r="N671" s="2">
        <v>5.0890695074712281E-3</v>
      </c>
      <c r="O671" s="2">
        <v>-4.655582007106629E-2</v>
      </c>
      <c r="P671" s="2">
        <v>2.8987536873252409E-2</v>
      </c>
      <c r="Q671" s="15">
        <f>AVERAGE(Tableau2[[#This Row],[AWB]:[IAM]])</f>
        <v>6.157033369043388E-3</v>
      </c>
      <c r="R671" s="15">
        <f>ABS(Tableau2[[#This Row],[Rm ]])</f>
        <v>6.157033369043388E-3</v>
      </c>
      <c r="S671" s="15">
        <f>(Tableau2[[#This Row],[Rm ]]-Tableau2[[#Totals],[Rm ]])^2</f>
        <v>2.8787284095433191E-5</v>
      </c>
      <c r="T671" s="15">
        <f t="shared" si="20"/>
        <v>0.22504968345878443</v>
      </c>
      <c r="U671" s="15">
        <f t="shared" si="21"/>
        <v>0.23182601255720847</v>
      </c>
    </row>
    <row r="672" spans="1:21" x14ac:dyDescent="0.35">
      <c r="A672" s="10">
        <v>45861</v>
      </c>
      <c r="B672" s="2">
        <v>-1.120459901286313E-2</v>
      </c>
      <c r="C672" s="2">
        <v>1.3427116585911629E-2</v>
      </c>
      <c r="D672" s="2">
        <v>-1.080886601857335E-2</v>
      </c>
      <c r="E672" s="2">
        <v>7.2551708811720156E-3</v>
      </c>
      <c r="F672" s="2">
        <v>1.8198367169858991E-3</v>
      </c>
      <c r="G672" s="2">
        <v>-2.1446688496746479E-2</v>
      </c>
      <c r="H672" s="2">
        <v>-1.6944239716500172E-2</v>
      </c>
      <c r="I672" s="2">
        <v>-1.516224773967741E-2</v>
      </c>
      <c r="J672" s="2">
        <v>9.7425961988186205E-3</v>
      </c>
      <c r="K672" s="2">
        <v>2.0663104938170342E-3</v>
      </c>
      <c r="L672" s="2">
        <v>-1.7027261410280711E-2</v>
      </c>
      <c r="M672" s="2">
        <v>0</v>
      </c>
      <c r="N672" s="2">
        <v>5.0748542068593629E-4</v>
      </c>
      <c r="O672" s="2">
        <v>-3.9772263417430898E-2</v>
      </c>
      <c r="P672" s="2">
        <v>3.7387532071620412E-2</v>
      </c>
      <c r="Q672" s="15">
        <f>AVERAGE(Tableau2[[#This Row],[AWB]:[IAM]])</f>
        <v>-4.0106744962040393E-3</v>
      </c>
      <c r="R672" s="15">
        <f>ABS(Tableau2[[#This Row],[Rm ]])</f>
        <v>4.0106744962040393E-3</v>
      </c>
      <c r="S672" s="15">
        <f>(Tableau2[[#This Row],[Rm ]]-Tableau2[[#Totals],[Rm ]])^2</f>
        <v>2.3062369438238258E-5</v>
      </c>
      <c r="T672" s="15">
        <f t="shared" si="20"/>
        <v>0.16994456254731827</v>
      </c>
      <c r="U672" s="15">
        <f t="shared" si="21"/>
        <v>0.22504968345878443</v>
      </c>
    </row>
    <row r="673" spans="1:21" x14ac:dyDescent="0.35">
      <c r="A673" s="10">
        <v>45862</v>
      </c>
      <c r="B673" s="2">
        <v>2.7779564107075671E-2</v>
      </c>
      <c r="C673" s="2">
        <v>3.3287971425272739E-3</v>
      </c>
      <c r="D673" s="2">
        <v>1.043157870981572E-2</v>
      </c>
      <c r="E673" s="2">
        <v>4.6952561722851491E-2</v>
      </c>
      <c r="F673" s="2">
        <v>1.264696170076739E-2</v>
      </c>
      <c r="G673" s="2">
        <v>-7.0175726586465346E-3</v>
      </c>
      <c r="H673" s="2">
        <v>-1.9005390579740029E-3</v>
      </c>
      <c r="I673" s="2">
        <v>-4.1753714104806206E-3</v>
      </c>
      <c r="J673" s="2">
        <v>-2.3827336080557569E-2</v>
      </c>
      <c r="K673" s="2">
        <v>-5.4567827565690733E-3</v>
      </c>
      <c r="L673" s="2">
        <v>-9.6234358083303363E-3</v>
      </c>
      <c r="M673" s="2">
        <v>-7.1719169473754849E-3</v>
      </c>
      <c r="N673" s="2">
        <v>-5.0748542068606802E-4</v>
      </c>
      <c r="O673" s="2">
        <v>-8.23049913651548E-3</v>
      </c>
      <c r="P673" s="2">
        <v>0</v>
      </c>
      <c r="Q673" s="15">
        <f>AVERAGE(Tableau2[[#This Row],[AWB]:[IAM]])</f>
        <v>2.2152349403934909E-3</v>
      </c>
      <c r="R673" s="15">
        <f>ABS(Tableau2[[#This Row],[Rm ]])</f>
        <v>2.2152349403934909E-3</v>
      </c>
      <c r="S673" s="15">
        <f>(Tableau2[[#This Row],[Rm ]]-Tableau2[[#Totals],[Rm ]])^2</f>
        <v>2.0265795952759972E-6</v>
      </c>
      <c r="T673" s="15">
        <f t="shared" si="20"/>
        <v>0.1780590247511063</v>
      </c>
      <c r="U673" s="15">
        <f t="shared" si="21"/>
        <v>0.16994456254731827</v>
      </c>
    </row>
    <row r="674" spans="1:21" x14ac:dyDescent="0.35">
      <c r="A674" s="10">
        <v>45863</v>
      </c>
      <c r="B674" s="2">
        <v>6.8259650703998906E-3</v>
      </c>
      <c r="C674" s="2">
        <v>-3.0257209165369561E-3</v>
      </c>
      <c r="D674" s="2">
        <v>1.886614475928532E-4</v>
      </c>
      <c r="E674" s="2">
        <v>5.8456238441193078E-3</v>
      </c>
      <c r="F674" s="2">
        <v>4.0462863613181077E-2</v>
      </c>
      <c r="G674" s="2">
        <v>1.398624197473987E-2</v>
      </c>
      <c r="H674" s="2">
        <v>1.905218310996817E-2</v>
      </c>
      <c r="I674" s="2">
        <v>5.4815674868073962E-2</v>
      </c>
      <c r="J674" s="2">
        <v>-3.5524016043677721E-3</v>
      </c>
      <c r="K674" s="2">
        <v>-1.886970474510874E-4</v>
      </c>
      <c r="L674" s="2">
        <v>-3.0055123642770219E-3</v>
      </c>
      <c r="M674" s="2">
        <v>-9.6432762718042294E-3</v>
      </c>
      <c r="N674" s="2">
        <v>1.5113637810048109E-2</v>
      </c>
      <c r="O674" s="2">
        <v>0</v>
      </c>
      <c r="P674" s="2">
        <v>-9.2166551049239522E-3</v>
      </c>
      <c r="Q674" s="15">
        <f>AVERAGE(Tableau2[[#This Row],[AWB]:[IAM]])</f>
        <v>8.5105725619174823E-3</v>
      </c>
      <c r="R674" s="15">
        <f>ABS(Tableau2[[#This Row],[Rm ]])</f>
        <v>8.5105725619174823E-3</v>
      </c>
      <c r="S674" s="15">
        <f>(Tableau2[[#This Row],[Rm ]]-Tableau2[[#Totals],[Rm ]])^2</f>
        <v>5.9581686964460202E-5</v>
      </c>
      <c r="T674" s="15">
        <f t="shared" si="20"/>
        <v>0.18521006464379552</v>
      </c>
      <c r="U674" s="15">
        <f t="shared" si="21"/>
        <v>0.1780590247511063</v>
      </c>
    </row>
    <row r="675" spans="1:21" x14ac:dyDescent="0.35">
      <c r="A675" s="10">
        <v>45867</v>
      </c>
      <c r="B675" s="2">
        <v>6.7796869853787691E-3</v>
      </c>
      <c r="C675" s="2">
        <v>0</v>
      </c>
      <c r="D675" s="2">
        <v>1.8503471564559729E-2</v>
      </c>
      <c r="E675" s="2">
        <v>2.3716526617316061E-2</v>
      </c>
      <c r="F675" s="2">
        <v>0</v>
      </c>
      <c r="G675" s="2">
        <v>-1.5748356968139171E-2</v>
      </c>
      <c r="H675" s="2">
        <v>-1.504416171242942E-2</v>
      </c>
      <c r="I675" s="2">
        <v>-1.838825962040545E-2</v>
      </c>
      <c r="J675" s="2">
        <v>3.5524016043679222E-3</v>
      </c>
      <c r="K675" s="2">
        <v>1.88697047451175E-4</v>
      </c>
      <c r="L675" s="2">
        <v>-8.3963549529062782E-3</v>
      </c>
      <c r="M675" s="2">
        <v>-1.16960397631913E-2</v>
      </c>
      <c r="N675" s="2">
        <v>0</v>
      </c>
      <c r="O675" s="2">
        <v>0</v>
      </c>
      <c r="P675" s="2">
        <v>0</v>
      </c>
      <c r="Q675" s="15">
        <f>AVERAGE(Tableau2[[#This Row],[AWB]:[IAM]])</f>
        <v>-1.1021592798665311E-3</v>
      </c>
      <c r="R675" s="15">
        <f>ABS(Tableau2[[#This Row],[Rm ]])</f>
        <v>1.1021592798665311E-3</v>
      </c>
      <c r="S675" s="15">
        <f>(Tableau2[[#This Row],[Rm ]]-Tableau2[[#Totals],[Rm ]])^2</f>
        <v>3.5865328610880033E-6</v>
      </c>
      <c r="T675" s="15">
        <f t="shared" si="20"/>
        <v>0.12649607124093584</v>
      </c>
      <c r="U675" s="15">
        <f t="shared" si="21"/>
        <v>0.18521006464379552</v>
      </c>
    </row>
    <row r="676" spans="1:21" x14ac:dyDescent="0.35">
      <c r="A676" s="10">
        <v>45869</v>
      </c>
      <c r="B676" s="2">
        <v>1.3423020332140771E-2</v>
      </c>
      <c r="C676" s="2">
        <v>1.50378773645405E-2</v>
      </c>
      <c r="D676" s="2">
        <v>-1.7937700686667321E-2</v>
      </c>
      <c r="E676" s="2">
        <v>4.4543503493803746E-3</v>
      </c>
      <c r="F676" s="2">
        <v>-3.4488705290991228E-4</v>
      </c>
      <c r="G676" s="2">
        <v>3.5267149016579482E-4</v>
      </c>
      <c r="H676" s="2">
        <v>1.047129986729544E-2</v>
      </c>
      <c r="I676" s="2">
        <v>-4.853069649073477E-3</v>
      </c>
      <c r="J676" s="2">
        <v>1.058210933053701E-2</v>
      </c>
      <c r="K676" s="2">
        <v>-3.7807228399060438E-3</v>
      </c>
      <c r="L676" s="2">
        <v>-5.0718620979603403E-3</v>
      </c>
      <c r="M676" s="2">
        <v>9.7561749453646558E-3</v>
      </c>
      <c r="N676" s="2">
        <v>0</v>
      </c>
      <c r="O676" s="2">
        <v>3.2123111684220419E-2</v>
      </c>
      <c r="P676" s="2">
        <v>0</v>
      </c>
      <c r="Q676" s="15">
        <f>AVERAGE(Tableau2[[#This Row],[AWB]:[IAM]])</f>
        <v>4.2808248691418582E-3</v>
      </c>
      <c r="R676" s="15">
        <f>ABS(Tableau2[[#This Row],[Rm ]])</f>
        <v>4.2808248691418582E-3</v>
      </c>
      <c r="S676" s="15">
        <f>(Tableau2[[#This Row],[Rm ]]-Tableau2[[#Totals],[Rm ]])^2</f>
        <v>1.2174305759514217E-5</v>
      </c>
      <c r="T676" s="15">
        <f t="shared" si="20"/>
        <v>0.12776890303443991</v>
      </c>
      <c r="U676" s="15">
        <f t="shared" si="21"/>
        <v>0.12649607124093584</v>
      </c>
    </row>
    <row r="677" spans="1:21" x14ac:dyDescent="0.35">
      <c r="A677" s="10">
        <v>45876</v>
      </c>
      <c r="B677" s="2">
        <v>2.59276220099156E-2</v>
      </c>
      <c r="C677" s="2">
        <v>-1.8072781059694509E-2</v>
      </c>
      <c r="D677" s="2">
        <v>1.05027221991492E-2</v>
      </c>
      <c r="E677" s="2">
        <v>-2.3041199146697899E-2</v>
      </c>
      <c r="F677" s="2">
        <v>-2.056179776640376E-2</v>
      </c>
      <c r="G677" s="2">
        <v>3.9410561681847221E-2</v>
      </c>
      <c r="H677" s="2">
        <v>9.5499555810950973E-2</v>
      </c>
      <c r="I677" s="2">
        <v>7.7961541469711917E-2</v>
      </c>
      <c r="J677" s="2">
        <v>5.1293294387550481E-2</v>
      </c>
      <c r="K677" s="2">
        <v>0</v>
      </c>
      <c r="L677" s="2">
        <v>-2.7493140580198729E-2</v>
      </c>
      <c r="M677" s="2">
        <v>-2.3576730563996881E-2</v>
      </c>
      <c r="N677" s="2">
        <v>0</v>
      </c>
      <c r="O677" s="2">
        <v>-2.0006729756323009E-2</v>
      </c>
      <c r="P677" s="2">
        <v>9.2166551049240476E-3</v>
      </c>
      <c r="Q677" s="15">
        <f>AVERAGE(Tableau2[[#This Row],[AWB]:[IAM]])</f>
        <v>1.180397158604898E-2</v>
      </c>
      <c r="R677" s="15">
        <f>ABS(Tableau2[[#This Row],[Rm ]])</f>
        <v>1.180397158604898E-2</v>
      </c>
      <c r="S677" s="15">
        <f>(Tableau2[[#This Row],[Rm ]]-Tableau2[[#Totals],[Rm ]])^2</f>
        <v>1.2127111464651292E-4</v>
      </c>
      <c r="T677" s="15">
        <f t="shared" si="20"/>
        <v>0.45973060614374606</v>
      </c>
      <c r="U677" s="15">
        <f t="shared" si="21"/>
        <v>0.12776890303443991</v>
      </c>
    </row>
    <row r="678" spans="1:21" x14ac:dyDescent="0.35">
      <c r="A678" s="10">
        <v>45877</v>
      </c>
      <c r="B678" s="2">
        <v>-2.341312203773972E-3</v>
      </c>
      <c r="C678" s="2">
        <v>-1.7786424118431621E-2</v>
      </c>
      <c r="D678" s="2">
        <v>0</v>
      </c>
      <c r="E678" s="2">
        <v>-6.2731885220773994E-3</v>
      </c>
      <c r="F678" s="2">
        <v>2.056179776640369E-2</v>
      </c>
      <c r="G678" s="2">
        <v>3.4647036444712127E-2</v>
      </c>
      <c r="H678" s="2">
        <v>4.0632618513629128E-2</v>
      </c>
      <c r="I678" s="2">
        <v>4.2819997182928143E-2</v>
      </c>
      <c r="J678" s="2">
        <v>6.3913325743652855E-2</v>
      </c>
      <c r="K678" s="2">
        <v>0</v>
      </c>
      <c r="L678" s="2">
        <v>-2.4692612590371522E-2</v>
      </c>
      <c r="M678" s="2">
        <v>3.4730870932076319E-3</v>
      </c>
      <c r="N678" s="2">
        <v>0</v>
      </c>
      <c r="O678" s="2">
        <v>6.1218244948320539E-4</v>
      </c>
      <c r="P678" s="2">
        <v>1.8182319083190328E-2</v>
      </c>
      <c r="Q678" s="15">
        <f>AVERAGE(Tableau2[[#This Row],[AWB]:[IAM]])</f>
        <v>1.1583255122836839E-2</v>
      </c>
      <c r="R678" s="15">
        <f>ABS(Tableau2[[#This Row],[Rm ]])</f>
        <v>1.1583255122836839E-2</v>
      </c>
      <c r="S678" s="15">
        <f>(Tableau2[[#This Row],[Rm ]]-Tableau2[[#Totals],[Rm ]])^2</f>
        <v>1.1645863130533567E-4</v>
      </c>
      <c r="T678" s="15">
        <f t="shared" si="20"/>
        <v>0.29635600163199388</v>
      </c>
      <c r="U678" s="15">
        <f t="shared" si="21"/>
        <v>0.45973060614374606</v>
      </c>
    </row>
    <row r="679" spans="1:21" x14ac:dyDescent="0.35">
      <c r="A679" s="10">
        <v>45880</v>
      </c>
      <c r="B679" s="2">
        <v>1.3014057016371759E-3</v>
      </c>
      <c r="C679" s="2">
        <v>5.5538556827971208E-3</v>
      </c>
      <c r="D679" s="2">
        <v>-2.9895388483660479E-3</v>
      </c>
      <c r="E679" s="2">
        <v>-4.5871640069060429E-3</v>
      </c>
      <c r="F679" s="2">
        <v>-5.175537077487393E-4</v>
      </c>
      <c r="G679" s="2">
        <v>-1.6174638809269701E-2</v>
      </c>
      <c r="H679" s="2">
        <v>0</v>
      </c>
      <c r="I679" s="2">
        <v>-2.498007905459719E-2</v>
      </c>
      <c r="J679" s="2">
        <v>6.2519539391831804E-4</v>
      </c>
      <c r="K679" s="2">
        <v>3.403293131707865E-3</v>
      </c>
      <c r="L679" s="2">
        <v>2.1202207650602909E-2</v>
      </c>
      <c r="M679" s="2">
        <v>2.473412094518658E-3</v>
      </c>
      <c r="N679" s="2">
        <v>-7.0246149369644663E-3</v>
      </c>
      <c r="O679" s="2">
        <v>-4.907985312192201E-3</v>
      </c>
      <c r="P679" s="2">
        <v>0</v>
      </c>
      <c r="Q679" s="15">
        <f>AVERAGE(Tableau2[[#This Row],[AWB]:[IAM]])</f>
        <v>-1.7748136680574901E-3</v>
      </c>
      <c r="R679" s="15">
        <f>ABS(Tableau2[[#This Row],[Rm ]])</f>
        <v>1.7748136680574901E-3</v>
      </c>
      <c r="S679" s="15">
        <f>(Tableau2[[#This Row],[Rm ]]-Tableau2[[#Totals],[Rm ]])^2</f>
        <v>6.5867618773781416E-6</v>
      </c>
      <c r="T679" s="15">
        <f t="shared" si="20"/>
        <v>9.8373785163047775E-2</v>
      </c>
      <c r="U679" s="15">
        <f t="shared" si="21"/>
        <v>0.29635600163199388</v>
      </c>
    </row>
    <row r="680" spans="1:21" x14ac:dyDescent="0.35">
      <c r="A680" s="10">
        <v>45881</v>
      </c>
      <c r="B680" s="2">
        <v>-1.171188890462873E-3</v>
      </c>
      <c r="C680" s="2">
        <v>0</v>
      </c>
      <c r="D680" s="2">
        <v>-2.7315810646962861E-2</v>
      </c>
      <c r="E680" s="2">
        <v>-1.9733664156950249E-2</v>
      </c>
      <c r="F680" s="2">
        <v>-2.764819456074063E-3</v>
      </c>
      <c r="G680" s="2">
        <v>2.3677528352733901E-2</v>
      </c>
      <c r="H680" s="2">
        <v>-2.7309985112316279E-3</v>
      </c>
      <c r="I680" s="2">
        <v>-1.659069872789912E-2</v>
      </c>
      <c r="J680" s="2">
        <v>-2.5317807984289901E-2</v>
      </c>
      <c r="K680" s="2">
        <v>0</v>
      </c>
      <c r="L680" s="2">
        <v>2.247285585205858E-2</v>
      </c>
      <c r="M680" s="2">
        <v>0</v>
      </c>
      <c r="N680" s="2">
        <v>2.0120731134202351E-3</v>
      </c>
      <c r="O680" s="2">
        <v>-1.5494577111041231E-2</v>
      </c>
      <c r="P680" s="2">
        <v>0</v>
      </c>
      <c r="Q680" s="15">
        <f>AVERAGE(Tableau2[[#This Row],[AWB]:[IAM]])</f>
        <v>-4.1971405444466139E-3</v>
      </c>
      <c r="R680" s="15">
        <f>ABS(Tableau2[[#This Row],[Rm ]])</f>
        <v>4.1971405444466139E-3</v>
      </c>
      <c r="S680" s="15">
        <f>(Tableau2[[#This Row],[Rm ]]-Tableau2[[#Totals],[Rm ]])^2</f>
        <v>2.4888081865348586E-5</v>
      </c>
      <c r="T680" s="15">
        <f t="shared" si="20"/>
        <v>0.16301638063500373</v>
      </c>
      <c r="U680" s="15">
        <f t="shared" si="21"/>
        <v>9.8373785163047775E-2</v>
      </c>
    </row>
    <row r="681" spans="1:21" x14ac:dyDescent="0.35">
      <c r="A681" s="10">
        <v>45882</v>
      </c>
      <c r="B681" s="2">
        <v>-3.9138993211363287E-3</v>
      </c>
      <c r="C681" s="2">
        <v>-6.1728591070809684E-3</v>
      </c>
      <c r="D681" s="2">
        <v>1.3371736965889241E-2</v>
      </c>
      <c r="E681" s="2">
        <v>1.4894387516200921E-2</v>
      </c>
      <c r="F681" s="2">
        <v>-3.1464059594537422E-2</v>
      </c>
      <c r="G681" s="2">
        <v>0</v>
      </c>
      <c r="H681" s="2">
        <v>-5.8511777832691899E-3</v>
      </c>
      <c r="I681" s="2">
        <v>1.6099418934181119E-2</v>
      </c>
      <c r="J681" s="2">
        <v>3.7740327982847113E-2</v>
      </c>
      <c r="K681" s="2">
        <v>1.887326607471629E-4</v>
      </c>
      <c r="L681" s="2">
        <v>-3.2311304852346533E-2</v>
      </c>
      <c r="M681" s="2">
        <v>4.9394913328340432E-4</v>
      </c>
      <c r="N681" s="2">
        <v>2.4324852855917189E-2</v>
      </c>
      <c r="O681" s="2">
        <v>1.590449718236845E-2</v>
      </c>
      <c r="P681" s="2">
        <v>0</v>
      </c>
      <c r="Q681" s="15">
        <f>AVERAGE(Tableau2[[#This Row],[AWB]:[IAM]])</f>
        <v>2.8869735048709442E-3</v>
      </c>
      <c r="R681" s="15">
        <f>ABS(Tableau2[[#This Row],[Rm ]])</f>
        <v>2.8869735048709442E-3</v>
      </c>
      <c r="S681" s="15">
        <f>(Tableau2[[#This Row],[Rm ]]-Tableau2[[#Totals],[Rm ]])^2</f>
        <v>4.3903592668058728E-6</v>
      </c>
      <c r="T681" s="15">
        <f t="shared" si="20"/>
        <v>0.20733225221181051</v>
      </c>
      <c r="U681" s="15">
        <f t="shared" si="21"/>
        <v>0.16301638063500373</v>
      </c>
    </row>
    <row r="682" spans="1:21" x14ac:dyDescent="0.35">
      <c r="A682" s="10">
        <v>45884</v>
      </c>
      <c r="B682" s="2">
        <v>-6.5574005461590517E-3</v>
      </c>
      <c r="C682" s="2">
        <v>6.48050408720328E-3</v>
      </c>
      <c r="D682" s="2">
        <v>1.094557068481704E-2</v>
      </c>
      <c r="E682" s="2">
        <v>-6.9541309456989846E-3</v>
      </c>
      <c r="F682" s="2">
        <v>-1.8018505502678361E-2</v>
      </c>
      <c r="G682" s="2">
        <v>-1.209758092177439E-2</v>
      </c>
      <c r="H682" s="2">
        <v>-9.5817943331703206E-3</v>
      </c>
      <c r="I682" s="2">
        <v>-7.3983074814450364E-3</v>
      </c>
      <c r="J682" s="2">
        <v>0</v>
      </c>
      <c r="K682" s="2">
        <v>0</v>
      </c>
      <c r="L682" s="2">
        <v>2.3727561160955101E-2</v>
      </c>
      <c r="M682" s="2">
        <v>-1.0923643874821269E-2</v>
      </c>
      <c r="N682" s="2">
        <v>-1.781343490863696E-2</v>
      </c>
      <c r="O682" s="2">
        <v>-2.0493903135566921E-4</v>
      </c>
      <c r="P682" s="2">
        <v>0</v>
      </c>
      <c r="Q682" s="15">
        <f>AVERAGE(Tableau2[[#This Row],[AWB]:[IAM]])</f>
        <v>-3.226406774184308E-3</v>
      </c>
      <c r="R682" s="15">
        <f>ABS(Tableau2[[#This Row],[Rm ]])</f>
        <v>3.226406774184308E-3</v>
      </c>
      <c r="S682" s="15">
        <f>(Tableau2[[#This Row],[Rm ]]-Tableau2[[#Totals],[Rm ]])^2</f>
        <v>1.6144821130780585E-5</v>
      </c>
      <c r="T682" s="15">
        <f t="shared" si="20"/>
        <v>0.12405577565258112</v>
      </c>
      <c r="U682" s="15">
        <f t="shared" si="21"/>
        <v>0.20733225221181051</v>
      </c>
    </row>
    <row r="683" spans="1:21" x14ac:dyDescent="0.35">
      <c r="A683" s="10">
        <v>45888</v>
      </c>
      <c r="B683" s="2">
        <v>-6.6006840313520242E-3</v>
      </c>
      <c r="C683" s="2">
        <v>-1.503088653301613E-2</v>
      </c>
      <c r="D683" s="2">
        <v>-5.2691126800117711E-3</v>
      </c>
      <c r="E683" s="2">
        <v>-1.854730946622396E-2</v>
      </c>
      <c r="F683" s="2">
        <v>-2.933519088079195E-2</v>
      </c>
      <c r="G683" s="2">
        <v>-1.9934214900817249E-2</v>
      </c>
      <c r="H683" s="2">
        <v>-9.6744940616411163E-3</v>
      </c>
      <c r="I683" s="2">
        <v>-4.5318474690959322E-2</v>
      </c>
      <c r="J683" s="2">
        <v>-4.4171218313137417E-2</v>
      </c>
      <c r="K683" s="2">
        <v>-1.699877640417059E-3</v>
      </c>
      <c r="L683" s="2">
        <v>-3.4488705290991228E-4</v>
      </c>
      <c r="M683" s="2">
        <v>-9.0271425445274736E-3</v>
      </c>
      <c r="N683" s="2">
        <v>4.4831955538116308E-3</v>
      </c>
      <c r="O683" s="2">
        <v>-3.7377772117687141E-2</v>
      </c>
      <c r="P683" s="2">
        <v>2.6668247082161489E-2</v>
      </c>
      <c r="Q683" s="15">
        <f>AVERAGE(Tableau2[[#This Row],[AWB]:[IAM]])</f>
        <v>-1.4078654818501294E-2</v>
      </c>
      <c r="R683" s="15">
        <f>ABS(Tableau2[[#This Row],[Rm ]])</f>
        <v>1.4078654818501294E-2</v>
      </c>
      <c r="S683" s="15">
        <f>(Tableau2[[#This Row],[Rm ]]-Tableau2[[#Totals],[Rm ]])^2</f>
        <v>2.211261167244227E-4</v>
      </c>
      <c r="T683" s="15">
        <f t="shared" si="20"/>
        <v>0.18429852457229629</v>
      </c>
      <c r="U683" s="15">
        <f t="shared" si="21"/>
        <v>0.12405577565258112</v>
      </c>
    </row>
    <row r="684" spans="1:21" x14ac:dyDescent="0.35">
      <c r="A684" s="10">
        <v>45891</v>
      </c>
      <c r="B684" s="2">
        <v>4.5188605921348587E-2</v>
      </c>
      <c r="C684" s="2">
        <v>7.0011954589835612E-3</v>
      </c>
      <c r="D684" s="2">
        <v>-3.7807228399060438E-3</v>
      </c>
      <c r="E684" s="2">
        <v>1.738357140866886E-2</v>
      </c>
      <c r="F684" s="2">
        <v>3.8925420901836878E-2</v>
      </c>
      <c r="G684" s="2">
        <v>6.6889881507967101E-3</v>
      </c>
      <c r="H684" s="2">
        <v>1.8705981126039758E-2</v>
      </c>
      <c r="I684" s="2">
        <v>1.133156600955002E-2</v>
      </c>
      <c r="J684" s="2">
        <v>-3.2263268548941572E-4</v>
      </c>
      <c r="K684" s="2">
        <v>-2.3525996565160499E-2</v>
      </c>
      <c r="L684" s="2">
        <v>1.7439320412209979E-2</v>
      </c>
      <c r="M684" s="2">
        <v>2.7330893716971269E-2</v>
      </c>
      <c r="N684" s="2">
        <v>8.9065408162032501E-3</v>
      </c>
      <c r="O684" s="2">
        <v>8.4746269909722356E-3</v>
      </c>
      <c r="P684" s="2">
        <v>0</v>
      </c>
      <c r="Q684" s="15">
        <f>AVERAGE(Tableau2[[#This Row],[AWB]:[IAM]])</f>
        <v>1.1983157254868343E-2</v>
      </c>
      <c r="R684" s="15">
        <f>ABS(Tableau2[[#This Row],[Rm ]])</f>
        <v>1.1983157254868343E-2</v>
      </c>
      <c r="S684" s="15">
        <f>(Tableau2[[#This Row],[Rm ]]-Tableau2[[#Totals],[Rm ]])^2</f>
        <v>1.2524972074422113E-4</v>
      </c>
      <c r="T684" s="15">
        <f t="shared" si="20"/>
        <v>0.17496541981118677</v>
      </c>
      <c r="U684" s="15">
        <f t="shared" si="21"/>
        <v>0.18429852457229629</v>
      </c>
    </row>
    <row r="685" spans="1:21" x14ac:dyDescent="0.35">
      <c r="A685" s="10">
        <v>45895</v>
      </c>
      <c r="B685" s="2">
        <v>-1.2612435486736E-2</v>
      </c>
      <c r="C685" s="2">
        <v>1.5491869868293189E-3</v>
      </c>
      <c r="D685" s="2">
        <v>-1.142869582362274E-2</v>
      </c>
      <c r="E685" s="2">
        <v>-3.265689862883849E-3</v>
      </c>
      <c r="F685" s="2">
        <v>8.4282754816333277E-3</v>
      </c>
      <c r="G685" s="2">
        <v>4.3697855265719357E-2</v>
      </c>
      <c r="H685" s="2">
        <v>1.276225161385129E-2</v>
      </c>
      <c r="I685" s="2">
        <v>2.1533447610122731E-2</v>
      </c>
      <c r="J685" s="2">
        <v>-6.4557781454539212E-4</v>
      </c>
      <c r="K685" s="2">
        <v>6.174050096531181E-3</v>
      </c>
      <c r="L685" s="2">
        <v>-3.4486176071169321E-2</v>
      </c>
      <c r="M685" s="2">
        <v>9.7561749453646558E-3</v>
      </c>
      <c r="N685" s="2">
        <v>4.573600932268429E-2</v>
      </c>
      <c r="O685" s="2">
        <v>-2.1107275447946369E-2</v>
      </c>
      <c r="P685" s="2">
        <v>0</v>
      </c>
      <c r="Q685" s="15">
        <f>AVERAGE(Tableau2[[#This Row],[AWB]:[IAM]])</f>
        <v>4.4060933877221641E-3</v>
      </c>
      <c r="R685" s="15">
        <f>ABS(Tableau2[[#This Row],[Rm ]])</f>
        <v>4.4060933877221641E-3</v>
      </c>
      <c r="S685" s="15">
        <f>(Tableau2[[#This Row],[Rm ]]-Tableau2[[#Totals],[Rm ]])^2</f>
        <v>1.3064164220303055E-5</v>
      </c>
      <c r="T685" s="15">
        <f t="shared" si="20"/>
        <v>0.23037846741516269</v>
      </c>
      <c r="U685" s="15">
        <f t="shared" si="21"/>
        <v>0.17496541981118677</v>
      </c>
    </row>
    <row r="686" spans="1:21" x14ac:dyDescent="0.35">
      <c r="A686" s="10">
        <v>45896</v>
      </c>
      <c r="B686" s="2">
        <v>8.2988028146950641E-3</v>
      </c>
      <c r="C686" s="2">
        <v>9.091672147891857E-3</v>
      </c>
      <c r="D686" s="2">
        <v>-3.8387763071657129E-3</v>
      </c>
      <c r="E686" s="2">
        <v>3.8477281774351442E-3</v>
      </c>
      <c r="F686" s="2">
        <v>1.418463499195638E-2</v>
      </c>
      <c r="G686" s="2">
        <v>2.0215470477933529E-2</v>
      </c>
      <c r="H686" s="2">
        <v>1.8099552452393859E-3</v>
      </c>
      <c r="I686" s="2">
        <v>5.0112754744548627E-4</v>
      </c>
      <c r="J686" s="2">
        <v>-5.5043040055826158E-3</v>
      </c>
      <c r="K686" s="2">
        <v>-1.732602223781402E-3</v>
      </c>
      <c r="L686" s="2">
        <v>6.2959284568148309E-3</v>
      </c>
      <c r="M686" s="2">
        <v>3.2946403109852668E-2</v>
      </c>
      <c r="N686" s="2">
        <v>1.0765374270238069E-2</v>
      </c>
      <c r="O686" s="2">
        <v>2.447711856949655E-2</v>
      </c>
      <c r="P686" s="2">
        <v>0</v>
      </c>
      <c r="Q686" s="15">
        <f>AVERAGE(Tableau2[[#This Row],[AWB]:[IAM]])</f>
        <v>8.0905688848312823E-3</v>
      </c>
      <c r="R686" s="15">
        <f>ABS(Tableau2[[#This Row],[Rm ]])</f>
        <v>8.0905688848312823E-3</v>
      </c>
      <c r="S686" s="15">
        <f>(Tableau2[[#This Row],[Rm ]]-Tableau2[[#Totals],[Rm ]])^2</f>
        <v>5.3274142609140709E-5</v>
      </c>
      <c r="T686" s="15">
        <f t="shared" si="20"/>
        <v>0.11913979075064776</v>
      </c>
      <c r="U686" s="15">
        <f t="shared" si="21"/>
        <v>0.23037846741516269</v>
      </c>
    </row>
    <row r="687" spans="1:21" x14ac:dyDescent="0.35">
      <c r="A687" s="10">
        <v>45898</v>
      </c>
      <c r="B687" s="2">
        <v>-7.0175726586465346E-3</v>
      </c>
      <c r="C687" s="2">
        <v>-9.0916721478918067E-3</v>
      </c>
      <c r="D687" s="2">
        <v>-3.3238641475733827E-2</v>
      </c>
      <c r="E687" s="2">
        <v>8.1428492837612107E-4</v>
      </c>
      <c r="F687" s="2">
        <v>1.900833236380748E-2</v>
      </c>
      <c r="G687" s="2">
        <v>-5.0668098993632137E-2</v>
      </c>
      <c r="H687" s="2">
        <v>-3.3091254626328219E-2</v>
      </c>
      <c r="I687" s="2">
        <v>-3.6219210149524693E-2</v>
      </c>
      <c r="J687" s="2">
        <v>0</v>
      </c>
      <c r="K687" s="2">
        <v>1.149437942573521E-2</v>
      </c>
      <c r="L687" s="2">
        <v>5.9099772226890437E-3</v>
      </c>
      <c r="M687" s="2">
        <v>-1.3715041181965121E-2</v>
      </c>
      <c r="N687" s="2">
        <v>-1.8639334380627531E-3</v>
      </c>
      <c r="O687" s="2">
        <v>6.3058331043788698E-4</v>
      </c>
      <c r="P687" s="2">
        <v>0</v>
      </c>
      <c r="Q687" s="15">
        <f>AVERAGE(Tableau2[[#This Row],[AWB]:[IAM]])</f>
        <v>-9.8031911613826236E-3</v>
      </c>
      <c r="R687" s="15">
        <f>ABS(Tableau2[[#This Row],[Rm ]])</f>
        <v>9.8031911613826236E-3</v>
      </c>
      <c r="S687" s="15">
        <f>(Tableau2[[#This Row],[Rm ]]-Tableau2[[#Totals],[Rm ]])^2</f>
        <v>1.1225076705449232E-4</v>
      </c>
      <c r="T687" s="15">
        <f t="shared" si="20"/>
        <v>0.22668293615658464</v>
      </c>
      <c r="U687" s="15">
        <f t="shared" si="21"/>
        <v>0.11913979075064776</v>
      </c>
    </row>
    <row r="688" spans="1:21" x14ac:dyDescent="0.35">
      <c r="A688" s="10">
        <v>45901</v>
      </c>
      <c r="B688" s="2">
        <v>-1.1530332454184639E-3</v>
      </c>
      <c r="C688" s="2">
        <v>3.7082860789191862E-3</v>
      </c>
      <c r="D688" s="2">
        <v>1.0678369215559629E-2</v>
      </c>
      <c r="E688" s="2">
        <v>-7.0011954589835881E-3</v>
      </c>
      <c r="F688" s="2">
        <v>-3.4554250516588249E-4</v>
      </c>
      <c r="G688" s="2">
        <v>6.9869679960486E-2</v>
      </c>
      <c r="H688" s="2">
        <v>4.2092215485304459E-2</v>
      </c>
      <c r="I688" s="2">
        <v>9.5074024412980712E-2</v>
      </c>
      <c r="J688" s="2">
        <v>2.3424783577440739E-2</v>
      </c>
      <c r="K688" s="2">
        <v>0</v>
      </c>
      <c r="L688" s="2">
        <v>1.7316021642778941E-3</v>
      </c>
      <c r="M688" s="2">
        <v>-9.5283475527185445E-4</v>
      </c>
      <c r="N688" s="2">
        <v>-2.073589847917828E-2</v>
      </c>
      <c r="O688" s="2">
        <v>-3.156900443549028E-3</v>
      </c>
      <c r="P688" s="2">
        <v>-8.810629682154807E-3</v>
      </c>
      <c r="Q688" s="15">
        <f>AVERAGE(Tableau2[[#This Row],[AWB]:[IAM]])</f>
        <v>1.362819508834978E-2</v>
      </c>
      <c r="R688" s="15">
        <f>ABS(Tableau2[[#This Row],[Rm ]])</f>
        <v>1.362819508834978E-2</v>
      </c>
      <c r="S688" s="15">
        <f>(Tableau2[[#This Row],[Rm ]]-Tableau2[[#Totals],[Rm ]])^2</f>
        <v>1.6477675917278306E-4</v>
      </c>
      <c r="T688" s="15">
        <f t="shared" si="20"/>
        <v>0.33095294304648798</v>
      </c>
      <c r="U688" s="15">
        <f t="shared" si="21"/>
        <v>0.22668293615658464</v>
      </c>
    </row>
    <row r="689" spans="1:21" x14ac:dyDescent="0.35">
      <c r="A689" s="10">
        <v>45903</v>
      </c>
      <c r="B689" s="2">
        <v>-2.6955924158758981E-3</v>
      </c>
      <c r="C689" s="2">
        <v>-1.303961350780352E-2</v>
      </c>
      <c r="D689" s="2">
        <v>-7.8709173681704321E-4</v>
      </c>
      <c r="E689" s="2">
        <v>-7.9943995013731246E-3</v>
      </c>
      <c r="F689" s="2">
        <v>2.2438949606718968E-3</v>
      </c>
      <c r="G689" s="2">
        <v>-3.6877730791847361E-3</v>
      </c>
      <c r="H689" s="2">
        <v>1.600034134644112E-2</v>
      </c>
      <c r="I689" s="2">
        <v>1.52352648014711E-2</v>
      </c>
      <c r="J689" s="2">
        <v>3.6129747179149588E-2</v>
      </c>
      <c r="K689" s="2">
        <v>0</v>
      </c>
      <c r="L689" s="2">
        <v>-1.3937507843781619E-2</v>
      </c>
      <c r="M689" s="2">
        <v>-1.3435902696827691E-2</v>
      </c>
      <c r="N689" s="2">
        <v>-1.6807118316381289E-2</v>
      </c>
      <c r="O689" s="2">
        <v>-5.0718620979602284E-3</v>
      </c>
      <c r="P689" s="2">
        <v>8.8106296821549059E-3</v>
      </c>
      <c r="Q689" s="15">
        <f>AVERAGE(Tableau2[[#This Row],[AWB]:[IAM]])</f>
        <v>6.420111825889766E-5</v>
      </c>
      <c r="R689" s="15">
        <f>ABS(Tableau2[[#This Row],[Rm ]])</f>
        <v>6.420111825889766E-5</v>
      </c>
      <c r="S689" s="15">
        <f>(Tableau2[[#This Row],[Rm ]]-Tableau2[[#Totals],[Rm ]])^2</f>
        <v>5.2918927853394111E-7</v>
      </c>
      <c r="T689" s="15">
        <f t="shared" si="20"/>
        <v>0.1480344114308853</v>
      </c>
      <c r="U689" s="15">
        <f t="shared" si="21"/>
        <v>0.33095294304648798</v>
      </c>
    </row>
    <row r="690" spans="1:21" x14ac:dyDescent="0.35">
      <c r="A690" s="10">
        <v>45908</v>
      </c>
      <c r="B690" s="2">
        <v>2.5673955052457329E-3</v>
      </c>
      <c r="C690" s="2">
        <v>-1.5748356968139171E-2</v>
      </c>
      <c r="D690" s="2">
        <v>1.1741817876683189E-2</v>
      </c>
      <c r="E690" s="2">
        <v>3.2995551971654749E-3</v>
      </c>
      <c r="F690" s="2">
        <v>-8.6244076065859526E-4</v>
      </c>
      <c r="G690" s="2">
        <v>-2.1574981400211261E-3</v>
      </c>
      <c r="H690" s="2">
        <v>-4.8790164169432063E-2</v>
      </c>
      <c r="I690" s="2">
        <v>-3.889510903848982E-2</v>
      </c>
      <c r="J690" s="2">
        <v>-2.3836448154511181E-2</v>
      </c>
      <c r="K690" s="2">
        <v>-1.245823492204173E-2</v>
      </c>
      <c r="L690" s="2">
        <v>1.7391742711869239E-2</v>
      </c>
      <c r="M690" s="2">
        <v>-2.4451095864164309E-2</v>
      </c>
      <c r="N690" s="2">
        <v>-1.218041855687107E-2</v>
      </c>
      <c r="O690" s="2">
        <v>-2.5969911039677301E-2</v>
      </c>
      <c r="P690" s="2">
        <v>-1.7699577099400971E-2</v>
      </c>
      <c r="Q690" s="15">
        <f>AVERAGE(Tableau2[[#This Row],[AWB]:[IAM]])</f>
        <v>-1.2536582894829579E-2</v>
      </c>
      <c r="R690" s="15">
        <f>ABS(Tableau2[[#This Row],[Rm ]])</f>
        <v>1.2536582894829579E-2</v>
      </c>
      <c r="S690" s="15">
        <f>(Tableau2[[#This Row],[Rm ]]-Tableau2[[#Totals],[Rm ]])^2</f>
        <v>1.7764192773503661E-4</v>
      </c>
      <c r="T690" s="15">
        <f t="shared" si="20"/>
        <v>0.21045036954908222</v>
      </c>
      <c r="U690" s="15">
        <f t="shared" si="21"/>
        <v>0.1480344114308853</v>
      </c>
    </row>
    <row r="691" spans="1:21" x14ac:dyDescent="0.35">
      <c r="A691" s="10">
        <v>45909</v>
      </c>
      <c r="B691" s="2">
        <v>-2.8610534041265779E-2</v>
      </c>
      <c r="C691" s="2">
        <v>-2.2472855852058628E-2</v>
      </c>
      <c r="D691" s="2">
        <v>-2.282665030117622E-2</v>
      </c>
      <c r="E691" s="2">
        <v>-5.5637080305395728E-2</v>
      </c>
      <c r="F691" s="2">
        <v>-7.7956219824559256E-3</v>
      </c>
      <c r="G691" s="2">
        <v>-2.594300832596004E-2</v>
      </c>
      <c r="H691" s="2">
        <v>-3.7740327982847093E-2</v>
      </c>
      <c r="I691" s="2">
        <v>-3.3192967355764089E-2</v>
      </c>
      <c r="J691" s="2">
        <v>-3.1333229145575757E-4</v>
      </c>
      <c r="K691" s="2">
        <v>2.8887839058909189E-3</v>
      </c>
      <c r="L691" s="2">
        <v>-3.437728907761313E-2</v>
      </c>
      <c r="M691" s="2">
        <v>-3.5268138837457989E-2</v>
      </c>
      <c r="N691" s="2">
        <v>-2.0302752337862051E-2</v>
      </c>
      <c r="O691" s="2">
        <v>-6.4900984442130286E-2</v>
      </c>
      <c r="P691" s="2">
        <v>0</v>
      </c>
      <c r="Q691" s="15">
        <f>AVERAGE(Tableau2[[#This Row],[AWB]:[IAM]])</f>
        <v>-2.5766183948503451E-2</v>
      </c>
      <c r="R691" s="15">
        <f>ABS(Tableau2[[#This Row],[Rm ]])</f>
        <v>2.5766183948503451E-2</v>
      </c>
      <c r="S691" s="15">
        <f>(Tableau2[[#This Row],[Rm ]]-Tableau2[[#Totals],[Rm ]])^2</f>
        <v>7.0531881430495758E-4</v>
      </c>
      <c r="T691" s="15">
        <f t="shared" si="20"/>
        <v>0.19503327920887645</v>
      </c>
      <c r="U691" s="15">
        <f t="shared" si="21"/>
        <v>0.21045036954908222</v>
      </c>
    </row>
    <row r="692" spans="1:21" x14ac:dyDescent="0.35">
      <c r="A692" s="10">
        <v>45911</v>
      </c>
      <c r="B692" s="2">
        <v>2.4756964725275749E-2</v>
      </c>
      <c r="C692" s="2">
        <v>1.9770795875381449E-2</v>
      </c>
      <c r="D692" s="2">
        <v>1.50141105643825E-2</v>
      </c>
      <c r="E692" s="2">
        <v>3.9029343905735293E-2</v>
      </c>
      <c r="F692" s="2">
        <v>9.5197603405957378E-3</v>
      </c>
      <c r="G692" s="2">
        <v>9.7093377952932575E-2</v>
      </c>
      <c r="H692" s="2">
        <v>3.7555125648768208E-2</v>
      </c>
      <c r="I692" s="2">
        <v>1.5134887584270101E-2</v>
      </c>
      <c r="J692" s="2">
        <v>-9.7623196972857398E-3</v>
      </c>
      <c r="K692" s="2">
        <v>-3.8535693159899658E-3</v>
      </c>
      <c r="L692" s="2">
        <v>8.5288363475205017E-3</v>
      </c>
      <c r="M692" s="2">
        <v>2.531780798428979E-2</v>
      </c>
      <c r="N692" s="2">
        <v>6.4821967192298553E-3</v>
      </c>
      <c r="O692" s="2">
        <v>5.1989107937600129E-2</v>
      </c>
      <c r="P692" s="2">
        <v>2.6433257068155649E-2</v>
      </c>
      <c r="Q692" s="15">
        <f>AVERAGE(Tableau2[[#This Row],[AWB]:[IAM]])</f>
        <v>2.4200645576057452E-2</v>
      </c>
      <c r="R692" s="15">
        <f>ABS(Tableau2[[#This Row],[Rm ]])</f>
        <v>2.4200645576057452E-2</v>
      </c>
      <c r="S692" s="15">
        <f>(Tableau2[[#This Row],[Rm ]]-Tableau2[[#Totals],[Rm ]])^2</f>
        <v>5.4798083565574577E-4</v>
      </c>
      <c r="T692" s="15">
        <f t="shared" si="20"/>
        <v>0.26345716165475214</v>
      </c>
      <c r="U692" s="15">
        <f t="shared" si="21"/>
        <v>0.19503327920887645</v>
      </c>
    </row>
    <row r="693" spans="1:21" x14ac:dyDescent="0.35">
      <c r="A693" s="10">
        <v>45912</v>
      </c>
      <c r="B693" s="2">
        <v>-6.4558003428712204E-3</v>
      </c>
      <c r="C693" s="2">
        <v>-6.8673910394735447E-3</v>
      </c>
      <c r="D693" s="2">
        <v>0</v>
      </c>
      <c r="E693" s="2">
        <v>-5.758173299683882E-3</v>
      </c>
      <c r="F693" s="2">
        <v>8.6095571396499254E-4</v>
      </c>
      <c r="G693" s="2">
        <v>4.9063799415358891E-2</v>
      </c>
      <c r="H693" s="2">
        <v>-5.3858427153765463E-3</v>
      </c>
      <c r="I693" s="2">
        <v>4.667739711909505E-3</v>
      </c>
      <c r="J693" s="2">
        <v>-1.273902577742971E-2</v>
      </c>
      <c r="K693" s="2">
        <v>-5.8083415957469022E-3</v>
      </c>
      <c r="L693" s="2">
        <v>-7.4587452876760576E-3</v>
      </c>
      <c r="M693" s="2">
        <v>-1.0050335853501451E-2</v>
      </c>
      <c r="N693" s="2">
        <v>-1.3510338098339011E-2</v>
      </c>
      <c r="O693" s="2">
        <v>-2.2272635609123181E-2</v>
      </c>
      <c r="P693" s="2">
        <v>8.6580627431145311E-3</v>
      </c>
      <c r="Q693" s="15">
        <f>AVERAGE(Tableau2[[#This Row],[AWB]:[IAM]])</f>
        <v>-2.2037381356582392E-3</v>
      </c>
      <c r="R693" s="15">
        <f>ABS(Tableau2[[#This Row],[Rm ]])</f>
        <v>2.2037381356582392E-3</v>
      </c>
      <c r="S693" s="15">
        <f>(Tableau2[[#This Row],[Rm ]]-Tableau2[[#Totals],[Rm ]])^2</f>
        <v>8.9723805661570872E-6</v>
      </c>
      <c r="T693" s="15">
        <f t="shared" si="20"/>
        <v>0.1384008157050903</v>
      </c>
      <c r="U693" s="15">
        <f t="shared" si="21"/>
        <v>0.26345716165475214</v>
      </c>
    </row>
    <row r="694" spans="1:21" x14ac:dyDescent="0.35">
      <c r="A694" s="10">
        <v>45915</v>
      </c>
      <c r="B694" s="2">
        <v>-2.723913740772283E-3</v>
      </c>
      <c r="C694" s="2">
        <v>-3.2102756302482098E-3</v>
      </c>
      <c r="D694" s="2">
        <v>-7.874056430905883E-3</v>
      </c>
      <c r="E694" s="2">
        <v>-1.3566099526718899E-2</v>
      </c>
      <c r="F694" s="2">
        <v>1.5371780047854E-2</v>
      </c>
      <c r="G694" s="2">
        <v>1.8702266213078848E-2</v>
      </c>
      <c r="H694" s="2">
        <v>-1.312108796269721E-2</v>
      </c>
      <c r="I694" s="2">
        <v>-5.1603505593095234E-3</v>
      </c>
      <c r="J694" s="2">
        <v>5.7526524894498414E-3</v>
      </c>
      <c r="K694" s="2">
        <v>9.4695847259339289E-3</v>
      </c>
      <c r="L694" s="2">
        <v>-1.9802627296179751E-2</v>
      </c>
      <c r="M694" s="2">
        <v>-1.5267472130788421E-2</v>
      </c>
      <c r="N694" s="2">
        <v>-4.376502796675897E-2</v>
      </c>
      <c r="O694" s="2">
        <v>0</v>
      </c>
      <c r="P694" s="2">
        <v>-8.6580627431145415E-3</v>
      </c>
      <c r="Q694" s="15">
        <f>AVERAGE(Tableau2[[#This Row],[AWB]:[IAM]])</f>
        <v>-5.5901793674118048E-3</v>
      </c>
      <c r="R694" s="15">
        <f>ABS(Tableau2[[#This Row],[Rm ]])</f>
        <v>5.5901793674118048E-3</v>
      </c>
      <c r="S694" s="15">
        <f>(Tableau2[[#This Row],[Rm ]]-Tableau2[[#Totals],[Rm ]])^2</f>
        <v>4.0727811020157592E-5</v>
      </c>
      <c r="T694" s="15">
        <f t="shared" si="20"/>
        <v>0.16298299915323952</v>
      </c>
      <c r="U694" s="15">
        <f t="shared" si="21"/>
        <v>0.1384008157050903</v>
      </c>
    </row>
    <row r="695" spans="1:21" x14ac:dyDescent="0.35">
      <c r="A695" s="10">
        <v>45916</v>
      </c>
      <c r="B695" s="2">
        <v>2.7239137407723212E-3</v>
      </c>
      <c r="C695" s="2">
        <v>-9.6931292056596802E-3</v>
      </c>
      <c r="D695" s="2">
        <v>7.8740564309058656E-3</v>
      </c>
      <c r="E695" s="2">
        <v>0</v>
      </c>
      <c r="F695" s="2">
        <v>0</v>
      </c>
      <c r="G695" s="2">
        <v>4.0521197405639607E-2</v>
      </c>
      <c r="H695" s="2">
        <v>0</v>
      </c>
      <c r="I695" s="2">
        <v>-2.219756738313E-3</v>
      </c>
      <c r="J695" s="2">
        <v>-3.041321431140152E-2</v>
      </c>
      <c r="K695" s="2">
        <v>-1.9252990159761591E-3</v>
      </c>
      <c r="L695" s="2">
        <v>1.7661298854836461E-2</v>
      </c>
      <c r="M695" s="2">
        <v>1.020417017424167E-2</v>
      </c>
      <c r="N695" s="2">
        <v>1.980262729617973E-2</v>
      </c>
      <c r="O695" s="2">
        <v>-2.6473476667171609E-2</v>
      </c>
      <c r="P695" s="2">
        <v>-1.754430965090939E-2</v>
      </c>
      <c r="Q695" s="15">
        <f>AVERAGE(Tableau2[[#This Row],[AWB]:[IAM]])</f>
        <v>7.0120522087628655E-4</v>
      </c>
      <c r="R695" s="15">
        <f>ABS(Tableau2[[#This Row],[Rm ]])</f>
        <v>7.0120522087628655E-4</v>
      </c>
      <c r="S695" s="15">
        <f>(Tableau2[[#This Row],[Rm ]]-Tableau2[[#Totals],[Rm ]])^2</f>
        <v>8.1811785176362794E-9</v>
      </c>
      <c r="T695" s="15">
        <f t="shared" si="20"/>
        <v>0.17213091794096924</v>
      </c>
      <c r="U695" s="15">
        <f t="shared" si="21"/>
        <v>0.16298299915323952</v>
      </c>
    </row>
    <row r="696" spans="1:21" x14ac:dyDescent="0.35">
      <c r="A696" s="10">
        <v>45917</v>
      </c>
      <c r="B696" s="2">
        <v>4.1365105517802746E-3</v>
      </c>
      <c r="C696" s="2">
        <v>-3.2520353863773428E-3</v>
      </c>
      <c r="D696" s="2">
        <v>-1.5611422677711539E-2</v>
      </c>
      <c r="E696" s="2">
        <v>7.290433262679274E-3</v>
      </c>
      <c r="F696" s="2">
        <v>1.6807118316381191E-2</v>
      </c>
      <c r="G696" s="2">
        <v>-4.6986737170281338E-2</v>
      </c>
      <c r="H696" s="2">
        <v>-9.47874395454377E-3</v>
      </c>
      <c r="I696" s="2">
        <v>-9.6762943305319805E-3</v>
      </c>
      <c r="J696" s="2">
        <v>2.3377688009062508E-2</v>
      </c>
      <c r="K696" s="2">
        <v>0</v>
      </c>
      <c r="L696" s="2">
        <v>-2.8630330225410481E-2</v>
      </c>
      <c r="M696" s="2">
        <v>-2.5708356710206919E-2</v>
      </c>
      <c r="N696" s="2">
        <v>-6.7305457288269832E-3</v>
      </c>
      <c r="O696" s="2">
        <v>-9.2549752094281011E-4</v>
      </c>
      <c r="P696" s="2">
        <v>0</v>
      </c>
      <c r="Q696" s="15">
        <f>AVERAGE(Tableau2[[#This Row],[AWB]:[IAM]])</f>
        <v>-6.3592142376619944E-3</v>
      </c>
      <c r="R696" s="15">
        <f>ABS(Tableau2[[#This Row],[Rm ]])</f>
        <v>6.3592142376619944E-3</v>
      </c>
      <c r="S696" s="15">
        <f>(Tableau2[[#This Row],[Rm ]]-Tableau2[[#Totals],[Rm ]])^2</f>
        <v>5.1134932117037041E-5</v>
      </c>
      <c r="T696" s="15">
        <f t="shared" si="20"/>
        <v>0.19068059564594025</v>
      </c>
      <c r="U696" s="15">
        <f t="shared" si="21"/>
        <v>0.17213091794096924</v>
      </c>
    </row>
    <row r="697" spans="1:21" x14ac:dyDescent="0.35">
      <c r="A697" s="10">
        <v>45918</v>
      </c>
      <c r="B697" s="2">
        <v>2.3192897910909922E-3</v>
      </c>
      <c r="C697" s="2">
        <v>2.572489123843592E-2</v>
      </c>
      <c r="D697" s="2">
        <v>2.3423962414505291E-2</v>
      </c>
      <c r="E697" s="2">
        <v>1.918524072134864E-2</v>
      </c>
      <c r="F697" s="2">
        <v>0</v>
      </c>
      <c r="G697" s="2">
        <v>-5.4200674693391446E-3</v>
      </c>
      <c r="H697" s="2">
        <v>0</v>
      </c>
      <c r="I697" s="2">
        <v>-4.9875312754586124E-4</v>
      </c>
      <c r="J697" s="2">
        <v>-1.9274018173591251E-3</v>
      </c>
      <c r="K697" s="2">
        <v>8.4437270044681583E-3</v>
      </c>
      <c r="L697" s="2">
        <v>-7.3801072976225337E-3</v>
      </c>
      <c r="M697" s="2">
        <v>2.520061361729841E-2</v>
      </c>
      <c r="N697" s="2">
        <v>6.7305457288269234E-3</v>
      </c>
      <c r="O697" s="2">
        <v>1.8803580848250991E-2</v>
      </c>
      <c r="P697" s="2">
        <v>0</v>
      </c>
      <c r="Q697" s="15">
        <f>AVERAGE(Tableau2[[#This Row],[AWB]:[IAM]])</f>
        <v>7.6403681101572434E-3</v>
      </c>
      <c r="R697" s="15">
        <f>ABS(Tableau2[[#This Row],[Rm ]])</f>
        <v>7.6403681101572434E-3</v>
      </c>
      <c r="S697" s="15">
        <f>(Tableau2[[#This Row],[Rm ]]-Tableau2[[#Totals],[Rm ]])^2</f>
        <v>4.6904870055706318E-5</v>
      </c>
      <c r="T697" s="15">
        <f t="shared" si="20"/>
        <v>0.14274860413058119</v>
      </c>
      <c r="U697" s="15">
        <f t="shared" si="21"/>
        <v>0.19068059564594025</v>
      </c>
    </row>
    <row r="698" spans="1:21" x14ac:dyDescent="0.35">
      <c r="A698" s="10">
        <v>45919</v>
      </c>
      <c r="B698" s="2">
        <v>1.286173810744085E-3</v>
      </c>
      <c r="C698" s="2">
        <v>0</v>
      </c>
      <c r="D698" s="2">
        <v>0</v>
      </c>
      <c r="E698" s="2">
        <v>1.6022962965923929E-2</v>
      </c>
      <c r="F698" s="2">
        <v>3.278982282299097E-2</v>
      </c>
      <c r="G698" s="2">
        <v>-5.0149783685471558E-2</v>
      </c>
      <c r="H698" s="2">
        <v>-3.8167985267008541E-3</v>
      </c>
      <c r="I698" s="2">
        <v>-2.245017985799877E-2</v>
      </c>
      <c r="J698" s="2">
        <v>2.5084661836777791E-2</v>
      </c>
      <c r="K698" s="2">
        <v>3.243349213461573E-3</v>
      </c>
      <c r="L698" s="2">
        <v>-7.4101522471921918E-4</v>
      </c>
      <c r="M698" s="2">
        <v>8.7942042482582874E-2</v>
      </c>
      <c r="N698" s="2">
        <v>-8.8106296821549197E-3</v>
      </c>
      <c r="O698" s="2">
        <v>4.3997320390779478E-2</v>
      </c>
      <c r="P698" s="2">
        <v>0</v>
      </c>
      <c r="Q698" s="15">
        <f>AVERAGE(Tableau2[[#This Row],[AWB]:[IAM]])</f>
        <v>8.2931951030810261E-3</v>
      </c>
      <c r="R698" s="15">
        <f>ABS(Tableau2[[#This Row],[Rm ]])</f>
        <v>8.2931951030810261E-3</v>
      </c>
      <c r="S698" s="15">
        <f>(Tableau2[[#This Row],[Rm ]]-Tableau2[[#Totals],[Rm ]])^2</f>
        <v>5.6273102593305435E-5</v>
      </c>
      <c r="T698" s="15">
        <f t="shared" si="20"/>
        <v>0.32100135453775752</v>
      </c>
      <c r="U698" s="15">
        <f t="shared" si="21"/>
        <v>0.14274860413058119</v>
      </c>
    </row>
    <row r="699" spans="1:21" x14ac:dyDescent="0.35">
      <c r="A699" s="10">
        <v>45923</v>
      </c>
      <c r="B699" s="2">
        <v>-3.7344708909257912E-3</v>
      </c>
      <c r="C699" s="2">
        <v>0</v>
      </c>
      <c r="D699" s="2">
        <v>-8.2047735131500106E-3</v>
      </c>
      <c r="E699" s="2">
        <v>2.3334777159047328E-2</v>
      </c>
      <c r="F699" s="2">
        <v>-1.282381018211304E-2</v>
      </c>
      <c r="G699" s="2">
        <v>2.8170876966696221E-2</v>
      </c>
      <c r="H699" s="2">
        <v>-5.5603632858961102E-3</v>
      </c>
      <c r="I699" s="2">
        <v>2.5477720787985621E-3</v>
      </c>
      <c r="J699" s="2">
        <v>-3.4777791042437438E-2</v>
      </c>
      <c r="K699" s="2">
        <v>-9.5694510161506725E-3</v>
      </c>
      <c r="L699" s="2">
        <v>-8.5613774375942735E-3</v>
      </c>
      <c r="M699" s="2">
        <v>-9.7638469563916058E-2</v>
      </c>
      <c r="N699" s="2">
        <v>3.6373124019343718E-3</v>
      </c>
      <c r="O699" s="2">
        <v>-2.822056764225132E-2</v>
      </c>
      <c r="P699" s="2">
        <v>0</v>
      </c>
      <c r="Q699" s="15">
        <f>AVERAGE(Tableau2[[#This Row],[AWB]:[IAM]])</f>
        <v>-1.0093355731197214E-2</v>
      </c>
      <c r="R699" s="15">
        <f>ABS(Tableau2[[#This Row],[Rm ]])</f>
        <v>1.0093355731197214E-2</v>
      </c>
      <c r="S699" s="15">
        <f>(Tableau2[[#This Row],[Rm ]]-Tableau2[[#Totals],[Rm ]])^2</f>
        <v>1.1848346054065192E-4</v>
      </c>
      <c r="T699" s="15">
        <f t="shared" si="20"/>
        <v>0.25675396566274056</v>
      </c>
      <c r="U699" s="15">
        <f t="shared" si="21"/>
        <v>0.32100135453775752</v>
      </c>
    </row>
    <row r="700" spans="1:21" x14ac:dyDescent="0.35">
      <c r="A700" s="10">
        <v>45924</v>
      </c>
      <c r="B700" s="2">
        <v>-6.4716767422613591E-3</v>
      </c>
      <c r="C700" s="2">
        <v>-1.9231361927887641E-2</v>
      </c>
      <c r="D700" s="2">
        <v>-3.5370443635332062E-3</v>
      </c>
      <c r="E700" s="2">
        <v>-2.0573787117624822E-3</v>
      </c>
      <c r="F700" s="2">
        <v>-3.4367106896671818E-3</v>
      </c>
      <c r="G700" s="2">
        <v>-5.5710450494553601E-3</v>
      </c>
      <c r="H700" s="2">
        <v>5.5603632858959714E-3</v>
      </c>
      <c r="I700" s="2">
        <v>2.5126950077421641E-2</v>
      </c>
      <c r="J700" s="2">
        <v>-6.5146810211936419E-3</v>
      </c>
      <c r="K700" s="2">
        <v>0</v>
      </c>
      <c r="L700" s="2">
        <v>-9.3897403498390316E-3</v>
      </c>
      <c r="M700" s="2">
        <v>4.8057294953779257E-2</v>
      </c>
      <c r="N700" s="2">
        <v>-9.3799541298153332E-3</v>
      </c>
      <c r="O700" s="2">
        <v>-1.6231194928582549E-2</v>
      </c>
      <c r="P700" s="2">
        <v>0</v>
      </c>
      <c r="Q700" s="15">
        <f>AVERAGE(Tableau2[[#This Row],[AWB]:[IAM]])</f>
        <v>-2.0507863979339427E-4</v>
      </c>
      <c r="R700" s="15">
        <f>ABS(Tableau2[[#This Row],[Rm ]])</f>
        <v>2.0507863979339427E-4</v>
      </c>
      <c r="S700" s="15">
        <f>(Tableau2[[#This Row],[Rm ]]-Tableau2[[#Totals],[Rm ]])^2</f>
        <v>9.9347812472632773E-7</v>
      </c>
      <c r="T700" s="15">
        <f t="shared" si="20"/>
        <v>0.15934859630165385</v>
      </c>
      <c r="U700" s="15">
        <f t="shared" si="21"/>
        <v>0.25675396566274056</v>
      </c>
    </row>
    <row r="701" spans="1:21" x14ac:dyDescent="0.35">
      <c r="A701" s="10">
        <v>45925</v>
      </c>
      <c r="B701" s="2">
        <v>-6.6445427186686131E-3</v>
      </c>
      <c r="C701" s="2">
        <v>-1.9608471388376309E-2</v>
      </c>
      <c r="D701" s="2">
        <v>-1.5873349156290122E-2</v>
      </c>
      <c r="E701" s="2">
        <v>-1.8476276167573229E-2</v>
      </c>
      <c r="F701" s="2">
        <v>0</v>
      </c>
      <c r="G701" s="2">
        <v>-5.6022555486698981E-3</v>
      </c>
      <c r="H701" s="2">
        <v>-9.6062218054398674E-3</v>
      </c>
      <c r="I701" s="2">
        <v>-2.0050797045561081E-2</v>
      </c>
      <c r="J701" s="2">
        <v>-1.9802627296179751E-2</v>
      </c>
      <c r="K701" s="2">
        <v>-2.927038230011322E-2</v>
      </c>
      <c r="L701" s="2">
        <v>-2.677024106460478E-2</v>
      </c>
      <c r="M701" s="2">
        <v>1.9531256208820701E-3</v>
      </c>
      <c r="N701" s="2">
        <v>-5.2493558861436782E-3</v>
      </c>
      <c r="O701" s="2">
        <v>-1.373019281190202E-2</v>
      </c>
      <c r="P701" s="2">
        <v>0</v>
      </c>
      <c r="Q701" s="15">
        <f>AVERAGE(Tableau2[[#This Row],[AWB]:[IAM]])</f>
        <v>-1.2582105837909367E-2</v>
      </c>
      <c r="R701" s="15">
        <f>ABS(Tableau2[[#This Row],[Rm ]])</f>
        <v>1.2582105837909367E-2</v>
      </c>
      <c r="S701" s="15">
        <f>(Tableau2[[#This Row],[Rm ]]-Tableau2[[#Totals],[Rm ]])^2</f>
        <v>1.7885748131150333E-4</v>
      </c>
      <c r="T701" s="15">
        <f t="shared" si="20"/>
        <v>0.11410768227260241</v>
      </c>
      <c r="U701" s="15">
        <f t="shared" si="21"/>
        <v>0.15934859630165385</v>
      </c>
    </row>
    <row r="702" spans="1:21" x14ac:dyDescent="0.35">
      <c r="A702" s="10">
        <v>45926</v>
      </c>
      <c r="B702" s="2">
        <v>-3.5356548323077549E-3</v>
      </c>
      <c r="C702" s="2">
        <v>-2.2022912087437448E-2</v>
      </c>
      <c r="D702" s="2">
        <v>1.587334915629016E-2</v>
      </c>
      <c r="E702" s="2">
        <v>2.3282897595911681E-3</v>
      </c>
      <c r="F702" s="2">
        <v>0</v>
      </c>
      <c r="G702" s="2">
        <v>-3.1966192062492411E-2</v>
      </c>
      <c r="H702" s="2">
        <v>1.9286409064056861E-3</v>
      </c>
      <c r="I702" s="2">
        <v>1.2578782206860191E-2</v>
      </c>
      <c r="J702" s="2">
        <v>-1.0050335853501451E-2</v>
      </c>
      <c r="K702" s="2">
        <v>0</v>
      </c>
      <c r="L702" s="2">
        <v>-3.1498667059371051E-2</v>
      </c>
      <c r="M702" s="2">
        <v>-4.8792389355410812E-4</v>
      </c>
      <c r="N702" s="2">
        <v>-7.9260652724207157E-3</v>
      </c>
      <c r="O702" s="2">
        <v>-9.2593254127967123E-3</v>
      </c>
      <c r="P702" s="2">
        <v>0</v>
      </c>
      <c r="Q702" s="15">
        <f>AVERAGE(Tableau2[[#This Row],[AWB]:[IAM]])</f>
        <v>-5.6025342963156302E-3</v>
      </c>
      <c r="R702" s="15">
        <f>ABS(Tableau2[[#This Row],[Rm ]])</f>
        <v>5.6025342963156302E-3</v>
      </c>
      <c r="S702" s="15">
        <f>(Tableau2[[#This Row],[Rm ]]-Tableau2[[#Totals],[Rm ]])^2</f>
        <v>4.0885657886378505E-5</v>
      </c>
      <c r="T702" s="15">
        <f t="shared" si="20"/>
        <v>0.15298755193035743</v>
      </c>
      <c r="U702" s="15">
        <f t="shared" si="21"/>
        <v>0.11410768227260241</v>
      </c>
    </row>
    <row r="703" spans="1:21" x14ac:dyDescent="0.35">
      <c r="A703" s="10">
        <v>45929</v>
      </c>
      <c r="B703" s="2">
        <v>-1.4934527230093329E-2</v>
      </c>
      <c r="C703" s="2">
        <v>-2.182897044141198E-2</v>
      </c>
      <c r="D703" s="2">
        <v>-2.7945930390559339E-2</v>
      </c>
      <c r="E703" s="2">
        <v>-7.0011954589835881E-3</v>
      </c>
      <c r="F703" s="2">
        <v>0</v>
      </c>
      <c r="G703" s="2">
        <v>1.038670618880962E-2</v>
      </c>
      <c r="H703" s="2">
        <v>-1.749315744751723E-2</v>
      </c>
      <c r="I703" s="2">
        <v>-4.8402739228167471E-2</v>
      </c>
      <c r="J703" s="2">
        <v>-9.5310179804324893E-2</v>
      </c>
      <c r="K703" s="2">
        <v>-1.5854145215403769E-3</v>
      </c>
      <c r="L703" s="2">
        <v>-3.2523191705560069E-2</v>
      </c>
      <c r="M703" s="2">
        <v>-3.4255024550318813E-2</v>
      </c>
      <c r="N703" s="2">
        <v>-2.0906684819313709E-2</v>
      </c>
      <c r="O703" s="2">
        <v>-3.7919234862293733E-2</v>
      </c>
      <c r="P703" s="2">
        <v>0</v>
      </c>
      <c r="Q703" s="15">
        <f>AVERAGE(Tableau2[[#This Row],[AWB]:[IAM]])</f>
        <v>-2.3314636284751663E-2</v>
      </c>
      <c r="R703" s="15">
        <f>ABS(Tableau2[[#This Row],[Rm ]])</f>
        <v>2.3314636284751663E-2</v>
      </c>
      <c r="S703" s="15">
        <f>(Tableau2[[#This Row],[Rm ]]-Tableau2[[#Totals],[Rm ]])^2</f>
        <v>5.8111328376264323E-4</v>
      </c>
      <c r="T703" s="15">
        <f t="shared" si="20"/>
        <v>0.25117663846632715</v>
      </c>
      <c r="U703" s="15">
        <f t="shared" si="21"/>
        <v>0.15298755193035743</v>
      </c>
    </row>
    <row r="704" spans="1:21" x14ac:dyDescent="0.35">
      <c r="A704" s="10">
        <v>45930</v>
      </c>
      <c r="B704" s="2">
        <v>-8.0214333845752273E-3</v>
      </c>
      <c r="C704" s="2">
        <v>1.709443335930004E-2</v>
      </c>
      <c r="D704" s="2">
        <v>3.1875208530449027E-2</v>
      </c>
      <c r="E704" s="2">
        <v>-1.1716462968907469E-3</v>
      </c>
      <c r="F704" s="2">
        <v>-3.2828074920713227E-2</v>
      </c>
      <c r="G704" s="2">
        <v>1.5945668155426852E-2</v>
      </c>
      <c r="H704" s="2">
        <v>2.8987536873252191E-2</v>
      </c>
      <c r="I704" s="2">
        <v>1.536288514996733E-2</v>
      </c>
      <c r="J704" s="2">
        <v>7.1458963982145046E-2</v>
      </c>
      <c r="K704" s="2">
        <v>-8.3649163316276576E-3</v>
      </c>
      <c r="L704" s="2">
        <v>-2.935221201252745E-2</v>
      </c>
      <c r="M704" s="2">
        <v>3.4742948443872837E-2</v>
      </c>
      <c r="N704" s="2">
        <v>2.883275009173444E-2</v>
      </c>
      <c r="O704" s="2">
        <v>3.3257221756482339E-2</v>
      </c>
      <c r="P704" s="2">
        <v>0</v>
      </c>
      <c r="Q704" s="15">
        <f>AVERAGE(Tableau2[[#This Row],[AWB]:[IAM]])</f>
        <v>1.3187955559753051E-2</v>
      </c>
      <c r="R704" s="15">
        <f>ABS(Tableau2[[#This Row],[Rm ]])</f>
        <v>1.3187955559753051E-2</v>
      </c>
      <c r="S704" s="15">
        <f>(Tableau2[[#This Row],[Rm ]]-Tableau2[[#Totals],[Rm ]])^2</f>
        <v>1.5366826537845544E-4</v>
      </c>
      <c r="T704" s="15">
        <f t="shared" si="20"/>
        <v>0.30542327408726905</v>
      </c>
      <c r="U704" s="15">
        <f t="shared" si="21"/>
        <v>0.25117663846632715</v>
      </c>
    </row>
    <row r="705" spans="1:21" x14ac:dyDescent="0.35">
      <c r="A705" s="10">
        <v>45931</v>
      </c>
      <c r="B705" s="2">
        <v>-2.72125635248847E-2</v>
      </c>
      <c r="C705" s="2">
        <v>-5.2185753170570191E-2</v>
      </c>
      <c r="D705" s="2">
        <v>-7.7431740132816035E-2</v>
      </c>
      <c r="E705" s="2">
        <v>-2.7454335887276832E-2</v>
      </c>
      <c r="F705" s="2">
        <v>3.6918060172238427E-2</v>
      </c>
      <c r="G705" s="2">
        <v>-7.0204258673248573E-2</v>
      </c>
      <c r="H705" s="2">
        <v>-5.8840500022933458E-2</v>
      </c>
      <c r="I705" s="2">
        <v>-4.4921687391511797E-2</v>
      </c>
      <c r="J705" s="2">
        <v>-6.9204428445737952E-3</v>
      </c>
      <c r="K705" s="2">
        <v>-3.0253043171020941E-2</v>
      </c>
      <c r="L705" s="2">
        <v>-4.348511193973878E-2</v>
      </c>
      <c r="M705" s="2">
        <v>-7.5985906977921985E-2</v>
      </c>
      <c r="N705" s="2">
        <v>-2.9374608679904241E-2</v>
      </c>
      <c r="O705" s="2">
        <v>-6.2671106962775683E-2</v>
      </c>
      <c r="P705" s="2">
        <v>1.7544309650909529E-2</v>
      </c>
      <c r="Q705" s="15">
        <f>AVERAGE(Tableau2[[#This Row],[AWB]:[IAM]])</f>
        <v>-3.6831912637068601E-2</v>
      </c>
      <c r="R705" s="15">
        <f>ABS(Tableau2[[#This Row],[Rm ]])</f>
        <v>3.6831912637068601E-2</v>
      </c>
      <c r="S705" s="15">
        <f>(Tableau2[[#This Row],[Rm ]]-Tableau2[[#Totals],[Rm ]])^2</f>
        <v>1.4155328483856763E-3</v>
      </c>
      <c r="T705" s="15">
        <f t="shared" si="20"/>
        <v>0.33139038754782246</v>
      </c>
      <c r="U705" s="15">
        <f t="shared" si="21"/>
        <v>0.30542327408726905</v>
      </c>
    </row>
    <row r="706" spans="1:21" x14ac:dyDescent="0.35">
      <c r="A706" s="10">
        <v>45932</v>
      </c>
      <c r="B706" s="2">
        <v>-1.3794054784272409E-4</v>
      </c>
      <c r="C706" s="2">
        <v>1.785554865916368E-4</v>
      </c>
      <c r="D706" s="2">
        <v>4.5556531602367223E-2</v>
      </c>
      <c r="E706" s="2">
        <v>-1.2050370563473679E-4</v>
      </c>
      <c r="F706" s="2">
        <v>-3.7426405519116912E-2</v>
      </c>
      <c r="G706" s="2">
        <v>-3.077165866675366E-2</v>
      </c>
      <c r="H706" s="2">
        <v>-1.015237146401796E-2</v>
      </c>
      <c r="I706" s="2">
        <v>0</v>
      </c>
      <c r="J706" s="2">
        <v>6.920442844573757E-3</v>
      </c>
      <c r="K706" s="2">
        <v>2.0202707317519469E-2</v>
      </c>
      <c r="L706" s="2">
        <v>0</v>
      </c>
      <c r="M706" s="2">
        <v>4.0737780448034E-2</v>
      </c>
      <c r="N706" s="2">
        <v>1.7728103293580599E-2</v>
      </c>
      <c r="O706" s="2">
        <v>9.9010709827115368E-3</v>
      </c>
      <c r="P706" s="2">
        <v>-1.754430965090939E-2</v>
      </c>
      <c r="Q706" s="15">
        <f>AVERAGE(Tableau2[[#This Row],[AWB]:[IAM]])</f>
        <v>3.0048001614068555E-3</v>
      </c>
      <c r="R706" s="15">
        <f>ABS(Tableau2[[#This Row],[Rm ]])</f>
        <v>3.0048001614068555E-3</v>
      </c>
      <c r="S706" s="15">
        <f>(Tableau2[[#This Row],[Rm ]]-Tableau2[[#Totals],[Rm ]])^2</f>
        <v>4.8980111146007817E-6</v>
      </c>
      <c r="T706" s="15">
        <f t="shared" si="20"/>
        <v>0.22685650188252907</v>
      </c>
      <c r="U706" s="15">
        <f t="shared" si="21"/>
        <v>0.33139038754782246</v>
      </c>
    </row>
    <row r="707" spans="1:21" x14ac:dyDescent="0.35">
      <c r="A707" s="10">
        <v>45933</v>
      </c>
      <c r="B707" s="2">
        <v>2.0616471891383392E-2</v>
      </c>
      <c r="C707" s="2">
        <v>4.4863095177846271E-2</v>
      </c>
      <c r="D707" s="2">
        <v>-2.459140313732221E-2</v>
      </c>
      <c r="E707" s="2">
        <v>9.8333925833155103E-3</v>
      </c>
      <c r="F707" s="2">
        <v>1.693480506333148E-3</v>
      </c>
      <c r="G707" s="2">
        <v>8.2731397597464895E-2</v>
      </c>
      <c r="H707" s="2">
        <v>4.0005334613699213E-2</v>
      </c>
      <c r="I707" s="2">
        <v>3.6618577935329473E-2</v>
      </c>
      <c r="J707" s="2">
        <v>1.3698844358161931E-2</v>
      </c>
      <c r="K707" s="2">
        <v>2.9852963149681128E-2</v>
      </c>
      <c r="L707" s="2">
        <v>6.4538521137571164E-2</v>
      </c>
      <c r="M707" s="2">
        <v>5.0517808601511073E-4</v>
      </c>
      <c r="N707" s="2">
        <v>1.0593319401665019E-2</v>
      </c>
      <c r="O707" s="2">
        <v>2.192536062896568E-2</v>
      </c>
      <c r="P707" s="2">
        <v>0</v>
      </c>
      <c r="Q707" s="15">
        <f>AVERAGE(Tableau2[[#This Row],[AWB]:[IAM]])</f>
        <v>2.3525635595340648E-2</v>
      </c>
      <c r="R707" s="15">
        <f>ABS(Tableau2[[#This Row],[Rm ]])</f>
        <v>2.3525635595340648E-2</v>
      </c>
      <c r="S707" s="15">
        <f>(Tableau2[[#This Row],[Rm ]]-Tableau2[[#Totals],[Rm ]])^2</f>
        <v>5.1683386969433604E-4</v>
      </c>
      <c r="T707" s="15">
        <f t="shared" ref="T707:T759" si="22">(ABS(B707-$Q707)+ABS(C707-$Q707)+ABS(D707-$Q707)+ABS(E707-$Q707)+ABS(F707-$Q707)+ABS(G707-$Q707)+ABS(H707-$Q707)+ABS(I707-$Q707)+ABS(J707-$Q707)+ABS(K707-$Q707)+ABS(L707-$Q707)+ABS(M707-$Q707)+ABS(N707-$Q707)+ABS(O707-$Q707)+ABS(P707-$Q707)/15)</f>
        <v>0.29295489219011189</v>
      </c>
      <c r="U707" s="15">
        <f t="shared" si="21"/>
        <v>0.22685650188252907</v>
      </c>
    </row>
    <row r="708" spans="1:21" x14ac:dyDescent="0.35">
      <c r="A708" s="10">
        <v>45938</v>
      </c>
      <c r="B708" s="2">
        <v>8.0754140055453311E-3</v>
      </c>
      <c r="C708" s="2">
        <v>-2.9062333473693172E-3</v>
      </c>
      <c r="D708" s="2">
        <v>0</v>
      </c>
      <c r="E708" s="2">
        <v>2.383791355276197E-3</v>
      </c>
      <c r="F708" s="2">
        <v>1.5113637810048109E-2</v>
      </c>
      <c r="G708" s="2">
        <v>5.7030544777693849E-2</v>
      </c>
      <c r="H708" s="2">
        <v>3.278982282299097E-2</v>
      </c>
      <c r="I708" s="2">
        <v>-3.5268138837458107E-2</v>
      </c>
      <c r="J708" s="2">
        <v>5.2992530140510377E-2</v>
      </c>
      <c r="K708" s="2">
        <v>-1.9802627296179751E-2</v>
      </c>
      <c r="L708" s="2">
        <v>2.061928720273561E-2</v>
      </c>
      <c r="M708" s="2">
        <v>-1.937847483731071E-2</v>
      </c>
      <c r="N708" s="2">
        <v>-1.486226932124091E-2</v>
      </c>
      <c r="O708" s="2">
        <v>1.197619104671562E-2</v>
      </c>
      <c r="P708" s="2">
        <v>-1.7857617400006579E-2</v>
      </c>
      <c r="Q708" s="15">
        <f>AVERAGE(Tableau2[[#This Row],[AWB]:[IAM]])</f>
        <v>6.0603905414633808E-3</v>
      </c>
      <c r="R708" s="15">
        <f>ABS(Tableau2[[#This Row],[Rm ]])</f>
        <v>6.0603905414633808E-3</v>
      </c>
      <c r="S708" s="15">
        <f>(Tableau2[[#This Row],[Rm ]]-Tableau2[[#Totals],[Rm ]])^2</f>
        <v>2.7759573275381765E-5</v>
      </c>
      <c r="T708" s="15">
        <f t="shared" si="22"/>
        <v>0.29002591395328714</v>
      </c>
      <c r="U708" s="15">
        <f t="shared" ref="U708:U759" si="23">T707</f>
        <v>0.29295489219011189</v>
      </c>
    </row>
    <row r="709" spans="1:21" x14ac:dyDescent="0.35">
      <c r="A709" s="10">
        <v>45939</v>
      </c>
      <c r="B709" s="2">
        <v>-2.1681066061324049E-2</v>
      </c>
      <c r="C709" s="2">
        <v>-2.4435840217667908E-2</v>
      </c>
      <c r="D709" s="2">
        <v>-4.2379222968861423E-2</v>
      </c>
      <c r="E709" s="2">
        <v>-2.409755157906053E-2</v>
      </c>
      <c r="F709" s="2">
        <v>0</v>
      </c>
      <c r="G709" s="2">
        <v>-2.3646963819472379E-2</v>
      </c>
      <c r="H709" s="2">
        <v>-3.8022859497385711E-3</v>
      </c>
      <c r="I709" s="2">
        <v>-7.0422826254128114E-3</v>
      </c>
      <c r="J709" s="2">
        <v>-1.291155763619816E-3</v>
      </c>
      <c r="K709" s="2">
        <v>0</v>
      </c>
      <c r="L709" s="2">
        <v>-8.1665990655597793E-4</v>
      </c>
      <c r="M709" s="2">
        <v>3.5980506562905551E-3</v>
      </c>
      <c r="N709" s="2">
        <v>-3.2059251965218867E-2</v>
      </c>
      <c r="O709" s="2">
        <v>-4.3802622658392888E-2</v>
      </c>
      <c r="P709" s="2">
        <v>0</v>
      </c>
      <c r="Q709" s="15">
        <f>AVERAGE(Tableau2[[#This Row],[AWB]:[IAM]])</f>
        <v>-1.4763790190602312E-2</v>
      </c>
      <c r="R709" s="15">
        <f>ABS(Tableau2[[#This Row],[Rm ]])</f>
        <v>1.4763790190602312E-2</v>
      </c>
      <c r="S709" s="15">
        <f>(Tableau2[[#This Row],[Rm ]]-Tableau2[[#Totals],[Rm ]])^2</f>
        <v>2.4197187782503928E-4</v>
      </c>
      <c r="T709" s="15">
        <f t="shared" si="22"/>
        <v>0.20373243836033489</v>
      </c>
      <c r="U709" s="15">
        <f t="shared" si="23"/>
        <v>0.29002591395328714</v>
      </c>
    </row>
    <row r="710" spans="1:21" x14ac:dyDescent="0.35">
      <c r="A710" s="10">
        <v>45940</v>
      </c>
      <c r="B710" s="2">
        <v>0</v>
      </c>
      <c r="C710" s="2">
        <v>0</v>
      </c>
      <c r="D710" s="2">
        <v>1.759324502423016E-2</v>
      </c>
      <c r="E710" s="2">
        <v>-1.9705071079332441E-2</v>
      </c>
      <c r="F710" s="2">
        <v>-1.6668055709894E-4</v>
      </c>
      <c r="G710" s="2">
        <v>-9.5052434974280953E-3</v>
      </c>
      <c r="H710" s="2">
        <v>-1.9231361927887641E-2</v>
      </c>
      <c r="I710" s="2">
        <v>-1.7549120511909259E-2</v>
      </c>
      <c r="J710" s="2">
        <v>-3.0166221825592501E-2</v>
      </c>
      <c r="K710" s="2">
        <v>1.960652963891835E-2</v>
      </c>
      <c r="L710" s="2">
        <v>-1.9802627296179751E-2</v>
      </c>
      <c r="M710" s="2">
        <v>-4.6284474501869493E-3</v>
      </c>
      <c r="N710" s="2">
        <v>-6.0925139991573054E-3</v>
      </c>
      <c r="O710" s="2">
        <v>1.481508578514068E-2</v>
      </c>
      <c r="P710" s="2">
        <v>0</v>
      </c>
      <c r="Q710" s="15">
        <f>AVERAGE(Tableau2[[#This Row],[AWB]:[IAM]])</f>
        <v>-4.988828513098913E-3</v>
      </c>
      <c r="R710" s="15">
        <f>ABS(Tableau2[[#This Row],[Rm ]])</f>
        <v>4.988828513098913E-3</v>
      </c>
      <c r="S710" s="15">
        <f>(Tableau2[[#This Row],[Rm ]]-Tableau2[[#Totals],[Rm ]])^2</f>
        <v>3.3413990666084499E-5</v>
      </c>
      <c r="T710" s="15">
        <f t="shared" si="22"/>
        <v>0.16960448114603022</v>
      </c>
      <c r="U710" s="15">
        <f t="shared" si="23"/>
        <v>0.20373243836033489</v>
      </c>
    </row>
    <row r="711" spans="1:21" x14ac:dyDescent="0.35">
      <c r="A711" s="10">
        <v>45943</v>
      </c>
      <c r="B711" s="2">
        <v>1.333534525591672E-2</v>
      </c>
      <c r="C711" s="2">
        <v>6.9930354909706043E-3</v>
      </c>
      <c r="D711" s="2">
        <v>-2.7031585754591241E-2</v>
      </c>
      <c r="E711" s="2">
        <v>2.6995504342011731E-2</v>
      </c>
      <c r="F711" s="2">
        <v>1.6668055709891271E-4</v>
      </c>
      <c r="G711" s="2">
        <v>-2.8491955794306158E-2</v>
      </c>
      <c r="H711" s="2">
        <v>9.6619109117368901E-3</v>
      </c>
      <c r="I711" s="2">
        <v>-4.158010148663677E-3</v>
      </c>
      <c r="J711" s="2">
        <v>3.1457377589212243E-2</v>
      </c>
      <c r="K711" s="2">
        <v>1.960976572614468E-4</v>
      </c>
      <c r="L711" s="2">
        <v>0</v>
      </c>
      <c r="M711" s="2">
        <v>5.1413995004186523E-3</v>
      </c>
      <c r="N711" s="2">
        <v>3.278982282299097E-2</v>
      </c>
      <c r="O711" s="2">
        <v>2.4506800759829849E-4</v>
      </c>
      <c r="P711" s="2">
        <v>0</v>
      </c>
      <c r="Q711" s="15">
        <f>AVERAGE(Tableau2[[#This Row],[AWB]:[IAM]])</f>
        <v>4.486712695843692E-3</v>
      </c>
      <c r="R711" s="15">
        <f>ABS(Tableau2[[#This Row],[Rm ]])</f>
        <v>4.486712695843692E-3</v>
      </c>
      <c r="S711" s="15">
        <f>(Tableau2[[#This Row],[Rm ]]-Tableau2[[#Totals],[Rm ]])^2</f>
        <v>1.3653450723039186E-5</v>
      </c>
      <c r="T711" s="15">
        <f t="shared" si="22"/>
        <v>0.18574721556858315</v>
      </c>
      <c r="U711" s="15">
        <f t="shared" si="23"/>
        <v>0.16960448114603022</v>
      </c>
    </row>
    <row r="712" spans="1:21" x14ac:dyDescent="0.35">
      <c r="A712" s="10">
        <v>45944</v>
      </c>
      <c r="B712" s="2">
        <v>-1.333534525591676E-2</v>
      </c>
      <c r="C712" s="2">
        <v>-3.5464709572282663E-2</v>
      </c>
      <c r="D712" s="2">
        <v>-5.5435012792093598E-2</v>
      </c>
      <c r="E712" s="2">
        <v>-7.2904332626792323E-3</v>
      </c>
      <c r="F712" s="2">
        <v>0</v>
      </c>
      <c r="G712" s="2">
        <v>-3.5896763829989568E-2</v>
      </c>
      <c r="H712" s="2">
        <v>-1.9614183514363049E-2</v>
      </c>
      <c r="I712" s="2">
        <v>-2.7314101246714548E-2</v>
      </c>
      <c r="J712" s="2">
        <v>-7.7720598477029734E-3</v>
      </c>
      <c r="K712" s="2">
        <v>-1.9609765726144669E-4</v>
      </c>
      <c r="L712" s="2">
        <v>-4.2559614418795889E-2</v>
      </c>
      <c r="M712" s="2">
        <v>-2.5975486403260681E-2</v>
      </c>
      <c r="N712" s="2">
        <v>-2.946203273031622E-2</v>
      </c>
      <c r="O712" s="2">
        <v>-3.009803115727953E-2</v>
      </c>
      <c r="P712" s="2">
        <v>0</v>
      </c>
      <c r="Q712" s="15">
        <f>AVERAGE(Tableau2[[#This Row],[AWB]:[IAM]])</f>
        <v>-2.2027591445910412E-2</v>
      </c>
      <c r="R712" s="15">
        <f>ABS(Tableau2[[#This Row],[Rm ]])</f>
        <v>2.2027591445910412E-2</v>
      </c>
      <c r="S712" s="15">
        <f>(Tableau2[[#This Row],[Rm ]]-Tableau2[[#Totals],[Rm ]])^2</f>
        <v>5.2071801238924261E-4</v>
      </c>
      <c r="T712" s="15">
        <f t="shared" si="22"/>
        <v>0.19141095581738246</v>
      </c>
      <c r="U712" s="15">
        <f t="shared" si="23"/>
        <v>0.18574721556858315</v>
      </c>
    </row>
    <row r="713" spans="1:21" x14ac:dyDescent="0.35">
      <c r="A713" s="10">
        <v>45945</v>
      </c>
      <c r="B713" s="2">
        <v>-2.0761991448429131E-2</v>
      </c>
      <c r="C713" s="2">
        <v>8.8058795283685598E-3</v>
      </c>
      <c r="D713" s="2">
        <v>9.2416575363058352E-3</v>
      </c>
      <c r="E713" s="2">
        <v>-1.5980671988350011E-2</v>
      </c>
      <c r="F713" s="2">
        <v>0</v>
      </c>
      <c r="G713" s="2">
        <v>-1.144935676720877E-2</v>
      </c>
      <c r="H713" s="2">
        <v>-1.5415325020450109E-2</v>
      </c>
      <c r="I713" s="2">
        <v>-3.4315160924508728E-3</v>
      </c>
      <c r="J713" s="2">
        <v>-3.8440783307428561E-2</v>
      </c>
      <c r="K713" s="2">
        <v>-1.7666115105872599E-3</v>
      </c>
      <c r="L713" s="2">
        <v>1.724180643450595E-2</v>
      </c>
      <c r="M713" s="2">
        <v>0</v>
      </c>
      <c r="N713" s="2">
        <v>1.7019351238195011E-2</v>
      </c>
      <c r="O713" s="2">
        <v>4.5351551653913628E-3</v>
      </c>
      <c r="P713" s="2">
        <v>0</v>
      </c>
      <c r="Q713" s="15">
        <f>AVERAGE(Tableau2[[#This Row],[AWB]:[IAM]])</f>
        <v>-3.3601604154758669E-3</v>
      </c>
      <c r="R713" s="15">
        <f>ABS(Tableau2[[#This Row],[Rm ]])</f>
        <v>3.3601604154758669E-3</v>
      </c>
      <c r="S713" s="15">
        <f>(Tableau2[[#This Row],[Rm ]]-Tableau2[[#Totals],[Rm ]])^2</f>
        <v>1.7237571977424359E-5</v>
      </c>
      <c r="T713" s="15">
        <f t="shared" si="22"/>
        <v>0.16750121454181371</v>
      </c>
      <c r="U713" s="15">
        <f t="shared" si="23"/>
        <v>0.19141095581738246</v>
      </c>
    </row>
    <row r="714" spans="1:21" x14ac:dyDescent="0.35">
      <c r="A714" s="10">
        <v>45946</v>
      </c>
      <c r="B714" s="2">
        <v>2.0761991448429221E-2</v>
      </c>
      <c r="C714" s="2">
        <v>-1.611603894341533E-3</v>
      </c>
      <c r="D714" s="2">
        <v>2.1954033262482742E-2</v>
      </c>
      <c r="E714" s="2">
        <v>-1.239925763320547E-3</v>
      </c>
      <c r="F714" s="2">
        <v>-1.6468192707307309E-2</v>
      </c>
      <c r="G714" s="2">
        <v>2.454478200395405E-2</v>
      </c>
      <c r="H714" s="2">
        <v>5.5610868242100958E-3</v>
      </c>
      <c r="I714" s="2">
        <v>3.074561733916549E-2</v>
      </c>
      <c r="J714" s="2">
        <v>3.2571839170901597E-2</v>
      </c>
      <c r="K714" s="2">
        <v>-1.7839918128331009E-2</v>
      </c>
      <c r="L714" s="2">
        <v>0</v>
      </c>
      <c r="M714" s="2">
        <v>4.5778113699440279E-2</v>
      </c>
      <c r="N714" s="2">
        <v>1.244268149212137E-2</v>
      </c>
      <c r="O714" s="2">
        <v>2.654254788018566E-2</v>
      </c>
      <c r="P714" s="2">
        <v>0</v>
      </c>
      <c r="Q714" s="15">
        <f>AVERAGE(Tableau2[[#This Row],[AWB]:[IAM]])</f>
        <v>1.2249536841839341E-2</v>
      </c>
      <c r="R714" s="15">
        <f>ABS(Tableau2[[#This Row],[Rm ]])</f>
        <v>1.2249536841839341E-2</v>
      </c>
      <c r="S714" s="15">
        <f>(Tableau2[[#This Row],[Rm ]]-Tableau2[[#Totals],[Rm ]])^2</f>
        <v>1.3128305427800502E-4</v>
      </c>
      <c r="T714" s="15">
        <f t="shared" si="22"/>
        <v>0.22325772207154798</v>
      </c>
      <c r="U714" s="15">
        <f t="shared" si="23"/>
        <v>0.16750121454181371</v>
      </c>
    </row>
    <row r="715" spans="1:21" x14ac:dyDescent="0.35">
      <c r="A715" s="10">
        <v>45947</v>
      </c>
      <c r="B715" s="2">
        <v>-2.7434859457508322E-3</v>
      </c>
      <c r="C715" s="2">
        <v>3.5778213478839019E-3</v>
      </c>
      <c r="D715" s="2">
        <v>8.7371839191666602E-3</v>
      </c>
      <c r="E715" s="2">
        <v>3.4149659852118569E-2</v>
      </c>
      <c r="F715" s="2">
        <v>1.4800135606610259E-2</v>
      </c>
      <c r="G715" s="2">
        <v>-5.9312154899646462E-3</v>
      </c>
      <c r="H715" s="2">
        <v>2.7543493301018681E-2</v>
      </c>
      <c r="I715" s="2">
        <v>2.1707130660572869E-2</v>
      </c>
      <c r="J715" s="2">
        <v>-6.9740604954821164E-2</v>
      </c>
      <c r="K715" s="2">
        <v>1.7839918128331019E-2</v>
      </c>
      <c r="L715" s="2">
        <v>-1.3336398997251709E-2</v>
      </c>
      <c r="M715" s="2">
        <v>-3.5306813832144963E-2</v>
      </c>
      <c r="N715" s="2">
        <v>-8.6393625907077408E-3</v>
      </c>
      <c r="O715" s="2">
        <v>-1.224739895895824E-3</v>
      </c>
      <c r="P715" s="2">
        <v>0</v>
      </c>
      <c r="Q715" s="15">
        <f>AVERAGE(Tableau2[[#This Row],[AWB]:[IAM]])</f>
        <v>-5.7115192605566173E-4</v>
      </c>
      <c r="R715" s="15">
        <f>ABS(Tableau2[[#This Row],[Rm ]])</f>
        <v>5.7115192605566173E-4</v>
      </c>
      <c r="S715" s="15">
        <f>(Tableau2[[#This Row],[Rm ]]-Tableau2[[#Totals],[Rm ]])^2</f>
        <v>1.8572429583870718E-6</v>
      </c>
      <c r="T715" s="15">
        <f t="shared" si="22"/>
        <v>0.26531604131730924</v>
      </c>
      <c r="U715" s="15">
        <f t="shared" si="23"/>
        <v>0.22325772207154798</v>
      </c>
    </row>
    <row r="716" spans="1:21" x14ac:dyDescent="0.35">
      <c r="A716" s="10">
        <v>45950</v>
      </c>
      <c r="B716" s="2">
        <v>2.173998663640582E-2</v>
      </c>
      <c r="C716" s="2">
        <v>3.4573944616492339E-2</v>
      </c>
      <c r="D716" s="2">
        <v>6.3161691624696897E-2</v>
      </c>
      <c r="E716" s="2">
        <v>7.168489478612497E-3</v>
      </c>
      <c r="F716" s="2">
        <v>3.445787992368797E-2</v>
      </c>
      <c r="G716" s="2">
        <v>3.3921380945667393E-2</v>
      </c>
      <c r="H716" s="2">
        <v>2.285813807605018E-2</v>
      </c>
      <c r="I716" s="2">
        <v>2.2043903365561949E-2</v>
      </c>
      <c r="J716" s="2">
        <v>5.0591786116060321E-2</v>
      </c>
      <c r="K716" s="2">
        <v>1.1718884113213481E-2</v>
      </c>
      <c r="L716" s="2">
        <v>3.8654206981541588E-2</v>
      </c>
      <c r="M716" s="2">
        <v>5.077232537342314E-2</v>
      </c>
      <c r="N716" s="2">
        <v>2.0929124540613339E-2</v>
      </c>
      <c r="O716" s="2">
        <v>1.4598799421152629E-2</v>
      </c>
      <c r="P716" s="2">
        <v>0</v>
      </c>
      <c r="Q716" s="15">
        <f>AVERAGE(Tableau2[[#This Row],[AWB]:[IAM]])</f>
        <v>2.8479369414211968E-2</v>
      </c>
      <c r="R716" s="15">
        <f>ABS(Tableau2[[#This Row],[Rm ]])</f>
        <v>2.8479369414211968E-2</v>
      </c>
      <c r="S716" s="15">
        <f>(Tableau2[[#This Row],[Rm ]]-Tableau2[[#Totals],[Rm ]])^2</f>
        <v>7.6660952459310617E-4</v>
      </c>
      <c r="T716" s="15">
        <f t="shared" si="22"/>
        <v>0.18697451457757389</v>
      </c>
      <c r="U716" s="15">
        <f t="shared" si="23"/>
        <v>0.26531604131730924</v>
      </c>
    </row>
    <row r="717" spans="1:21" x14ac:dyDescent="0.35">
      <c r="A717" s="10">
        <v>45951</v>
      </c>
      <c r="B717" s="2">
        <v>3.2139247040497428E-2</v>
      </c>
      <c r="C717" s="2">
        <v>3.4252246313360067E-2</v>
      </c>
      <c r="D717" s="2">
        <v>1.242251999855711E-2</v>
      </c>
      <c r="E717" s="2">
        <v>9.4787439545437387E-3</v>
      </c>
      <c r="F717" s="2">
        <v>-2.4222862065946689E-3</v>
      </c>
      <c r="G717" s="2">
        <v>3.4476429529973103E-2</v>
      </c>
      <c r="H717" s="2">
        <v>2.2347298691996621E-2</v>
      </c>
      <c r="I717" s="2">
        <v>4.7764074809638311E-2</v>
      </c>
      <c r="J717" s="2">
        <v>4.3059489460447013E-2</v>
      </c>
      <c r="K717" s="2">
        <v>0</v>
      </c>
      <c r="L717" s="2">
        <v>2.8749413285985789E-2</v>
      </c>
      <c r="M717" s="2">
        <v>4.445549430564303E-3</v>
      </c>
      <c r="N717" s="2">
        <v>1.6329043355747131E-2</v>
      </c>
      <c r="O717" s="2">
        <v>2.8573372444055951E-2</v>
      </c>
      <c r="P717" s="2">
        <v>0</v>
      </c>
      <c r="Q717" s="15">
        <f>AVERAGE(Tableau2[[#This Row],[AWB]:[IAM]])</f>
        <v>2.0774342807251458E-2</v>
      </c>
      <c r="R717" s="15">
        <f>ABS(Tableau2[[#This Row],[Rm ]])</f>
        <v>2.0774342807251458E-2</v>
      </c>
      <c r="S717" s="15">
        <f>(Tableau2[[#This Row],[Rm ]]-Tableau2[[#Totals],[Rm ]])^2</f>
        <v>3.9930780847298567E-4</v>
      </c>
      <c r="T717" s="15">
        <f t="shared" si="22"/>
        <v>0.19094427161578384</v>
      </c>
      <c r="U717" s="15">
        <f t="shared" si="23"/>
        <v>0.18697451457757389</v>
      </c>
    </row>
    <row r="718" spans="1:21" x14ac:dyDescent="0.35">
      <c r="A718" s="10">
        <v>45952</v>
      </c>
      <c r="B718" s="2">
        <v>1.5113637810048319E-2</v>
      </c>
      <c r="C718" s="2">
        <v>-2.686199183082031E-2</v>
      </c>
      <c r="D718" s="2">
        <v>8.1967672041784907E-3</v>
      </c>
      <c r="E718" s="2">
        <v>-9.47874395454377E-3</v>
      </c>
      <c r="F718" s="2">
        <v>-1.7122309866375619E-2</v>
      </c>
      <c r="G718" s="2">
        <v>2.6858287502868821E-2</v>
      </c>
      <c r="H718" s="2">
        <v>2.0055366813348428E-2</v>
      </c>
      <c r="I718" s="2">
        <v>2.6267926820610101E-2</v>
      </c>
      <c r="J718" s="2">
        <v>1.2690525644044919E-2</v>
      </c>
      <c r="K718" s="2">
        <v>-5.8422756242284034E-3</v>
      </c>
      <c r="L718" s="2">
        <v>1.16725012129294E-2</v>
      </c>
      <c r="M718" s="2">
        <v>2.9527580508806172E-3</v>
      </c>
      <c r="N718" s="2">
        <v>-7.3414068583677449E-3</v>
      </c>
      <c r="O718" s="2">
        <v>-4.7058910374126166E-3</v>
      </c>
      <c r="P718" s="2">
        <v>0</v>
      </c>
      <c r="Q718" s="15">
        <f>AVERAGE(Tableau2[[#This Row],[AWB]:[IAM]])</f>
        <v>3.4970101258107078E-3</v>
      </c>
      <c r="R718" s="15">
        <f>ABS(Tableau2[[#This Row],[Rm ]])</f>
        <v>3.4970101258107078E-3</v>
      </c>
      <c r="S718" s="15">
        <f>(Tableau2[[#This Row],[Rm ]]-Tableau2[[#Totals],[Rm ]])^2</f>
        <v>7.3189458789645563E-6</v>
      </c>
      <c r="T718" s="15">
        <f t="shared" si="22"/>
        <v>0.1894880081372837</v>
      </c>
      <c r="U718" s="15">
        <f t="shared" si="23"/>
        <v>0.19094427161578384</v>
      </c>
    </row>
    <row r="719" spans="1:21" x14ac:dyDescent="0.35">
      <c r="A719" s="10">
        <v>45953</v>
      </c>
      <c r="B719" s="2">
        <v>0</v>
      </c>
      <c r="C719" s="2">
        <v>1.2084225002096801E-2</v>
      </c>
      <c r="D719" s="2">
        <v>3.666738677419941E-3</v>
      </c>
      <c r="E719" s="2">
        <v>1.065729447398798E-2</v>
      </c>
      <c r="F719" s="2">
        <v>3.1201273362436782E-3</v>
      </c>
      <c r="G719" s="2">
        <v>-3.2502737173015842E-3</v>
      </c>
      <c r="H719" s="2">
        <v>-7.2464085207671978E-3</v>
      </c>
      <c r="I719" s="2">
        <v>-6.191970247921107E-3</v>
      </c>
      <c r="J719" s="2">
        <v>-4.4233879391511058E-3</v>
      </c>
      <c r="K719" s="2">
        <v>-2.371652661731604E-2</v>
      </c>
      <c r="L719" s="2">
        <v>-8.4388686458645949E-3</v>
      </c>
      <c r="M719" s="2">
        <v>-1.5849762210877149E-2</v>
      </c>
      <c r="N719" s="2">
        <v>-1.053185984658701E-3</v>
      </c>
      <c r="O719" s="2">
        <v>4.7058910374127138E-3</v>
      </c>
      <c r="P719" s="2">
        <v>0</v>
      </c>
      <c r="Q719" s="15">
        <f>AVERAGE(Tableau2[[#This Row],[AWB]:[IAM]])</f>
        <v>-2.3957404904464243E-3</v>
      </c>
      <c r="R719" s="15">
        <f>ABS(Tableau2[[#This Row],[Rm ]])</f>
        <v>2.3957404904464243E-3</v>
      </c>
      <c r="S719" s="15">
        <f>(Tableau2[[#This Row],[Rm ]]-Tableau2[[#Totals],[Rm ]])^2</f>
        <v>1.0159490575435825E-5</v>
      </c>
      <c r="T719" s="15">
        <f t="shared" si="22"/>
        <v>0.10245800447439764</v>
      </c>
      <c r="U719" s="15">
        <f t="shared" si="23"/>
        <v>0.1894880081372837</v>
      </c>
    </row>
    <row r="720" spans="1:21" x14ac:dyDescent="0.35">
      <c r="A720" s="10">
        <v>45954</v>
      </c>
      <c r="B720" s="2">
        <v>-1.2821334718503901E-4</v>
      </c>
      <c r="C720" s="2">
        <v>8.2554592350259637E-3</v>
      </c>
      <c r="D720" s="2">
        <v>-3.6667386774198942E-3</v>
      </c>
      <c r="E720" s="2">
        <v>3.527340517968441E-3</v>
      </c>
      <c r="F720" s="2">
        <v>-1.6365354086264289E-2</v>
      </c>
      <c r="G720" s="2">
        <v>9.1818090374234888E-3</v>
      </c>
      <c r="H720" s="2">
        <v>1.8018505502678209E-2</v>
      </c>
      <c r="I720" s="2">
        <v>1.602005918418356E-2</v>
      </c>
      <c r="J720" s="2">
        <v>-1.2747145197865571E-2</v>
      </c>
      <c r="K720" s="2">
        <v>0</v>
      </c>
      <c r="L720" s="2">
        <v>6.8369459965312443E-3</v>
      </c>
      <c r="M720" s="2">
        <v>8.4514547294322773E-3</v>
      </c>
      <c r="N720" s="2">
        <v>1.053185984658641E-3</v>
      </c>
      <c r="O720" s="2">
        <v>2.3661507498158232E-2</v>
      </c>
      <c r="P720" s="2">
        <v>0</v>
      </c>
      <c r="Q720" s="15">
        <f>AVERAGE(Tableau2[[#This Row],[AWB]:[IAM]])</f>
        <v>4.1399210918216843E-3</v>
      </c>
      <c r="R720" s="15">
        <f>ABS(Tableau2[[#This Row],[Rm ]])</f>
        <v>4.1399210918216843E-3</v>
      </c>
      <c r="S720" s="15">
        <f>(Tableau2[[#This Row],[Rm ]]-Tableau2[[#Totals],[Rm ]])^2</f>
        <v>1.121088523031431E-5</v>
      </c>
      <c r="T720" s="15">
        <f t="shared" si="22"/>
        <v>0.11902866072899548</v>
      </c>
      <c r="U720" s="15">
        <f t="shared" si="23"/>
        <v>0.10245800447439764</v>
      </c>
    </row>
    <row r="721" spans="1:21" x14ac:dyDescent="0.35">
      <c r="A721" s="10">
        <v>45957</v>
      </c>
      <c r="B721" s="2">
        <v>-8.8866577490303526E-3</v>
      </c>
      <c r="C721" s="2">
        <v>6.6889881507967101E-3</v>
      </c>
      <c r="D721" s="2">
        <v>-4.0899852515251661E-3</v>
      </c>
      <c r="E721" s="2">
        <v>-9.4340322333586416E-3</v>
      </c>
      <c r="F721" s="2">
        <v>0</v>
      </c>
      <c r="G721" s="2">
        <v>3.174869831458027E-2</v>
      </c>
      <c r="H721" s="2">
        <v>1.769957709940086E-2</v>
      </c>
      <c r="I721" s="2">
        <v>-2.2250608934819689E-2</v>
      </c>
      <c r="J721" s="2">
        <v>-1.2262173650101739E-2</v>
      </c>
      <c r="K721" s="2">
        <v>0</v>
      </c>
      <c r="L721" s="2">
        <v>-3.052118903488699E-2</v>
      </c>
      <c r="M721" s="2">
        <v>-9.950330853168092E-3</v>
      </c>
      <c r="N721" s="2">
        <v>4.2016868536999766E-3</v>
      </c>
      <c r="O721" s="2">
        <v>4.1180566089175476E-3</v>
      </c>
      <c r="P721" s="2">
        <v>-9.0498355199179273E-3</v>
      </c>
      <c r="Q721" s="15">
        <f>AVERAGE(Tableau2[[#This Row],[AWB]:[IAM]])</f>
        <v>-2.7991870799608815E-3</v>
      </c>
      <c r="R721" s="15">
        <f>ABS(Tableau2[[#This Row],[Rm ]])</f>
        <v>2.7991870799608815E-3</v>
      </c>
      <c r="S721" s="15">
        <f>(Tableau2[[#This Row],[Rm ]]-Tableau2[[#Totals],[Rm ]])^2</f>
        <v>1.2894147477387065E-5</v>
      </c>
      <c r="T721" s="15">
        <f t="shared" si="22"/>
        <v>0.16226869463028315</v>
      </c>
      <c r="U721" s="15">
        <f t="shared" si="23"/>
        <v>0.11902866072899548</v>
      </c>
    </row>
    <row r="722" spans="1:21" x14ac:dyDescent="0.35">
      <c r="A722" s="10">
        <v>45958</v>
      </c>
      <c r="B722" s="2">
        <v>5.1613017802255483E-3</v>
      </c>
      <c r="C722" s="2">
        <v>-3.3389012655145982E-3</v>
      </c>
      <c r="D722" s="2">
        <v>2.4292692569044479E-2</v>
      </c>
      <c r="E722" s="2">
        <v>7.0838548884050419E-3</v>
      </c>
      <c r="F722" s="2">
        <v>8.2988028146950641E-3</v>
      </c>
      <c r="G722" s="2">
        <v>1.7553367580900921E-2</v>
      </c>
      <c r="H722" s="2">
        <v>6.5689174671283088E-2</v>
      </c>
      <c r="I722" s="2">
        <v>2.200608026261474E-2</v>
      </c>
      <c r="J722" s="2">
        <v>-6.5146810211936419E-3</v>
      </c>
      <c r="K722" s="2">
        <v>0</v>
      </c>
      <c r="L722" s="2">
        <v>1.232048438804066E-2</v>
      </c>
      <c r="M722" s="2">
        <v>3.4938892542558382E-3</v>
      </c>
      <c r="N722" s="2">
        <v>-5.2548728383586974E-3</v>
      </c>
      <c r="O722" s="2">
        <v>-4.5766670274118657E-3</v>
      </c>
      <c r="P722" s="2">
        <v>0</v>
      </c>
      <c r="Q722" s="15">
        <f>AVERAGE(Tableau2[[#This Row],[AWB]:[IAM]])</f>
        <v>9.7476350704657697E-3</v>
      </c>
      <c r="R722" s="15">
        <f>ABS(Tableau2[[#This Row],[Rm ]])</f>
        <v>9.7476350704657697E-3</v>
      </c>
      <c r="S722" s="15">
        <f>(Tableau2[[#This Row],[Rm ]]-Tableau2[[#Totals],[Rm ]])^2</f>
        <v>8.0209577440887739E-5</v>
      </c>
      <c r="T722" s="15">
        <f t="shared" si="22"/>
        <v>0.17714945550667535</v>
      </c>
      <c r="U722" s="15">
        <f t="shared" si="23"/>
        <v>0.16226869463028315</v>
      </c>
    </row>
    <row r="723" spans="1:21" x14ac:dyDescent="0.35">
      <c r="A723" s="10">
        <v>45959</v>
      </c>
      <c r="B723" s="2">
        <v>0</v>
      </c>
      <c r="C723" s="2">
        <v>1.1637704080209831E-2</v>
      </c>
      <c r="D723" s="2">
        <v>-2.0202707317519469E-2</v>
      </c>
      <c r="E723" s="2">
        <v>-2.355713692459036E-3</v>
      </c>
      <c r="F723" s="2">
        <v>-8.2988028146950658E-3</v>
      </c>
      <c r="G723" s="2">
        <v>-2.8024667448196299E-2</v>
      </c>
      <c r="H723" s="2">
        <v>1.548649419813729E-2</v>
      </c>
      <c r="I723" s="2">
        <v>1.239534645471773E-2</v>
      </c>
      <c r="J723" s="2">
        <v>0</v>
      </c>
      <c r="K723" s="2">
        <v>1.980262729617973E-2</v>
      </c>
      <c r="L723" s="2">
        <v>-4.0824658660493359E-4</v>
      </c>
      <c r="M723" s="2">
        <v>-1.4958865915826909E-3</v>
      </c>
      <c r="N723" s="2">
        <v>-5.2700923485896295E-4</v>
      </c>
      <c r="O723" s="2">
        <v>-7.366515816762554E-3</v>
      </c>
      <c r="P723" s="2">
        <v>0</v>
      </c>
      <c r="Q723" s="15">
        <f>AVERAGE(Tableau2[[#This Row],[AWB]:[IAM]])</f>
        <v>-6.2382516489562889E-4</v>
      </c>
      <c r="R723" s="15">
        <f>ABS(Tableau2[[#This Row],[Rm ]])</f>
        <v>6.2382516489562889E-4</v>
      </c>
      <c r="S723" s="15">
        <f>(Tableau2[[#This Row],[Rm ]]-Tableau2[[#Totals],[Rm ]])^2</f>
        <v>2.0035843471972302E-6</v>
      </c>
      <c r="T723" s="15">
        <f t="shared" si="22"/>
        <v>0.12742044856311346</v>
      </c>
      <c r="U723" s="15">
        <f t="shared" si="23"/>
        <v>0.17714945550667535</v>
      </c>
    </row>
    <row r="724" spans="1:21" x14ac:dyDescent="0.35">
      <c r="A724" s="10">
        <v>45960</v>
      </c>
      <c r="B724" s="2">
        <v>0</v>
      </c>
      <c r="C724" s="2">
        <v>2.44910200082957E-2</v>
      </c>
      <c r="D724" s="2">
        <v>-1.6461277054071959E-2</v>
      </c>
      <c r="E724" s="2">
        <v>-9.47874395454377E-3</v>
      </c>
      <c r="F724" s="2">
        <v>0</v>
      </c>
      <c r="G724" s="2">
        <v>0</v>
      </c>
      <c r="H724" s="2">
        <v>-5.1897618914981698E-3</v>
      </c>
      <c r="I724" s="2">
        <v>9.6571711995879132E-4</v>
      </c>
      <c r="J724" s="2">
        <v>-6.5380845741884344E-4</v>
      </c>
      <c r="K724" s="2">
        <v>0</v>
      </c>
      <c r="L724" s="2">
        <v>4.082465866049452E-4</v>
      </c>
      <c r="M724" s="2">
        <v>2.9895388483659859E-3</v>
      </c>
      <c r="N724" s="2">
        <v>2.6322731703214688E-3</v>
      </c>
      <c r="O724" s="2">
        <v>2.7688065681330189E-3</v>
      </c>
      <c r="P724" s="2">
        <v>0</v>
      </c>
      <c r="Q724" s="15">
        <f>AVERAGE(Tableau2[[#This Row],[AWB]:[IAM]])</f>
        <v>1.648007296098112E-4</v>
      </c>
      <c r="R724" s="15">
        <f>ABS(Tableau2[[#This Row],[Rm ]])</f>
        <v>1.648007296098112E-4</v>
      </c>
      <c r="S724" s="15">
        <f>(Tableau2[[#This Row],[Rm ]]-Tableau2[[#Totals],[Rm ]])^2</f>
        <v>3.9294638701352394E-7</v>
      </c>
      <c r="T724" s="15">
        <f t="shared" si="22"/>
        <v>6.6379781833739576E-2</v>
      </c>
      <c r="U724" s="15">
        <f t="shared" si="23"/>
        <v>0.12742044856311346</v>
      </c>
    </row>
    <row r="725" spans="1:21" x14ac:dyDescent="0.35">
      <c r="A725" s="10">
        <v>45961</v>
      </c>
      <c r="B725" s="2">
        <v>0</v>
      </c>
      <c r="C725" s="2">
        <v>-3.2310205814464199E-3</v>
      </c>
      <c r="D725" s="2">
        <v>4.1407926660313871E-3</v>
      </c>
      <c r="E725" s="2">
        <v>1.18344576470028E-2</v>
      </c>
      <c r="F725" s="2">
        <v>4.08219945202552E-2</v>
      </c>
      <c r="G725" s="2">
        <v>0</v>
      </c>
      <c r="H725" s="2">
        <v>4.7043642604159283E-3</v>
      </c>
      <c r="I725" s="2">
        <v>-1.2872066009920489E-2</v>
      </c>
      <c r="J725" s="2">
        <v>-5.9035920887402123E-3</v>
      </c>
      <c r="K725" s="2">
        <v>2.8987536873252191E-2</v>
      </c>
      <c r="L725" s="2">
        <v>-4.0824658660493359E-4</v>
      </c>
      <c r="M725" s="2">
        <v>-4.9875415110390512E-3</v>
      </c>
      <c r="N725" s="2">
        <v>2.3897241097144861E-2</v>
      </c>
      <c r="O725" s="2">
        <v>0</v>
      </c>
      <c r="P725" s="2">
        <v>0</v>
      </c>
      <c r="Q725" s="15">
        <f>AVERAGE(Tableau2[[#This Row],[AWB]:[IAM]])</f>
        <v>5.7989280190900837E-3</v>
      </c>
      <c r="R725" s="15">
        <f>ABS(Tableau2[[#This Row],[Rm ]])</f>
        <v>5.7989280190900837E-3</v>
      </c>
      <c r="S725" s="15">
        <f>(Tableau2[[#This Row],[Rm ]]-Tableau2[[#Totals],[Rm ]])^2</f>
        <v>2.5072782203386081E-5</v>
      </c>
      <c r="T725" s="15">
        <f t="shared" si="22"/>
        <v>0.15927870330477201</v>
      </c>
      <c r="U725" s="15">
        <f t="shared" si="23"/>
        <v>6.6379781833739576E-2</v>
      </c>
    </row>
    <row r="726" spans="1:21" x14ac:dyDescent="0.35">
      <c r="A726" s="10">
        <v>45964</v>
      </c>
      <c r="B726" s="2">
        <v>3.8535693159899719E-3</v>
      </c>
      <c r="C726" s="2">
        <v>-1.9608471388376309E-2</v>
      </c>
      <c r="D726" s="2">
        <v>0</v>
      </c>
      <c r="E726" s="2">
        <v>1.123081528399333E-2</v>
      </c>
      <c r="F726" s="2">
        <v>-1.601281366973879E-3</v>
      </c>
      <c r="G726" s="2">
        <v>-1.1380300140508309E-2</v>
      </c>
      <c r="H726" s="2">
        <v>-1.204833851617448E-2</v>
      </c>
      <c r="I726" s="2">
        <v>4.6335895608818484E-3</v>
      </c>
      <c r="J726" s="2">
        <v>3.2840752011900191E-3</v>
      </c>
      <c r="K726" s="2">
        <v>0</v>
      </c>
      <c r="L726" s="2">
        <v>1.2578782206860191E-2</v>
      </c>
      <c r="M726" s="2">
        <v>4.9875415110389679E-3</v>
      </c>
      <c r="N726" s="2">
        <v>1.629363948610053E-2</v>
      </c>
      <c r="O726" s="2">
        <v>-9.2593254127967123E-3</v>
      </c>
      <c r="P726" s="2">
        <v>0</v>
      </c>
      <c r="Q726" s="15">
        <f>AVERAGE(Tableau2[[#This Row],[AWB]:[IAM]])</f>
        <v>1.9761971608167801E-4</v>
      </c>
      <c r="R726" s="15">
        <f>ABS(Tableau2[[#This Row],[Rm ]])</f>
        <v>1.9761971608167801E-4</v>
      </c>
      <c r="S726" s="15">
        <f>(Tableau2[[#This Row],[Rm ]]-Tableau2[[#Totals],[Rm ]])^2</f>
        <v>3.5287802345095367E-7</v>
      </c>
      <c r="T726" s="15">
        <f t="shared" si="22"/>
        <v>0.11077290403862332</v>
      </c>
      <c r="U726" s="15">
        <f t="shared" si="23"/>
        <v>0.15927870330477201</v>
      </c>
    </row>
    <row r="727" spans="1:21" x14ac:dyDescent="0.35">
      <c r="A727" s="10">
        <v>45965</v>
      </c>
      <c r="B727" s="2">
        <v>-1.290340483590784E-2</v>
      </c>
      <c r="C727" s="2">
        <v>2.2839491969822739E-2</v>
      </c>
      <c r="D727" s="2">
        <v>1.191223780143574E-2</v>
      </c>
      <c r="E727" s="2">
        <v>-8.1466399617633573E-4</v>
      </c>
      <c r="F727" s="2">
        <v>-6.5921936615539276E-3</v>
      </c>
      <c r="G727" s="2">
        <v>7.9819080997141714E-4</v>
      </c>
      <c r="H727" s="2">
        <v>1.560246180507294E-2</v>
      </c>
      <c r="I727" s="2">
        <v>-2.6878698633045359E-2</v>
      </c>
      <c r="J727" s="2">
        <v>-6.2489925436540316E-3</v>
      </c>
      <c r="K727" s="2">
        <v>-1.0531452052341709E-2</v>
      </c>
      <c r="L727" s="2">
        <v>-2.407788222096938E-2</v>
      </c>
      <c r="M727" s="2">
        <v>1.7263067423780771E-2</v>
      </c>
      <c r="N727" s="2">
        <v>-5.5710450494553601E-3</v>
      </c>
      <c r="O727" s="2">
        <v>3.2505252674479208E-3</v>
      </c>
      <c r="P727" s="2">
        <v>0</v>
      </c>
      <c r="Q727" s="15">
        <f>AVERAGE(Tableau2[[#This Row],[AWB]:[IAM]])</f>
        <v>-1.4634905277048276E-3</v>
      </c>
      <c r="R727" s="15">
        <f>ABS(Tableau2[[#This Row],[Rm ]])</f>
        <v>1.4634905277048276E-3</v>
      </c>
      <c r="S727" s="15">
        <f>(Tableau2[[#This Row],[Rm ]]-Tableau2[[#Totals],[Rm ]])^2</f>
        <v>5.085681749402472E-6</v>
      </c>
      <c r="T727" s="15">
        <f t="shared" si="22"/>
        <v>0.1637525461134631</v>
      </c>
      <c r="U727" s="15">
        <f t="shared" si="23"/>
        <v>0.11077290403862332</v>
      </c>
    </row>
    <row r="728" spans="1:21" x14ac:dyDescent="0.35">
      <c r="A728" s="10">
        <v>45966</v>
      </c>
      <c r="B728" s="2">
        <v>-3.9037134804732919E-3</v>
      </c>
      <c r="C728" s="2">
        <v>-3.2310205814464199E-3</v>
      </c>
      <c r="D728" s="2">
        <v>-1.605303046746704E-2</v>
      </c>
      <c r="E728" s="2">
        <v>-1.2815286893990349E-3</v>
      </c>
      <c r="F728" s="2">
        <v>1.6130333126356669E-4</v>
      </c>
      <c r="G728" s="2">
        <v>-4.348511193973878E-2</v>
      </c>
      <c r="H728" s="2">
        <v>-2.763193866208587E-2</v>
      </c>
      <c r="I728" s="2">
        <v>3.243920499048444E-3</v>
      </c>
      <c r="J728" s="2">
        <v>2.2509513415434321E-2</v>
      </c>
      <c r="K728" s="2">
        <v>0</v>
      </c>
      <c r="L728" s="2">
        <v>-1.708019027253815E-2</v>
      </c>
      <c r="M728" s="2">
        <v>9.7751718438734677E-4</v>
      </c>
      <c r="N728" s="2">
        <v>-2.542589724714365E-3</v>
      </c>
      <c r="O728" s="2">
        <v>-2.6781022677641951E-2</v>
      </c>
      <c r="P728" s="2">
        <v>0</v>
      </c>
      <c r="Q728" s="15">
        <f>AVERAGE(Tableau2[[#This Row],[AWB]:[IAM]])</f>
        <v>-7.6731928043580833E-3</v>
      </c>
      <c r="R728" s="15">
        <f>ABS(Tableau2[[#This Row],[Rm ]])</f>
        <v>7.6731928043580833E-3</v>
      </c>
      <c r="S728" s="15">
        <f>(Tableau2[[#This Row],[Rm ]]-Tableau2[[#Totals],[Rm ]])^2</f>
        <v>7.1653649845900588E-5</v>
      </c>
      <c r="T728" s="15">
        <f t="shared" si="22"/>
        <v>0.17816901337796187</v>
      </c>
      <c r="U728" s="15">
        <f t="shared" si="23"/>
        <v>0.1637525461134631</v>
      </c>
    </row>
    <row r="729" spans="1:21" x14ac:dyDescent="0.35">
      <c r="A729" s="10">
        <v>45968</v>
      </c>
      <c r="B729" s="2">
        <v>-1.3046316266648579E-3</v>
      </c>
      <c r="C729" s="2">
        <v>0</v>
      </c>
      <c r="D729" s="2">
        <v>-2.521141934649606E-2</v>
      </c>
      <c r="E729" s="2">
        <v>-1.1664529492410201E-3</v>
      </c>
      <c r="F729" s="2">
        <v>0</v>
      </c>
      <c r="G729" s="2">
        <v>-3.3901551675681339E-2</v>
      </c>
      <c r="H729" s="2">
        <v>2.4401439971481378E-2</v>
      </c>
      <c r="I729" s="2">
        <v>-1.0770298225031991E-2</v>
      </c>
      <c r="J729" s="2">
        <v>-3.2789822822990838E-2</v>
      </c>
      <c r="K729" s="2">
        <v>0</v>
      </c>
      <c r="L729" s="2">
        <v>-1.2685159527315691E-2</v>
      </c>
      <c r="M729" s="2">
        <v>-2.3228126119207191E-2</v>
      </c>
      <c r="N729" s="2">
        <v>-1.5910009706080249E-2</v>
      </c>
      <c r="O729" s="2">
        <v>0</v>
      </c>
      <c r="P729" s="2">
        <v>9.0498355199178562E-3</v>
      </c>
      <c r="Q729" s="15">
        <f>AVERAGE(Tableau2[[#This Row],[AWB]:[IAM]])</f>
        <v>-8.2344131004873332E-3</v>
      </c>
      <c r="R729" s="15">
        <f>ABS(Tableau2[[#This Row],[Rm ]])</f>
        <v>8.2344131004873332E-3</v>
      </c>
      <c r="S729" s="15">
        <f>(Tableau2[[#This Row],[Rm ]]-Tableau2[[#Totals],[Rm ]])^2</f>
        <v>8.1469906948705416E-5</v>
      </c>
      <c r="T729" s="15">
        <f t="shared" si="22"/>
        <v>0.17757902605973921</v>
      </c>
      <c r="U729" s="15">
        <f t="shared" si="23"/>
        <v>0.17816901337796187</v>
      </c>
    </row>
    <row r="730" spans="1:21" x14ac:dyDescent="0.35">
      <c r="A730" s="10">
        <v>45971</v>
      </c>
      <c r="B730" s="2">
        <v>-2.7797951361031751E-2</v>
      </c>
      <c r="C730" s="2">
        <v>-1.30295002903338E-2</v>
      </c>
      <c r="D730" s="2">
        <v>4.6699299473083574E-3</v>
      </c>
      <c r="E730" s="2">
        <v>-1.401541925288333E-3</v>
      </c>
      <c r="F730" s="2">
        <v>-1.614205354541114E-3</v>
      </c>
      <c r="G730" s="2">
        <v>9.4380794973069476E-3</v>
      </c>
      <c r="H730" s="2">
        <v>-1.204441643613853E-2</v>
      </c>
      <c r="I730" s="2">
        <v>-1.24162243749599E-2</v>
      </c>
      <c r="J730" s="2">
        <v>0</v>
      </c>
      <c r="K730" s="2">
        <v>-1.3483580969932171E-3</v>
      </c>
      <c r="L730" s="2">
        <v>1.058210933053701E-2</v>
      </c>
      <c r="M730" s="2">
        <v>4.9875415110389679E-3</v>
      </c>
      <c r="N730" s="2">
        <v>3.0991760343209041E-3</v>
      </c>
      <c r="O730" s="2">
        <v>-1.9474109835378998E-2</v>
      </c>
      <c r="P730" s="2">
        <v>-1.818231908319036E-2</v>
      </c>
      <c r="Q730" s="15">
        <f>AVERAGE(Tableau2[[#This Row],[AWB]:[IAM]])</f>
        <v>-4.968786029156254E-3</v>
      </c>
      <c r="R730" s="15">
        <f>ABS(Tableau2[[#This Row],[Rm ]])</f>
        <v>4.968786029156254E-3</v>
      </c>
      <c r="S730" s="15">
        <f>(Tableau2[[#This Row],[Rm ]]-Tableau2[[#Totals],[Rm ]])^2</f>
        <v>3.3182681867723263E-5</v>
      </c>
      <c r="T730" s="15">
        <f t="shared" si="22"/>
        <v>0.13393097956175978</v>
      </c>
      <c r="U730" s="15">
        <f t="shared" si="23"/>
        <v>0.17757902605973921</v>
      </c>
    </row>
    <row r="731" spans="1:21" x14ac:dyDescent="0.35">
      <c r="A731" s="10">
        <v>45972</v>
      </c>
      <c r="B731" s="2">
        <v>-1.8970758629781009E-2</v>
      </c>
      <c r="C731" s="2">
        <v>-8.373805164466061E-2</v>
      </c>
      <c r="D731" s="2">
        <v>-4.151049916837854E-2</v>
      </c>
      <c r="E731" s="2">
        <v>-2.3174364123548952E-2</v>
      </c>
      <c r="F731" s="2">
        <v>-4.7982735784830928E-2</v>
      </c>
      <c r="G731" s="2">
        <v>2.4463472178374229E-2</v>
      </c>
      <c r="H731" s="2">
        <v>-2.6044434683459339E-2</v>
      </c>
      <c r="I731" s="2">
        <v>-4.2182770372351359E-2</v>
      </c>
      <c r="J731" s="2">
        <v>-2.0202707317519469E-2</v>
      </c>
      <c r="K731" s="2">
        <v>-2.696002316692896E-2</v>
      </c>
      <c r="L731" s="2">
        <v>-3.2088314551500512E-2</v>
      </c>
      <c r="M731" s="2">
        <v>-2.7744528633655331E-2</v>
      </c>
      <c r="N731" s="2">
        <v>-3.6233945394019529E-2</v>
      </c>
      <c r="O731" s="2">
        <v>-2.931605433405296E-2</v>
      </c>
      <c r="P731" s="2">
        <v>0</v>
      </c>
      <c r="Q731" s="15">
        <f>AVERAGE(Tableau2[[#This Row],[AWB]:[IAM]])</f>
        <v>-2.8779047708420886E-2</v>
      </c>
      <c r="R731" s="15">
        <f>ABS(Tableau2[[#This Row],[Rm ]])</f>
        <v>2.8779047708420886E-2</v>
      </c>
      <c r="S731" s="15">
        <f>(Tableau2[[#This Row],[Rm ]]-Tableau2[[#Totals],[Rm ]])^2</f>
        <v>8.7442646389221509E-4</v>
      </c>
      <c r="T731" s="15">
        <f t="shared" si="22"/>
        <v>0.196337630053837</v>
      </c>
      <c r="U731" s="15">
        <f t="shared" si="23"/>
        <v>0.13393097956175978</v>
      </c>
    </row>
    <row r="732" spans="1:21" x14ac:dyDescent="0.35">
      <c r="A732" s="10">
        <v>45973</v>
      </c>
      <c r="B732" s="2">
        <v>0</v>
      </c>
      <c r="C732" s="2">
        <v>2.2559998024568002E-2</v>
      </c>
      <c r="D732" s="2">
        <v>0</v>
      </c>
      <c r="E732" s="2">
        <v>4.7732787526575896E-3</v>
      </c>
      <c r="F732" s="2">
        <v>2.5105921131076261E-2</v>
      </c>
      <c r="G732" s="2">
        <v>-5.5710450494553601E-3</v>
      </c>
      <c r="H732" s="2">
        <v>-3.3670065479042949E-3</v>
      </c>
      <c r="I732" s="2">
        <v>-6.6711388170225348E-3</v>
      </c>
      <c r="J732" s="2">
        <v>1.953581832981581E-2</v>
      </c>
      <c r="K732" s="2">
        <v>2.5223744154485979E-2</v>
      </c>
      <c r="L732" s="2">
        <v>0</v>
      </c>
      <c r="M732" s="2">
        <v>-1.287019052053491E-2</v>
      </c>
      <c r="N732" s="2">
        <v>1.486226932124079E-2</v>
      </c>
      <c r="O732" s="2">
        <v>1.980262729617973E-2</v>
      </c>
      <c r="P732" s="2">
        <v>-1.8519047767237638E-2</v>
      </c>
      <c r="Q732" s="15">
        <f>AVERAGE(Tableau2[[#This Row],[AWB]:[IAM]])</f>
        <v>5.6576818871912939E-3</v>
      </c>
      <c r="R732" s="15">
        <f>ABS(Tableau2[[#This Row],[Rm ]])</f>
        <v>5.6576818871912939E-3</v>
      </c>
      <c r="S732" s="15">
        <f>(Tableau2[[#This Row],[Rm ]]-Tableau2[[#Totals],[Rm ]])^2</f>
        <v>2.367821680749226E-5</v>
      </c>
      <c r="T732" s="15">
        <f t="shared" si="22"/>
        <v>0.16372362619097061</v>
      </c>
      <c r="U732" s="15">
        <f t="shared" si="23"/>
        <v>0.196337630053837</v>
      </c>
    </row>
    <row r="733" spans="1:21" x14ac:dyDescent="0.35">
      <c r="A733" s="10">
        <v>45974</v>
      </c>
      <c r="B733" s="2">
        <v>1.4801003445701779E-2</v>
      </c>
      <c r="C733" s="2">
        <v>3.4849277230211109E-4</v>
      </c>
      <c r="D733" s="2">
        <v>1.5334364000106741E-2</v>
      </c>
      <c r="E733" s="2">
        <v>1.159913584335194E-2</v>
      </c>
      <c r="F733" s="2">
        <v>0</v>
      </c>
      <c r="G733" s="2">
        <v>6.1264463411553642E-3</v>
      </c>
      <c r="H733" s="2">
        <v>-4.9023849346023782E-3</v>
      </c>
      <c r="I733" s="2">
        <v>9.0618957002176863E-3</v>
      </c>
      <c r="J733" s="2">
        <v>2.633463573628152E-2</v>
      </c>
      <c r="K733" s="2">
        <v>-1.537144771147436E-2</v>
      </c>
      <c r="L733" s="2">
        <v>0</v>
      </c>
      <c r="M733" s="2">
        <v>0</v>
      </c>
      <c r="N733" s="2">
        <v>5.2673164241280851E-4</v>
      </c>
      <c r="O733" s="2">
        <v>1.4598799421152629E-2</v>
      </c>
      <c r="P733" s="2">
        <v>0</v>
      </c>
      <c r="Q733" s="15">
        <f>AVERAGE(Tableau2[[#This Row],[AWB]:[IAM]])</f>
        <v>5.2305114837737218E-3</v>
      </c>
      <c r="R733" s="15">
        <f>ABS(Tableau2[[#This Row],[Rm ]])</f>
        <v>5.2305114837737218E-3</v>
      </c>
      <c r="S733" s="15">
        <f>(Tableau2[[#This Row],[Rm ]]-Tableau2[[#Totals],[Rm ]])^2</f>
        <v>1.9703446099605129E-5</v>
      </c>
      <c r="T733" s="15">
        <f t="shared" si="22"/>
        <v>0.11760358948491439</v>
      </c>
      <c r="U733" s="15">
        <f t="shared" si="23"/>
        <v>0.16372362619097061</v>
      </c>
    </row>
    <row r="734" spans="1:21" x14ac:dyDescent="0.35">
      <c r="A734" s="10">
        <v>45975</v>
      </c>
      <c r="B734" s="2">
        <v>-7.9843444666039525E-3</v>
      </c>
      <c r="C734" s="2">
        <v>0</v>
      </c>
      <c r="D734" s="2">
        <v>-1.3129291441792741E-2</v>
      </c>
      <c r="E734" s="2">
        <v>-1.159913584335181E-2</v>
      </c>
      <c r="F734" s="2">
        <v>0</v>
      </c>
      <c r="G734" s="2">
        <v>4.9847790839153477E-3</v>
      </c>
      <c r="H734" s="2">
        <v>8.2693914825065461E-3</v>
      </c>
      <c r="I734" s="2">
        <v>3.1788106237975E-3</v>
      </c>
      <c r="J734" s="2">
        <v>-6.3715814386107739E-2</v>
      </c>
      <c r="K734" s="2">
        <v>9.5619813337241427E-3</v>
      </c>
      <c r="L734" s="2">
        <v>-8.29517963285307E-3</v>
      </c>
      <c r="M734" s="2">
        <v>-1.0416760858255721E-2</v>
      </c>
      <c r="N734" s="2">
        <v>-3.7011464976819258E-2</v>
      </c>
      <c r="O734" s="2">
        <v>-1.459879942115264E-2</v>
      </c>
      <c r="P734" s="2">
        <v>0</v>
      </c>
      <c r="Q734" s="15">
        <f>AVERAGE(Tableau2[[#This Row],[AWB]:[IAM]])</f>
        <v>-9.3837219001995601E-3</v>
      </c>
      <c r="R734" s="15">
        <f>ABS(Tableau2[[#This Row],[Rm ]])</f>
        <v>9.3837219001995601E-3</v>
      </c>
      <c r="S734" s="15">
        <f>(Tableau2[[#This Row],[Rm ]]-Tableau2[[#Totals],[Rm ]])^2</f>
        <v>1.0353829685816164E-4</v>
      </c>
      <c r="T734" s="15">
        <f t="shared" si="22"/>
        <v>0.17957973061237878</v>
      </c>
      <c r="U734" s="15">
        <f t="shared" si="23"/>
        <v>0.11760358948491439</v>
      </c>
    </row>
    <row r="735" spans="1:21" x14ac:dyDescent="0.35">
      <c r="A735" s="10">
        <v>45978</v>
      </c>
      <c r="B735" s="2">
        <v>-9.8307727831277846E-3</v>
      </c>
      <c r="C735" s="2">
        <v>0</v>
      </c>
      <c r="D735" s="2">
        <v>-8.4052695687161384E-3</v>
      </c>
      <c r="E735" s="2">
        <v>-9.5694510161506725E-3</v>
      </c>
      <c r="F735" s="2">
        <v>-4.0994185652837259E-2</v>
      </c>
      <c r="G735" s="2">
        <v>-2.5176154892474281E-2</v>
      </c>
      <c r="H735" s="2">
        <v>-8.4388686458645949E-3</v>
      </c>
      <c r="I735" s="2">
        <v>-8.2326849264763805E-3</v>
      </c>
      <c r="J735" s="2">
        <v>2.394914325802831E-2</v>
      </c>
      <c r="K735" s="2">
        <v>-2.8764788557936329E-2</v>
      </c>
      <c r="L735" s="2">
        <v>4.3744601691074426E-3</v>
      </c>
      <c r="M735" s="2">
        <v>0</v>
      </c>
      <c r="N735" s="2">
        <v>1.5722741885977339E-2</v>
      </c>
      <c r="O735" s="2">
        <v>0</v>
      </c>
      <c r="P735" s="2">
        <v>0</v>
      </c>
      <c r="Q735" s="15">
        <f>AVERAGE(Tableau2[[#This Row],[AWB]:[IAM]])</f>
        <v>-6.3577220486980245E-3</v>
      </c>
      <c r="R735" s="15">
        <f>ABS(Tableau2[[#This Row],[Rm ]])</f>
        <v>6.3577220486980245E-3</v>
      </c>
      <c r="S735" s="15">
        <f>(Tableau2[[#This Row],[Rm ]]-Tableau2[[#Totals],[Rm ]])^2</f>
        <v>5.1113593447082948E-5</v>
      </c>
      <c r="T735" s="15">
        <f t="shared" si="22"/>
        <v>0.17116692539588035</v>
      </c>
      <c r="U735" s="15">
        <f t="shared" si="23"/>
        <v>0.17957973061237878</v>
      </c>
    </row>
    <row r="736" spans="1:21" x14ac:dyDescent="0.35">
      <c r="A736" s="10">
        <v>45980</v>
      </c>
      <c r="B736" s="2">
        <v>-1.2287032470491351E-2</v>
      </c>
      <c r="C736" s="2">
        <v>-1.7575144821507491E-2</v>
      </c>
      <c r="D736" s="2">
        <v>7.523823940910431E-3</v>
      </c>
      <c r="E736" s="2">
        <v>-1.36748061855426E-2</v>
      </c>
      <c r="F736" s="2">
        <v>-1.2061688375391321E-3</v>
      </c>
      <c r="G736" s="2">
        <v>-3.6640475426436697E-2</v>
      </c>
      <c r="H736" s="2">
        <v>-4.0468949503348887E-2</v>
      </c>
      <c r="I736" s="2">
        <v>-2.1291735467622221E-2</v>
      </c>
      <c r="J736" s="2">
        <v>-4.0709312115493453E-2</v>
      </c>
      <c r="K736" s="2">
        <v>9.3505107812005099E-3</v>
      </c>
      <c r="L736" s="2">
        <v>-3.8260894572549199E-2</v>
      </c>
      <c r="M736" s="2">
        <v>-4.7231785522464168E-3</v>
      </c>
      <c r="N736" s="2">
        <v>5.3777898580283665E-4</v>
      </c>
      <c r="O736" s="2">
        <v>-2.985296314968116E-2</v>
      </c>
      <c r="P736" s="2">
        <v>0</v>
      </c>
      <c r="Q736" s="15">
        <f>AVERAGE(Tableau2[[#This Row],[AWB]:[IAM]])</f>
        <v>-1.5951903159636321E-2</v>
      </c>
      <c r="R736" s="15">
        <f>ABS(Tableau2[[#This Row],[Rm ]])</f>
        <v>1.5951903159636321E-2</v>
      </c>
      <c r="S736" s="15">
        <f>(Tableau2[[#This Row],[Rm ]]-Tableau2[[#Totals],[Rm ]])^2</f>
        <v>2.8034674280216022E-4</v>
      </c>
      <c r="T736" s="15">
        <f t="shared" si="22"/>
        <v>0.2113838629293758</v>
      </c>
      <c r="U736" s="15">
        <f t="shared" si="23"/>
        <v>0.17116692539588035</v>
      </c>
    </row>
    <row r="737" spans="1:21" x14ac:dyDescent="0.35">
      <c r="A737" s="10">
        <v>45981</v>
      </c>
      <c r="B737" s="2">
        <v>-1.2439883672016309E-2</v>
      </c>
      <c r="C737" s="2">
        <v>-7.1174677688639904E-3</v>
      </c>
      <c r="D737" s="2">
        <v>-3.0441025501235529E-2</v>
      </c>
      <c r="E737" s="2">
        <v>-2.3049026769151579E-2</v>
      </c>
      <c r="F737" s="2">
        <v>1.709443335930004E-2</v>
      </c>
      <c r="G737" s="2">
        <v>1.255674258696924E-2</v>
      </c>
      <c r="H737" s="2">
        <v>-2.8278562499752199E-3</v>
      </c>
      <c r="I737" s="2">
        <v>-1.9252519847959129E-2</v>
      </c>
      <c r="J737" s="2">
        <v>2.7779564107075671E-2</v>
      </c>
      <c r="K737" s="2">
        <v>0</v>
      </c>
      <c r="L737" s="2">
        <v>1.5748356968139109E-2</v>
      </c>
      <c r="M737" s="2">
        <v>-5.2617733389737846E-4</v>
      </c>
      <c r="N737" s="2">
        <v>-3.1679328538963658E-2</v>
      </c>
      <c r="O737" s="2">
        <v>-1.5267472130788421E-2</v>
      </c>
      <c r="P737" s="2">
        <v>-1.8868484304382691E-2</v>
      </c>
      <c r="Q737" s="15">
        <f>AVERAGE(Tableau2[[#This Row],[AWB]:[IAM]])</f>
        <v>-5.8860096730499892E-3</v>
      </c>
      <c r="R737" s="15">
        <f>ABS(Tableau2[[#This Row],[Rm ]])</f>
        <v>5.8860096730499892E-3</v>
      </c>
      <c r="S737" s="15">
        <f>(Tableau2[[#This Row],[Rm ]]-Tableau2[[#Totals],[Rm ]])^2</f>
        <v>4.4591206665024802E-5</v>
      </c>
      <c r="T737" s="15">
        <f t="shared" si="22"/>
        <v>0.20993728597534561</v>
      </c>
      <c r="U737" s="15">
        <f t="shared" si="23"/>
        <v>0.2113838629293758</v>
      </c>
    </row>
    <row r="738" spans="1:21" x14ac:dyDescent="0.35">
      <c r="A738" s="10">
        <v>45982</v>
      </c>
      <c r="B738" s="2">
        <v>2.8089906110549518E-3</v>
      </c>
      <c r="C738" s="2">
        <v>-7.168489478612516E-3</v>
      </c>
      <c r="D738" s="2">
        <v>0</v>
      </c>
      <c r="E738" s="2">
        <v>2.2195732391784351E-2</v>
      </c>
      <c r="F738" s="2">
        <v>1.6807118316381191E-2</v>
      </c>
      <c r="G738" s="2">
        <v>9.2432778263533411E-3</v>
      </c>
      <c r="H738" s="2">
        <v>8.8106296821549059E-3</v>
      </c>
      <c r="I738" s="2">
        <v>5.5386461167660868E-3</v>
      </c>
      <c r="J738" s="2">
        <v>-2.7779564107075709E-2</v>
      </c>
      <c r="K738" s="2">
        <v>9.8522964430116395E-3</v>
      </c>
      <c r="L738" s="2">
        <v>8.4463716189177585E-3</v>
      </c>
      <c r="M738" s="2">
        <v>0</v>
      </c>
      <c r="N738" s="2">
        <v>7.188308530668013E-3</v>
      </c>
      <c r="O738" s="2">
        <v>2.531780798428979E-2</v>
      </c>
      <c r="P738" s="2">
        <v>9.4787439545437387E-3</v>
      </c>
      <c r="Q738" s="15">
        <f>AVERAGE(Tableau2[[#This Row],[AWB]:[IAM]])</f>
        <v>6.0493246593491682E-3</v>
      </c>
      <c r="R738" s="15">
        <f>ABS(Tableau2[[#This Row],[Rm ]])</f>
        <v>6.0493246593491682E-3</v>
      </c>
      <c r="S738" s="15">
        <f>(Tableau2[[#This Row],[Rm ]]-Tableau2[[#Totals],[Rm ]])^2</f>
        <v>2.7643089318297458E-5</v>
      </c>
      <c r="T738" s="15">
        <f t="shared" si="22"/>
        <v>0.12259193828574282</v>
      </c>
      <c r="U738" s="15">
        <f t="shared" si="23"/>
        <v>0.20993728597534561</v>
      </c>
    </row>
    <row r="739" spans="1:21" x14ac:dyDescent="0.35">
      <c r="A739" s="10">
        <v>45986</v>
      </c>
      <c r="B739" s="2">
        <v>1.669023444037895E-2</v>
      </c>
      <c r="C739" s="2">
        <v>7.168489478612497E-3</v>
      </c>
      <c r="D739" s="2">
        <v>4.5444218005447643E-4</v>
      </c>
      <c r="E739" s="2">
        <v>-1.6972489575233288E-2</v>
      </c>
      <c r="F739" s="2">
        <v>8.2988028146950641E-3</v>
      </c>
      <c r="G739" s="2">
        <v>-8.0831848888229148E-3</v>
      </c>
      <c r="H739" s="2">
        <v>1.752848827414387E-3</v>
      </c>
      <c r="I739" s="2">
        <v>3.8731990939629028E-2</v>
      </c>
      <c r="J739" s="2">
        <v>-1.4184634991956409E-2</v>
      </c>
      <c r="K739" s="2">
        <v>0</v>
      </c>
      <c r="L739" s="2">
        <v>-4.9454395346294817E-2</v>
      </c>
      <c r="M739" s="2">
        <v>2.628122406269408E-3</v>
      </c>
      <c r="N739" s="2">
        <v>2.1799228342584361E-2</v>
      </c>
      <c r="O739" s="2">
        <v>0</v>
      </c>
      <c r="P739" s="2">
        <v>0</v>
      </c>
      <c r="Q739" s="15">
        <f>AVERAGE(Tableau2[[#This Row],[AWB]:[IAM]])</f>
        <v>5.8863030848871594E-4</v>
      </c>
      <c r="R739" s="15">
        <f>ABS(Tableau2[[#This Row],[Rm ]])</f>
        <v>5.8863030848871594E-4</v>
      </c>
      <c r="S739" s="15">
        <f>(Tableau2[[#This Row],[Rm ]]-Tableau2[[#Totals],[Rm ]])^2</f>
        <v>4.1219061218921882E-8</v>
      </c>
      <c r="T739" s="15">
        <f t="shared" si="22"/>
        <v>0.18534922189240255</v>
      </c>
      <c r="U739" s="15">
        <f t="shared" si="23"/>
        <v>0.12259193828574282</v>
      </c>
    </row>
    <row r="740" spans="1:21" x14ac:dyDescent="0.35">
      <c r="A740" s="10">
        <v>45987</v>
      </c>
      <c r="B740" s="2">
        <v>6.8728792877620496E-3</v>
      </c>
      <c r="C740" s="2">
        <v>0</v>
      </c>
      <c r="D740" s="2">
        <v>2.2018413672004151E-2</v>
      </c>
      <c r="E740" s="2">
        <v>1.4530485919681689E-2</v>
      </c>
      <c r="F740" s="2">
        <v>-2.6293066186973819E-2</v>
      </c>
      <c r="G740" s="2">
        <v>3.4751431970984133E-2</v>
      </c>
      <c r="H740" s="2">
        <v>5.2401866635562499E-3</v>
      </c>
      <c r="I740" s="2">
        <v>3.977202644218622E-3</v>
      </c>
      <c r="J740" s="2">
        <v>-2.0931836041035681E-2</v>
      </c>
      <c r="K740" s="2">
        <v>-2.9449004347985142E-2</v>
      </c>
      <c r="L740" s="2">
        <v>1.3857034661426281E-2</v>
      </c>
      <c r="M740" s="2">
        <v>-1.3210231736806461E-2</v>
      </c>
      <c r="N740" s="2">
        <v>1.3387080782459281E-2</v>
      </c>
      <c r="O740" s="2">
        <v>0</v>
      </c>
      <c r="P740" s="2">
        <v>0</v>
      </c>
      <c r="Q740" s="15">
        <f>AVERAGE(Tableau2[[#This Row],[AWB]:[IAM]])</f>
        <v>1.6500384859527576E-3</v>
      </c>
      <c r="R740" s="15">
        <f>ABS(Tableau2[[#This Row],[Rm ]])</f>
        <v>1.6500384859527576E-3</v>
      </c>
      <c r="S740" s="15">
        <f>(Tableau2[[#This Row],[Rm ]]-Tableau2[[#Totals],[Rm ]])^2</f>
        <v>7.3682205735954383E-7</v>
      </c>
      <c r="T740" s="15">
        <f t="shared" si="22"/>
        <v>0.20132877950871819</v>
      </c>
      <c r="U740" s="15">
        <f t="shared" si="23"/>
        <v>0.18534922189240255</v>
      </c>
    </row>
    <row r="741" spans="1:21" x14ac:dyDescent="0.35">
      <c r="A741" s="10">
        <v>45988</v>
      </c>
      <c r="B741" s="2">
        <v>5.4644944720787453E-3</v>
      </c>
      <c r="C741" s="2">
        <v>0</v>
      </c>
      <c r="D741" s="2">
        <v>0</v>
      </c>
      <c r="E741" s="2">
        <v>-1.9753728736232538E-2</v>
      </c>
      <c r="F741" s="2">
        <v>4.9815875695234713E-2</v>
      </c>
      <c r="G741" s="2">
        <v>1.0027939186124711E-2</v>
      </c>
      <c r="H741" s="2">
        <v>2.9186621086531871E-2</v>
      </c>
      <c r="I741" s="2">
        <v>-1.8540595961408909E-3</v>
      </c>
      <c r="J741" s="2">
        <v>2.0931836041035639E-2</v>
      </c>
      <c r="K741" s="2">
        <v>3.9205179293349719E-2</v>
      </c>
      <c r="L741" s="2">
        <v>8.6778347716264491E-3</v>
      </c>
      <c r="M741" s="2">
        <v>1.5831465216680659E-2</v>
      </c>
      <c r="N741" s="2">
        <v>-1.554574325049736E-2</v>
      </c>
      <c r="O741" s="2">
        <v>-2.0202707317519469E-2</v>
      </c>
      <c r="P741" s="2">
        <v>1.8692133012152549E-2</v>
      </c>
      <c r="Q741" s="15">
        <f>AVERAGE(Tableau2[[#This Row],[AWB]:[IAM]])</f>
        <v>9.3651426582949879E-3</v>
      </c>
      <c r="R741" s="15">
        <f>ABS(Tableau2[[#This Row],[Rm ]])</f>
        <v>9.3651426582949879E-3</v>
      </c>
      <c r="S741" s="15">
        <f>(Tableau2[[#This Row],[Rm ]]-Tableau2[[#Totals],[Rm ]])^2</f>
        <v>7.3504689112795154E-5</v>
      </c>
      <c r="T741" s="15">
        <f t="shared" si="22"/>
        <v>0.22756491084915617</v>
      </c>
      <c r="U741" s="15">
        <f t="shared" si="23"/>
        <v>0.20132877950871819</v>
      </c>
    </row>
    <row r="742" spans="1:21" x14ac:dyDescent="0.35">
      <c r="A742" s="10">
        <v>45992</v>
      </c>
      <c r="B742" s="2">
        <v>-1.9257816604414529E-2</v>
      </c>
      <c r="C742" s="2">
        <v>-3.577821347883967E-3</v>
      </c>
      <c r="D742" s="2">
        <v>-8.9286307443013184E-3</v>
      </c>
      <c r="E742" s="2">
        <v>1.9753728736232649E-2</v>
      </c>
      <c r="F742" s="2">
        <v>-4.5244632655096692E-2</v>
      </c>
      <c r="G742" s="2">
        <v>-2.6398612435471841E-2</v>
      </c>
      <c r="H742" s="2">
        <v>-2.7445976608747799E-2</v>
      </c>
      <c r="I742" s="2">
        <v>-4.6671519309146717E-2</v>
      </c>
      <c r="J742" s="2">
        <v>0</v>
      </c>
      <c r="K742" s="2">
        <v>0</v>
      </c>
      <c r="L742" s="2">
        <v>1.8473154294324331E-2</v>
      </c>
      <c r="M742" s="2">
        <v>1.9186484331524149E-2</v>
      </c>
      <c r="N742" s="2">
        <v>-1.6220603718680551E-3</v>
      </c>
      <c r="O742" s="2">
        <v>1.9952676062310128E-2</v>
      </c>
      <c r="P742" s="2">
        <v>9.2166551049240476E-3</v>
      </c>
      <c r="Q742" s="15">
        <f>AVERAGE(Tableau2[[#This Row],[AWB]:[IAM]])</f>
        <v>-6.1709581031743751E-3</v>
      </c>
      <c r="R742" s="15">
        <f>ABS(Tableau2[[#This Row],[Rm ]])</f>
        <v>6.1709581031743751E-3</v>
      </c>
      <c r="S742" s="15">
        <f>(Tableau2[[#This Row],[Rm ]]-Tableau2[[#Totals],[Rm ]])^2</f>
        <v>4.8477982454144483E-5</v>
      </c>
      <c r="T742" s="15">
        <f t="shared" si="22"/>
        <v>0.25948110714870676</v>
      </c>
      <c r="U742" s="15">
        <f t="shared" si="23"/>
        <v>0.22756491084915617</v>
      </c>
    </row>
    <row r="743" spans="1:21" x14ac:dyDescent="0.35">
      <c r="A743" s="10">
        <v>45993</v>
      </c>
      <c r="B743" s="2">
        <v>2.7773920467390959E-4</v>
      </c>
      <c r="C743" s="2">
        <v>3.5778213478839019E-3</v>
      </c>
      <c r="D743" s="2">
        <v>4.4742803949211069E-3</v>
      </c>
      <c r="E743" s="2">
        <v>-1.230027808165168E-2</v>
      </c>
      <c r="F743" s="2">
        <v>-1.4119482674260371E-2</v>
      </c>
      <c r="G743" s="2">
        <v>-6.8532535505695519E-3</v>
      </c>
      <c r="H743" s="2">
        <v>-1.2248622076199089E-2</v>
      </c>
      <c r="I743" s="2">
        <v>3.0508968332564122E-3</v>
      </c>
      <c r="J743" s="2">
        <v>0</v>
      </c>
      <c r="K743" s="2">
        <v>-2.9358822238878111E-2</v>
      </c>
      <c r="L743" s="2">
        <v>4.4543503493803746E-3</v>
      </c>
      <c r="M743" s="2">
        <v>-1.3964540350372451E-2</v>
      </c>
      <c r="N743" s="2">
        <v>-9.7880063661628207E-3</v>
      </c>
      <c r="O743" s="2">
        <v>-2.5009378647294889E-4</v>
      </c>
      <c r="P743" s="2">
        <v>0</v>
      </c>
      <c r="Q743" s="15">
        <f>AVERAGE(Tableau2[[#This Row],[AWB]:[IAM]])</f>
        <v>-5.5365340662967546E-3</v>
      </c>
      <c r="R743" s="15">
        <f>ABS(Tableau2[[#This Row],[Rm ]])</f>
        <v>5.5365340662967546E-3</v>
      </c>
      <c r="S743" s="15">
        <f>(Tableau2[[#This Row],[Rm ]]-Tableau2[[#Totals],[Rm ]])^2</f>
        <v>4.0045977976402796E-5</v>
      </c>
      <c r="T743" s="15">
        <f t="shared" si="22"/>
        <v>0.11458710195282329</v>
      </c>
      <c r="U743" s="15">
        <f t="shared" si="23"/>
        <v>0.25948110714870676</v>
      </c>
    </row>
    <row r="744" spans="1:21" x14ac:dyDescent="0.35">
      <c r="A744" s="10">
        <v>45994</v>
      </c>
      <c r="B744" s="2">
        <v>0</v>
      </c>
      <c r="C744" s="2">
        <v>0</v>
      </c>
      <c r="D744" s="2">
        <v>2.6433257068155431E-2</v>
      </c>
      <c r="E744" s="2">
        <v>7.3983074814449254E-3</v>
      </c>
      <c r="F744" s="2">
        <v>7.3397956888815296E-3</v>
      </c>
      <c r="G744" s="2">
        <v>5.429360386742103E-3</v>
      </c>
      <c r="H744" s="2">
        <v>-7.9540852413203748E-3</v>
      </c>
      <c r="I744" s="2">
        <v>1.620691977115837E-2</v>
      </c>
      <c r="J744" s="2">
        <v>0</v>
      </c>
      <c r="K744" s="2">
        <v>-1.999800026662452E-4</v>
      </c>
      <c r="L744" s="2">
        <v>2.1978906718775171E-2</v>
      </c>
      <c r="M744" s="2">
        <v>-5.7456412960796253E-3</v>
      </c>
      <c r="N744" s="2">
        <v>-2.7359798188747492E-3</v>
      </c>
      <c r="O744" s="2">
        <v>-1.4613512768365949E-2</v>
      </c>
      <c r="P744" s="2">
        <v>-1.8519047767237638E-2</v>
      </c>
      <c r="Q744" s="15">
        <f>AVERAGE(Tableau2[[#This Row],[AWB]:[IAM]])</f>
        <v>2.3345533480408636E-3</v>
      </c>
      <c r="R744" s="15">
        <f>ABS(Tableau2[[#This Row],[Rm ]])</f>
        <v>2.3345533480408636E-3</v>
      </c>
      <c r="S744" s="15">
        <f>(Tableau2[[#This Row],[Rm ]]-Tableau2[[#Totals],[Rm ]])^2</f>
        <v>2.3805350398999747E-6</v>
      </c>
      <c r="T744" s="15">
        <f t="shared" si="22"/>
        <v>0.1220950930128981</v>
      </c>
      <c r="U744" s="15">
        <f t="shared" si="23"/>
        <v>0.11458710195282329</v>
      </c>
    </row>
    <row r="745" spans="1:21" x14ac:dyDescent="0.35">
      <c r="A745" s="10">
        <v>45995</v>
      </c>
      <c r="B745" s="2">
        <v>-2.3632456956952609E-3</v>
      </c>
      <c r="C745" s="2">
        <v>0</v>
      </c>
      <c r="D745" s="2">
        <v>0</v>
      </c>
      <c r="E745" s="2">
        <v>0</v>
      </c>
      <c r="F745" s="2">
        <v>1.18344576470028E-2</v>
      </c>
      <c r="G745" s="2">
        <v>-1.377353194787078E-2</v>
      </c>
      <c r="H745" s="2">
        <v>-3.555559301333095E-3</v>
      </c>
      <c r="I745" s="2">
        <v>-8.2079804178297328E-3</v>
      </c>
      <c r="J745" s="2">
        <v>0</v>
      </c>
      <c r="K745" s="2">
        <v>0</v>
      </c>
      <c r="L745" s="2">
        <v>-2.197890671877523E-2</v>
      </c>
      <c r="M745" s="2">
        <v>-6.8331409107805323E-3</v>
      </c>
      <c r="N745" s="2">
        <v>2.735979818874845E-3</v>
      </c>
      <c r="O745" s="2">
        <v>0</v>
      </c>
      <c r="P745" s="2">
        <v>1.8519047767237531E-2</v>
      </c>
      <c r="Q745" s="15">
        <f>AVERAGE(Tableau2[[#This Row],[AWB]:[IAM]])</f>
        <v>-1.5748586506112979E-3</v>
      </c>
      <c r="R745" s="15">
        <f>ABS(Tableau2[[#This Row],[Rm ]])</f>
        <v>1.5748586506112979E-3</v>
      </c>
      <c r="S745" s="15">
        <f>(Tableau2[[#This Row],[Rm ]]-Tableau2[[#Totals],[Rm ]])^2</f>
        <v>5.6003872764734328E-6</v>
      </c>
      <c r="T745" s="15">
        <f t="shared" si="22"/>
        <v>7.5772113520574794E-2</v>
      </c>
      <c r="U745" s="15">
        <f t="shared" si="23"/>
        <v>0.1220950930128981</v>
      </c>
    </row>
    <row r="746" spans="1:21" x14ac:dyDescent="0.35">
      <c r="A746" s="10">
        <v>45996</v>
      </c>
      <c r="B746" s="2">
        <v>9.0059493355951602E-3</v>
      </c>
      <c r="C746" s="2">
        <v>-3.577821347883967E-3</v>
      </c>
      <c r="D746" s="2">
        <v>1.724180643450595E-2</v>
      </c>
      <c r="E746" s="2">
        <v>1.946533478810325E-2</v>
      </c>
      <c r="F746" s="2">
        <v>2.489755162172709E-2</v>
      </c>
      <c r="G746" s="2">
        <v>3.6037379543342497E-2</v>
      </c>
      <c r="H746" s="2">
        <v>1.50245866500979E-2</v>
      </c>
      <c r="I746" s="2">
        <v>4.1124115530925204E-3</v>
      </c>
      <c r="J746" s="2">
        <v>-1.438873745209956E-2</v>
      </c>
      <c r="K746" s="2">
        <v>3.9920212695374567E-3</v>
      </c>
      <c r="L746" s="2">
        <v>0</v>
      </c>
      <c r="M746" s="2">
        <v>-7.9428535139367696E-3</v>
      </c>
      <c r="N746" s="2">
        <v>5.4629883904415443E-4</v>
      </c>
      <c r="O746" s="2">
        <v>5.0633019565466354E-3</v>
      </c>
      <c r="P746" s="2">
        <v>0</v>
      </c>
      <c r="Q746" s="15">
        <f>AVERAGE(Tableau2[[#This Row],[AWB]:[IAM]])</f>
        <v>7.2984819785114879E-3</v>
      </c>
      <c r="R746" s="15">
        <f>ABS(Tableau2[[#This Row],[Rm ]])</f>
        <v>7.2984819785114879E-3</v>
      </c>
      <c r="S746" s="15">
        <f>(Tableau2[[#This Row],[Rm ]]-Tableau2[[#Totals],[Rm ]])^2</f>
        <v>4.2338796179131176E-5</v>
      </c>
      <c r="T746" s="15">
        <f t="shared" si="22"/>
        <v>0.1489515164913284</v>
      </c>
      <c r="U746" s="15">
        <f t="shared" si="23"/>
        <v>7.5772113520574794E-2</v>
      </c>
    </row>
    <row r="747" spans="1:21" x14ac:dyDescent="0.35">
      <c r="A747" s="10">
        <v>45999</v>
      </c>
      <c r="B747" s="2">
        <v>-7.0593413794175939E-3</v>
      </c>
      <c r="C747" s="2">
        <v>2.4430317506900431E-2</v>
      </c>
      <c r="D747" s="2">
        <v>7.6628727455690972E-3</v>
      </c>
      <c r="E747" s="2">
        <v>2.4067400305650588E-3</v>
      </c>
      <c r="F747" s="2">
        <v>-2.1334216674782228E-3</v>
      </c>
      <c r="G747" s="2">
        <v>-1.346821705086659E-2</v>
      </c>
      <c r="H747" s="2">
        <v>-1.502458665009801E-2</v>
      </c>
      <c r="I747" s="2">
        <v>-2.6054688906101069E-2</v>
      </c>
      <c r="J747" s="2">
        <v>1.4388737452099671E-2</v>
      </c>
      <c r="K747" s="2">
        <v>1.5810606026642249E-2</v>
      </c>
      <c r="L747" s="2">
        <v>4.3485111939738891E-2</v>
      </c>
      <c r="M747" s="2">
        <v>1.005033585350151E-2</v>
      </c>
      <c r="N747" s="2">
        <v>4.9033059285204942E-3</v>
      </c>
      <c r="O747" s="2">
        <v>-5.063301956546762E-3</v>
      </c>
      <c r="P747" s="2">
        <v>-1.8519047767237638E-2</v>
      </c>
      <c r="Q747" s="15">
        <f>AVERAGE(Tableau2[[#This Row],[AWB]:[IAM]])</f>
        <v>2.3876948070527672E-3</v>
      </c>
      <c r="R747" s="15">
        <f>ABS(Tableau2[[#This Row],[Rm ]])</f>
        <v>2.3876948070527672E-3</v>
      </c>
      <c r="S747" s="15">
        <f>(Tableau2[[#This Row],[Rm ]]-Tableau2[[#Totals],[Rm ]])^2</f>
        <v>2.5473427838246086E-6</v>
      </c>
      <c r="T747" s="15">
        <f t="shared" si="22"/>
        <v>0.18855997831822613</v>
      </c>
      <c r="U747" s="15">
        <f t="shared" si="23"/>
        <v>0.1489515164913284</v>
      </c>
    </row>
    <row r="748" spans="1:21" x14ac:dyDescent="0.35">
      <c r="A748" s="10">
        <v>46002</v>
      </c>
      <c r="B748" s="2">
        <v>5.5409478238384159E-3</v>
      </c>
      <c r="C748" s="2">
        <v>-1.0195201685028471E-2</v>
      </c>
      <c r="D748" s="2">
        <v>-2.4252717840020172E-2</v>
      </c>
      <c r="E748" s="2">
        <v>-2.406740030564976E-3</v>
      </c>
      <c r="F748" s="2">
        <v>-2.9509518093780551E-2</v>
      </c>
      <c r="G748" s="2">
        <v>-1.079249328202295E-2</v>
      </c>
      <c r="H748" s="2">
        <v>-2.674990449303001E-3</v>
      </c>
      <c r="I748" s="2">
        <v>-1.7278435800272648E-2</v>
      </c>
      <c r="J748" s="2">
        <v>-7.168489478612516E-3</v>
      </c>
      <c r="K748" s="2">
        <v>-9.8522964430115944E-3</v>
      </c>
      <c r="L748" s="2">
        <v>-2.19410823750231E-2</v>
      </c>
      <c r="M748" s="2">
        <v>-7.9260652724207157E-3</v>
      </c>
      <c r="N748" s="2">
        <v>5.4200674693391133E-3</v>
      </c>
      <c r="O748" s="2">
        <v>1.0101095986503919E-2</v>
      </c>
      <c r="P748" s="2">
        <v>1.8519047767237531E-2</v>
      </c>
      <c r="Q748" s="15">
        <f>AVERAGE(Tableau2[[#This Row],[AWB]:[IAM]])</f>
        <v>-6.9611247802094465E-3</v>
      </c>
      <c r="R748" s="15">
        <f>ABS(Tableau2[[#This Row],[Rm ]])</f>
        <v>6.9611247802094465E-3</v>
      </c>
      <c r="S748" s="15">
        <f>(Tableau2[[#This Row],[Rm ]]-Tableau2[[#Totals],[Rm ]])^2</f>
        <v>6.0105595689622691E-5</v>
      </c>
      <c r="T748" s="15">
        <f t="shared" si="22"/>
        <v>0.12875086011899822</v>
      </c>
      <c r="U748" s="15">
        <f t="shared" si="23"/>
        <v>0.18855997831822613</v>
      </c>
    </row>
    <row r="749" spans="1:21" x14ac:dyDescent="0.35">
      <c r="A749" s="10">
        <v>46003</v>
      </c>
      <c r="B749" s="2">
        <v>-5.4020492889946597E-3</v>
      </c>
      <c r="C749" s="2">
        <v>0</v>
      </c>
      <c r="D749" s="2">
        <v>1.6589845094450901E-2</v>
      </c>
      <c r="E749" s="2">
        <v>-6.0259116014438926E-4</v>
      </c>
      <c r="F749" s="2">
        <v>2.3577716222177549E-2</v>
      </c>
      <c r="G749" s="2">
        <v>1.6426311000279002E-2</v>
      </c>
      <c r="H749" s="2">
        <v>0</v>
      </c>
      <c r="I749" s="2">
        <v>1.1363758650315E-2</v>
      </c>
      <c r="J749" s="2">
        <v>1.428595724747643E-2</v>
      </c>
      <c r="K749" s="2">
        <v>0</v>
      </c>
      <c r="L749" s="2">
        <v>1.9384625933721741E-2</v>
      </c>
      <c r="M749" s="2">
        <v>-1.8742181809740639E-2</v>
      </c>
      <c r="N749" s="2">
        <v>-9.7773728382949381E-3</v>
      </c>
      <c r="O749" s="2">
        <v>-9.8473210834796824E-3</v>
      </c>
      <c r="P749" s="2">
        <v>0</v>
      </c>
      <c r="Q749" s="15">
        <f>AVERAGE(Tableau2[[#This Row],[AWB]:[IAM]])</f>
        <v>3.8171131978510875E-3</v>
      </c>
      <c r="R749" s="15">
        <f>ABS(Tableau2[[#This Row],[Rm ]])</f>
        <v>3.8171131978510875E-3</v>
      </c>
      <c r="S749" s="15">
        <f>(Tableau2[[#This Row],[Rm ]]-Tableau2[[#Totals],[Rm ]])^2</f>
        <v>9.153396772626065E-6</v>
      </c>
      <c r="T749" s="15">
        <f t="shared" si="22"/>
        <v>0.15388843093796722</v>
      </c>
      <c r="U749" s="15">
        <f t="shared" si="23"/>
        <v>0.12875086011899822</v>
      </c>
    </row>
    <row r="750" spans="1:21" x14ac:dyDescent="0.35">
      <c r="A750" s="10">
        <v>46006</v>
      </c>
      <c r="B750" s="2">
        <v>7.6098603141416246E-3</v>
      </c>
      <c r="C750" s="2">
        <v>6.8668286377709473E-3</v>
      </c>
      <c r="D750" s="2">
        <v>-8.5837436913914419E-3</v>
      </c>
      <c r="E750" s="2">
        <v>-9.0827145743192488E-3</v>
      </c>
      <c r="F750" s="2">
        <v>6.6082936487120252E-4</v>
      </c>
      <c r="G750" s="2">
        <v>-1.6997576368571139E-2</v>
      </c>
      <c r="H750" s="2">
        <v>-1.983834221966433E-2</v>
      </c>
      <c r="I750" s="2">
        <v>-1.7094433359300179E-2</v>
      </c>
      <c r="J750" s="2">
        <v>4.1332502486758058E-2</v>
      </c>
      <c r="K750" s="2">
        <v>-5.9583095836306353E-3</v>
      </c>
      <c r="L750" s="2">
        <v>-6.3401511350496043E-2</v>
      </c>
      <c r="M750" s="2">
        <v>1.3423020332140771E-2</v>
      </c>
      <c r="N750" s="2">
        <v>9.7773728382949208E-3</v>
      </c>
      <c r="O750" s="2">
        <v>3.0402861016818258E-3</v>
      </c>
      <c r="P750" s="2">
        <v>-1.8519047767237638E-2</v>
      </c>
      <c r="Q750" s="15">
        <f>AVERAGE(Tableau2[[#This Row],[AWB]:[IAM]])</f>
        <v>-5.1176652559300874E-3</v>
      </c>
      <c r="R750" s="15">
        <f>ABS(Tableau2[[#This Row],[Rm ]])</f>
        <v>5.1176652559300874E-3</v>
      </c>
      <c r="S750" s="15">
        <f>(Tableau2[[#This Row],[Rm ]]-Tableau2[[#Totals],[Rm ]])^2</f>
        <v>3.4920066930775305E-5</v>
      </c>
      <c r="T750" s="15">
        <f t="shared" si="22"/>
        <v>0.22456075672378623</v>
      </c>
      <c r="U750" s="15">
        <f t="shared" si="23"/>
        <v>0.15388843093796722</v>
      </c>
    </row>
    <row r="751" spans="1:21" x14ac:dyDescent="0.35">
      <c r="A751" s="10">
        <v>46008</v>
      </c>
      <c r="B751" s="2">
        <v>1.708275227622998E-2</v>
      </c>
      <c r="C751" s="2">
        <v>7.168489478612497E-3</v>
      </c>
      <c r="D751" s="2">
        <v>3.8718052239853501E-3</v>
      </c>
      <c r="E751" s="2">
        <v>0</v>
      </c>
      <c r="F751" s="2">
        <v>1.7030049699850721E-2</v>
      </c>
      <c r="G751" s="2">
        <v>-1.149437942573513E-2</v>
      </c>
      <c r="H751" s="2">
        <v>0</v>
      </c>
      <c r="I751" s="2">
        <v>-8.0785205652013237E-3</v>
      </c>
      <c r="J751" s="2">
        <v>-2.0279093288925621E-2</v>
      </c>
      <c r="K751" s="2">
        <v>3.9761483796394168E-3</v>
      </c>
      <c r="L751" s="2">
        <v>2.247285585205858E-2</v>
      </c>
      <c r="M751" s="2">
        <v>2.663117419483628E-3</v>
      </c>
      <c r="N751" s="2">
        <v>6.465539764641811E-3</v>
      </c>
      <c r="O751" s="2">
        <v>3.0150533490065481E-2</v>
      </c>
      <c r="P751" s="2">
        <v>-1.8868484304382691E-2</v>
      </c>
      <c r="Q751" s="15">
        <f>AVERAGE(Tableau2[[#This Row],[AWB]:[IAM]])</f>
        <v>3.4773876000215131E-3</v>
      </c>
      <c r="R751" s="15">
        <f>ABS(Tableau2[[#This Row],[Rm ]])</f>
        <v>3.4773876000215131E-3</v>
      </c>
      <c r="S751" s="15">
        <f>(Tableau2[[#This Row],[Rm ]]-Tableau2[[#Totals],[Rm ]])^2</f>
        <v>7.2131591244980852E-6</v>
      </c>
      <c r="T751" s="15">
        <f t="shared" si="22"/>
        <v>0.13994199961904619</v>
      </c>
      <c r="U751" s="15">
        <f t="shared" si="23"/>
        <v>0.22456075672378623</v>
      </c>
    </row>
    <row r="752" spans="1:21" x14ac:dyDescent="0.35">
      <c r="A752" s="10">
        <v>46009</v>
      </c>
      <c r="B752" s="2">
        <v>9.9771624446854546E-3</v>
      </c>
      <c r="C752" s="2">
        <v>0</v>
      </c>
      <c r="D752" s="2">
        <v>0</v>
      </c>
      <c r="E752" s="2">
        <v>2.4301348532918912E-3</v>
      </c>
      <c r="F752" s="2">
        <v>-1.6249597335736071E-3</v>
      </c>
      <c r="G752" s="2">
        <v>1.149437942573521E-2</v>
      </c>
      <c r="H752" s="2">
        <v>7.2595600128041024E-3</v>
      </c>
      <c r="I752" s="2">
        <v>9.8011738766475304E-3</v>
      </c>
      <c r="J752" s="2">
        <v>0</v>
      </c>
      <c r="K752" s="2">
        <v>1.982161203991202E-3</v>
      </c>
      <c r="L752" s="2">
        <v>1.762160134981941E-2</v>
      </c>
      <c r="M752" s="2">
        <v>-8.010723746078972E-3</v>
      </c>
      <c r="N752" s="2">
        <v>-6.4655397646418604E-3</v>
      </c>
      <c r="O752" s="2">
        <v>-3.4423441909727901E-3</v>
      </c>
      <c r="P752" s="2">
        <v>0</v>
      </c>
      <c r="Q752" s="15">
        <f>AVERAGE(Tableau2[[#This Row],[AWB]:[IAM]])</f>
        <v>2.7348403821138376E-3</v>
      </c>
      <c r="R752" s="15">
        <f>ABS(Tableau2[[#This Row],[Rm ]])</f>
        <v>2.7348403821138376E-3</v>
      </c>
      <c r="S752" s="15">
        <f>(Tableau2[[#This Row],[Rm ]]-Tableau2[[#Totals],[Rm ]])^2</f>
        <v>3.7759690860799995E-6</v>
      </c>
      <c r="T752" s="15">
        <f t="shared" si="22"/>
        <v>8.2406832708272121E-2</v>
      </c>
      <c r="U752" s="15">
        <f t="shared" si="23"/>
        <v>0.13994199961904619</v>
      </c>
    </row>
    <row r="753" spans="1:21" x14ac:dyDescent="0.35">
      <c r="A753" s="10">
        <v>46010</v>
      </c>
      <c r="B753" s="2">
        <v>2.4646802121362391E-2</v>
      </c>
      <c r="C753" s="2">
        <v>0</v>
      </c>
      <c r="D753" s="2">
        <v>-1.252986796709994E-2</v>
      </c>
      <c r="E753" s="2">
        <v>1.9231361927887589E-2</v>
      </c>
      <c r="F753" s="2">
        <v>0</v>
      </c>
      <c r="G753" s="2">
        <v>-1.149437942573513E-2</v>
      </c>
      <c r="H753" s="2">
        <v>9.0009608589761234E-3</v>
      </c>
      <c r="I753" s="2">
        <v>4.0080213975388678E-3</v>
      </c>
      <c r="J753" s="2">
        <v>-2.1053409197832381E-2</v>
      </c>
      <c r="K753" s="2">
        <v>-9.950330853168092E-3</v>
      </c>
      <c r="L753" s="2">
        <v>-1.7621601349819559E-2</v>
      </c>
      <c r="M753" s="2">
        <v>2.6773777707163938E-3</v>
      </c>
      <c r="N753" s="2">
        <v>-5.4200674693391446E-3</v>
      </c>
      <c r="O753" s="2">
        <v>-1.488861249375064E-2</v>
      </c>
      <c r="P753" s="2">
        <v>0</v>
      </c>
      <c r="Q753" s="15">
        <f>AVERAGE(Tableau2[[#This Row],[AWB]:[IAM]])</f>
        <v>-2.2262496453509012E-3</v>
      </c>
      <c r="R753" s="15">
        <f>ABS(Tableau2[[#This Row],[Rm ]])</f>
        <v>2.2262496453509012E-3</v>
      </c>
      <c r="S753" s="15">
        <f>(Tableau2[[#This Row],[Rm ]]-Tableau2[[#Totals],[Rm ]])^2</f>
        <v>9.107748981414835E-6</v>
      </c>
      <c r="T753" s="15">
        <f t="shared" si="22"/>
        <v>0.15267120947624968</v>
      </c>
      <c r="U753" s="15">
        <f t="shared" si="23"/>
        <v>8.2406832708272121E-2</v>
      </c>
    </row>
    <row r="754" spans="1:21" x14ac:dyDescent="0.35">
      <c r="A754" s="10">
        <v>46013</v>
      </c>
      <c r="B754" s="2">
        <v>-5.2493558861436782E-3</v>
      </c>
      <c r="C754" s="2">
        <v>1.039870722089852E-2</v>
      </c>
      <c r="D754" s="2">
        <v>0</v>
      </c>
      <c r="E754" s="2">
        <v>-1.8746042821055329E-2</v>
      </c>
      <c r="F754" s="2">
        <v>8.1280992851740798E-4</v>
      </c>
      <c r="G754" s="2">
        <v>0</v>
      </c>
      <c r="H754" s="2">
        <v>-1.444068415479436E-2</v>
      </c>
      <c r="I754" s="2">
        <v>1.1422045787769801E-3</v>
      </c>
      <c r="J754" s="2">
        <v>3.48467313301681E-2</v>
      </c>
      <c r="K754" s="2">
        <v>-2.3882940463332E-2</v>
      </c>
      <c r="L754" s="2">
        <v>0</v>
      </c>
      <c r="M754" s="2">
        <v>-5.3619431413853991E-3</v>
      </c>
      <c r="N754" s="2">
        <v>1.0863662122207901E-3</v>
      </c>
      <c r="O754" s="2">
        <v>0</v>
      </c>
      <c r="P754" s="2">
        <v>1.8868484304382739E-2</v>
      </c>
      <c r="Q754" s="15">
        <f>AVERAGE(Tableau2[[#This Row],[AWB]:[IAM]])</f>
        <v>-3.504419278308214E-5</v>
      </c>
      <c r="R754" s="15">
        <f>ABS(Tableau2[[#This Row],[Rm ]])</f>
        <v>3.504419278308214E-5</v>
      </c>
      <c r="S754" s="15">
        <f>(Tableau2[[#This Row],[Rm ]]-Tableau2[[#Totals],[Rm ]])^2</f>
        <v>6.8343170134939887E-7</v>
      </c>
      <c r="T754" s="15">
        <f t="shared" si="22"/>
        <v>0.11736819774156926</v>
      </c>
      <c r="U754" s="15">
        <f t="shared" si="23"/>
        <v>0.15267120947624968</v>
      </c>
    </row>
    <row r="755" spans="1:21" x14ac:dyDescent="0.35">
      <c r="A755" s="10">
        <v>46014</v>
      </c>
      <c r="B755" s="2">
        <v>-7.9260652724207157E-3</v>
      </c>
      <c r="C755" s="2">
        <v>-1.0398707220898621E-2</v>
      </c>
      <c r="D755" s="2">
        <v>-4.3573053689557007E-3</v>
      </c>
      <c r="E755" s="2">
        <v>-2.9154539601240191E-3</v>
      </c>
      <c r="F755" s="2">
        <v>7.2857118199322127E-3</v>
      </c>
      <c r="G755" s="2">
        <v>-1.749315744751723E-2</v>
      </c>
      <c r="H755" s="2">
        <v>-1.8349138668196541E-2</v>
      </c>
      <c r="I755" s="2">
        <v>-1.427959688593917E-3</v>
      </c>
      <c r="J755" s="2">
        <v>-2.7779564107075709E-2</v>
      </c>
      <c r="K755" s="2">
        <v>3.3635231906010428E-2</v>
      </c>
      <c r="L755" s="2">
        <v>-4.4543503493803087E-3</v>
      </c>
      <c r="M755" s="2">
        <v>-4.3103515011222119E-3</v>
      </c>
      <c r="N755" s="2">
        <v>-1.9183926223023669E-2</v>
      </c>
      <c r="O755" s="2">
        <v>9.4551587707551975E-3</v>
      </c>
      <c r="P755" s="2">
        <v>0</v>
      </c>
      <c r="Q755" s="15">
        <f>AVERAGE(Tableau2[[#This Row],[AWB]:[IAM]])</f>
        <v>-4.547991820707387E-3</v>
      </c>
      <c r="R755" s="15">
        <f>ABS(Tableau2[[#This Row],[Rm ]])</f>
        <v>4.547991820707387E-3</v>
      </c>
      <c r="S755" s="15">
        <f>(Tableau2[[#This Row],[Rm ]]-Tableau2[[#Totals],[Rm ]])^2</f>
        <v>2.8511829112911636E-5</v>
      </c>
      <c r="T755" s="15">
        <f t="shared" si="22"/>
        <v>0.14344042366378279</v>
      </c>
      <c r="U755" s="15">
        <f t="shared" si="23"/>
        <v>0.11736819774156926</v>
      </c>
    </row>
    <row r="756" spans="1:21" x14ac:dyDescent="0.35">
      <c r="A756" s="10">
        <v>46015</v>
      </c>
      <c r="B756" s="2">
        <v>-5.3191614775999329E-3</v>
      </c>
      <c r="C756" s="2">
        <v>1.3841051411871509E-2</v>
      </c>
      <c r="D756" s="2">
        <v>-1.7621601349819559E-2</v>
      </c>
      <c r="E756" s="2">
        <v>0</v>
      </c>
      <c r="F756" s="2">
        <v>3.1910001645843761E-2</v>
      </c>
      <c r="G756" s="2">
        <v>-1.780462463350671E-2</v>
      </c>
      <c r="H756" s="2">
        <v>-1.853568649322944E-3</v>
      </c>
      <c r="I756" s="2">
        <v>-6.3073603598266014E-3</v>
      </c>
      <c r="J756" s="2">
        <v>8.1125544812368527E-2</v>
      </c>
      <c r="K756" s="2">
        <v>-1.9807863786660551E-4</v>
      </c>
      <c r="L756" s="2">
        <v>-1.8018505502678361E-2</v>
      </c>
      <c r="M756" s="2">
        <v>-2.8479471321868691E-2</v>
      </c>
      <c r="N756" s="2">
        <v>1.658833667642996E-3</v>
      </c>
      <c r="O756" s="2">
        <v>-9.4551587707552131E-3</v>
      </c>
      <c r="P756" s="2">
        <v>-2.8437935320533399E-2</v>
      </c>
      <c r="Q756" s="15">
        <f>AVERAGE(Tableau2[[#This Row],[AWB]:[IAM]])</f>
        <v>-3.3066896573674838E-4</v>
      </c>
      <c r="R756" s="15">
        <f>ABS(Tableau2[[#This Row],[Rm ]])</f>
        <v>3.3066896573674838E-4</v>
      </c>
      <c r="S756" s="15">
        <f>(Tableau2[[#This Row],[Rm ]]-Tableau2[[#Totals],[Rm ]])^2</f>
        <v>1.2596112822777824E-6</v>
      </c>
      <c r="T756" s="15">
        <f t="shared" si="22"/>
        <v>0.23440928479075113</v>
      </c>
      <c r="U756" s="15">
        <f t="shared" si="23"/>
        <v>0.14344042366378279</v>
      </c>
    </row>
    <row r="757" spans="1:21" x14ac:dyDescent="0.35">
      <c r="A757" s="10">
        <v>46020</v>
      </c>
      <c r="B757" s="2">
        <v>-4.3603637482131898E-2</v>
      </c>
      <c r="C757" s="2">
        <v>-4.9305760984154068E-2</v>
      </c>
      <c r="D757" s="2">
        <v>-5.9514127532407722E-2</v>
      </c>
      <c r="E757" s="2">
        <v>9.6853057344636791E-3</v>
      </c>
      <c r="F757" s="2">
        <v>-7.8431774610258926E-3</v>
      </c>
      <c r="G757" s="2">
        <v>-5.2239219099419823E-2</v>
      </c>
      <c r="H757" s="2">
        <v>-7.4488240129906248E-3</v>
      </c>
      <c r="I757" s="2">
        <v>6.5931154696434692E-3</v>
      </c>
      <c r="J757" s="2">
        <v>-5.4716782839071353E-2</v>
      </c>
      <c r="K757" s="2">
        <v>-1.9604548658313101E-2</v>
      </c>
      <c r="L757" s="2">
        <v>-9.0950438284049986E-4</v>
      </c>
      <c r="M757" s="2">
        <v>5.5401803756153509E-3</v>
      </c>
      <c r="N757" s="2">
        <v>-1.671348097374056E-2</v>
      </c>
      <c r="O757" s="2">
        <v>-3.562717764315116E-2</v>
      </c>
      <c r="P757" s="2">
        <v>0</v>
      </c>
      <c r="Q757" s="15">
        <f>AVERAGE(Tableau2[[#This Row],[AWB]:[IAM]])</f>
        <v>-2.1713842632634942E-2</v>
      </c>
      <c r="R757" s="15">
        <f>ABS(Tableau2[[#This Row],[Rm ]])</f>
        <v>2.1713842632634942E-2</v>
      </c>
      <c r="S757" s="15">
        <f>(Tableau2[[#This Row],[Rm ]]-Tableau2[[#Totals],[Rm ]])^2</f>
        <v>5.064974276671742E-4</v>
      </c>
      <c r="T757" s="15">
        <f t="shared" si="22"/>
        <v>0.30918104644526007</v>
      </c>
      <c r="U757" s="15">
        <f t="shared" si="23"/>
        <v>0.23440928479075113</v>
      </c>
    </row>
    <row r="758" spans="1:21" x14ac:dyDescent="0.35">
      <c r="A758" s="10">
        <v>46021</v>
      </c>
      <c r="B758" s="2">
        <v>1.520416296043396E-2</v>
      </c>
      <c r="C758" s="2">
        <v>1.077209698191104E-2</v>
      </c>
      <c r="D758" s="2">
        <v>2.7908788117076661E-2</v>
      </c>
      <c r="E758" s="2">
        <v>-2.5333266458833991E-3</v>
      </c>
      <c r="F758" s="2">
        <v>-7.9051795071132611E-3</v>
      </c>
      <c r="G758" s="2">
        <v>2.520480225334932E-3</v>
      </c>
      <c r="H758" s="2">
        <v>9.3023926623134103E-3</v>
      </c>
      <c r="I758" s="2">
        <v>-1.4295928095943229E-3</v>
      </c>
      <c r="J758" s="2">
        <v>-5.5020771539834208E-3</v>
      </c>
      <c r="K758" s="2">
        <v>-2.9938672362861789E-2</v>
      </c>
      <c r="L758" s="2">
        <v>-8.2229791804319923E-3</v>
      </c>
      <c r="M758" s="2">
        <v>5.5096558109696998E-3</v>
      </c>
      <c r="N758" s="2">
        <v>1.394722748085055E-2</v>
      </c>
      <c r="O758" s="2">
        <v>2.0513539833103028E-2</v>
      </c>
      <c r="P758" s="2">
        <v>-1.9418085857101738E-2</v>
      </c>
      <c r="Q758" s="15">
        <f>AVERAGE(Tableau2[[#This Row],[AWB]:[IAM]])</f>
        <v>2.0485620370015575E-3</v>
      </c>
      <c r="R758" s="15">
        <f>ABS(Tableau2[[#This Row],[Rm ]])</f>
        <v>2.0485620370015575E-3</v>
      </c>
      <c r="S758" s="15">
        <f>(Tableau2[[#This Row],[Rm ]]-Tableau2[[#Totals],[Rm ]])^2</f>
        <v>1.5798150776849643E-6</v>
      </c>
      <c r="T758" s="15">
        <f t="shared" si="22"/>
        <v>0.15854415751746523</v>
      </c>
      <c r="U758" s="15">
        <f t="shared" si="23"/>
        <v>0.30918104644526007</v>
      </c>
    </row>
    <row r="759" spans="1:21" x14ac:dyDescent="0.35">
      <c r="A759" s="10">
        <v>46022</v>
      </c>
      <c r="B759" s="2">
        <v>1.50777905338196E-3</v>
      </c>
      <c r="C759" s="2">
        <v>3.5091319811270193E-2</v>
      </c>
      <c r="D759" s="2">
        <v>3.1605339415331037E-2</v>
      </c>
      <c r="E759" s="2">
        <v>2.5333266458834941E-3</v>
      </c>
      <c r="F759" s="2">
        <v>1.5748356968139109E-2</v>
      </c>
      <c r="G759" s="2">
        <v>1.3129291441792579E-2</v>
      </c>
      <c r="H759" s="2">
        <v>-1.8692133012152522E-2</v>
      </c>
      <c r="I759" s="2">
        <v>2.9044759842567609E-2</v>
      </c>
      <c r="J759" s="2">
        <v>3.3901551675681423E-2</v>
      </c>
      <c r="K759" s="2">
        <v>0</v>
      </c>
      <c r="L759" s="2">
        <v>-2.7908788117076502E-2</v>
      </c>
      <c r="M759" s="2">
        <v>1.6349138001529411E-2</v>
      </c>
      <c r="N759" s="2">
        <v>1.9204979836050049E-2</v>
      </c>
      <c r="O759" s="2">
        <v>3.2462276144661108E-2</v>
      </c>
      <c r="P759" s="2">
        <v>0</v>
      </c>
      <c r="Q759" s="15">
        <f>AVERAGE(Tableau2[[#This Row],[AWB]:[IAM]])</f>
        <v>1.2265146513803928E-2</v>
      </c>
      <c r="R759" s="15">
        <f>ABS(Tableau2[[#This Row],[Rm ]])</f>
        <v>1.2265146513803928E-2</v>
      </c>
      <c r="S759" s="15">
        <f>(Tableau2[[#This Row],[Rm ]]-Tableau2[[#Totals],[Rm ]])^2</f>
        <v>1.3164100549102728E-4</v>
      </c>
      <c r="T759" s="15">
        <f t="shared" si="22"/>
        <v>0.22085391894602396</v>
      </c>
      <c r="U759" s="15">
        <f t="shared" si="23"/>
        <v>0.15854415751746523</v>
      </c>
    </row>
    <row r="760" spans="1:21" x14ac:dyDescent="0.35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5">
        <f>AVERAGE(Q3:Q759)</f>
        <v>7.9165508830369785E-4</v>
      </c>
      <c r="R760" s="15"/>
      <c r="S760" s="15"/>
      <c r="T760" s="15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9FC1-C8F7-47E4-8121-8CF29090C4E4}">
  <sheetPr>
    <tabColor theme="8" tint="0.39997558519241921"/>
  </sheetPr>
  <dimension ref="A1:G759"/>
  <sheetViews>
    <sheetView workbookViewId="0">
      <selection activeCell="K11" sqref="K11"/>
    </sheetView>
  </sheetViews>
  <sheetFormatPr baseColWidth="10" defaultRowHeight="14.5" x14ac:dyDescent="0.35"/>
  <cols>
    <col min="1" max="1" width="10.453125" style="18" customWidth="1"/>
  </cols>
  <sheetData>
    <row r="1" spans="1:7" x14ac:dyDescent="0.35">
      <c r="A1" s="16" t="s">
        <v>0</v>
      </c>
      <c r="B1" s="15" t="s">
        <v>22</v>
      </c>
      <c r="C1" s="15" t="s">
        <v>39</v>
      </c>
      <c r="D1" s="15" t="s">
        <v>38</v>
      </c>
      <c r="E1" s="15" t="s">
        <v>37</v>
      </c>
      <c r="F1" s="15" t="s">
        <v>36</v>
      </c>
      <c r="G1" s="15" t="s">
        <v>35</v>
      </c>
    </row>
    <row r="2" spans="1:7" x14ac:dyDescent="0.35">
      <c r="A2" s="17">
        <v>43839</v>
      </c>
      <c r="B2" s="19"/>
    </row>
    <row r="3" spans="1:7" x14ac:dyDescent="0.35">
      <c r="A3" s="17">
        <v>43840</v>
      </c>
      <c r="B3">
        <v>-5.3028545805345164E-3</v>
      </c>
      <c r="C3">
        <v>0</v>
      </c>
      <c r="D3">
        <v>0</v>
      </c>
      <c r="E3">
        <v>0</v>
      </c>
      <c r="F3">
        <v>0</v>
      </c>
      <c r="G3">
        <v>1</v>
      </c>
    </row>
    <row r="4" spans="1:7" x14ac:dyDescent="0.35">
      <c r="A4" s="17">
        <v>43844</v>
      </c>
      <c r="B4">
        <v>-5.68360590771859E-3</v>
      </c>
      <c r="C4">
        <v>0</v>
      </c>
      <c r="D4">
        <v>1</v>
      </c>
      <c r="E4">
        <v>0</v>
      </c>
      <c r="F4">
        <v>0</v>
      </c>
      <c r="G4">
        <v>0</v>
      </c>
    </row>
    <row r="5" spans="1:7" x14ac:dyDescent="0.35">
      <c r="A5" s="17">
        <v>43847</v>
      </c>
      <c r="B5">
        <v>2.0262280668251514E-2</v>
      </c>
      <c r="C5">
        <v>0</v>
      </c>
      <c r="D5">
        <v>0</v>
      </c>
      <c r="E5">
        <v>0</v>
      </c>
      <c r="F5">
        <v>0</v>
      </c>
      <c r="G5">
        <v>1</v>
      </c>
    </row>
    <row r="6" spans="1:7" x14ac:dyDescent="0.35">
      <c r="A6" s="17">
        <v>43852</v>
      </c>
      <c r="B6">
        <v>5.1728568358782312E-3</v>
      </c>
      <c r="C6">
        <v>0</v>
      </c>
      <c r="D6">
        <v>0</v>
      </c>
      <c r="E6">
        <v>1</v>
      </c>
      <c r="F6">
        <v>0</v>
      </c>
      <c r="G6">
        <v>0</v>
      </c>
    </row>
    <row r="7" spans="1:7" x14ac:dyDescent="0.35">
      <c r="A7" s="17">
        <v>43853</v>
      </c>
      <c r="B7">
        <v>-7.0559964827291233E-3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35">
      <c r="A8" s="17">
        <v>43858</v>
      </c>
      <c r="B8">
        <v>-5.1790733152830637E-3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35">
      <c r="A9" s="17">
        <v>43861</v>
      </c>
      <c r="B9">
        <v>-1.4904226864752453E-3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7">
        <v>43864</v>
      </c>
      <c r="B10">
        <v>-2.5894900083622231E-3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7">
        <v>43875</v>
      </c>
      <c r="B11">
        <v>1.1926082008095449E-3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7">
        <v>43882</v>
      </c>
      <c r="B12">
        <v>8.480841313402137E-3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7">
        <v>43889</v>
      </c>
      <c r="B13">
        <v>-3.8875600441375099E-2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7">
        <v>43893</v>
      </c>
      <c r="B14">
        <v>-3.3950731517034628E-2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 x14ac:dyDescent="0.35">
      <c r="A15" s="17">
        <v>43895</v>
      </c>
      <c r="B15">
        <v>-9.7407340430000228E-3</v>
      </c>
      <c r="C15">
        <v>0</v>
      </c>
      <c r="D15">
        <v>0</v>
      </c>
      <c r="E15">
        <v>0</v>
      </c>
      <c r="F15">
        <v>1</v>
      </c>
      <c r="G15">
        <v>0</v>
      </c>
    </row>
    <row r="16" spans="1:7" x14ac:dyDescent="0.35">
      <c r="A16" s="17">
        <v>43896</v>
      </c>
      <c r="B16">
        <v>-2.8196857706386035E-2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7">
        <v>43899</v>
      </c>
      <c r="B17">
        <v>-6.7724010329744636E-2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7">
        <v>43902</v>
      </c>
      <c r="B18">
        <v>-9.670176238977337E-3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35">
      <c r="A19" s="17">
        <v>43903</v>
      </c>
      <c r="B19">
        <v>-1.2029167692426032E-2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7">
        <v>43906</v>
      </c>
      <c r="B20">
        <v>-0.10027287770187558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7">
        <v>43908</v>
      </c>
      <c r="B21">
        <v>-6.5206900004714768E-2</v>
      </c>
      <c r="C21">
        <v>0</v>
      </c>
      <c r="D21">
        <v>0</v>
      </c>
      <c r="E21">
        <v>1</v>
      </c>
      <c r="F21">
        <v>0</v>
      </c>
      <c r="G21">
        <v>0</v>
      </c>
    </row>
    <row r="22" spans="1:7" x14ac:dyDescent="0.35">
      <c r="A22" s="17">
        <v>43909</v>
      </c>
      <c r="B22">
        <v>3.3782242716522262E-2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35">
      <c r="A23" s="17">
        <v>43913</v>
      </c>
      <c r="B23">
        <v>6.8797862948807423E-2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7">
        <v>43914</v>
      </c>
      <c r="B24">
        <v>2.026282056818874E-2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 x14ac:dyDescent="0.35">
      <c r="A25" s="17">
        <v>43915</v>
      </c>
      <c r="B25">
        <v>-2.8104620010448902E-2</v>
      </c>
      <c r="C25">
        <v>0</v>
      </c>
      <c r="D25">
        <v>0</v>
      </c>
      <c r="E25">
        <v>1</v>
      </c>
      <c r="F25">
        <v>0</v>
      </c>
      <c r="G25">
        <v>0</v>
      </c>
    </row>
    <row r="26" spans="1:7" x14ac:dyDescent="0.35">
      <c r="A26" s="17">
        <v>43916</v>
      </c>
      <c r="B26">
        <v>-9.5563599322789055E-3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35">
      <c r="A27" s="17">
        <v>43917</v>
      </c>
      <c r="B27">
        <v>-1.2597972229814477E-2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7">
        <v>43923</v>
      </c>
      <c r="B28">
        <v>-4.3809454358050642E-2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35">
      <c r="A29" s="17">
        <v>43924</v>
      </c>
      <c r="B29">
        <v>-1.4549514414082195E-2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7">
        <v>43927</v>
      </c>
      <c r="B30">
        <v>-1.8488842156851721E-2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7">
        <v>43928</v>
      </c>
      <c r="B31">
        <v>-1.3361639143560684E-2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 x14ac:dyDescent="0.35">
      <c r="A32" s="17">
        <v>43929</v>
      </c>
      <c r="B32">
        <v>8.0955382409813037E-3</v>
      </c>
      <c r="C32">
        <v>0</v>
      </c>
      <c r="D32">
        <v>0</v>
      </c>
      <c r="E32">
        <v>1</v>
      </c>
      <c r="F32">
        <v>0</v>
      </c>
      <c r="G32">
        <v>0</v>
      </c>
    </row>
    <row r="33" spans="1:7" x14ac:dyDescent="0.35">
      <c r="A33" s="17">
        <v>43930</v>
      </c>
      <c r="B33">
        <v>1.0732845058892629E-3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35">
      <c r="A34" s="17">
        <v>43935</v>
      </c>
      <c r="B34">
        <v>3.802890424391042E-3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 x14ac:dyDescent="0.35">
      <c r="A35" s="17">
        <v>43938</v>
      </c>
      <c r="B35">
        <v>-1.2094898648808411E-2</v>
      </c>
      <c r="C35">
        <v>0</v>
      </c>
      <c r="D35">
        <v>0</v>
      </c>
      <c r="E35">
        <v>0</v>
      </c>
      <c r="F35">
        <v>1</v>
      </c>
      <c r="G35">
        <v>0</v>
      </c>
    </row>
    <row r="36" spans="1:7" x14ac:dyDescent="0.35">
      <c r="A36" s="17">
        <v>43945</v>
      </c>
      <c r="B36">
        <v>-1.9769120054601522E-2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35">
      <c r="A37" s="17">
        <v>43948</v>
      </c>
      <c r="B37">
        <v>3.2795953357126558E-3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s="17">
        <v>43950</v>
      </c>
      <c r="B38">
        <v>2.2780579585377672E-2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7" x14ac:dyDescent="0.35">
      <c r="A39" s="17">
        <v>43951</v>
      </c>
      <c r="B39">
        <v>1.6264343292592146E-2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35">
      <c r="A40" s="17">
        <v>43977</v>
      </c>
      <c r="B40">
        <v>8.3153418779102775E-2</v>
      </c>
      <c r="C40">
        <v>0</v>
      </c>
      <c r="D40">
        <v>1</v>
      </c>
      <c r="E40">
        <v>0</v>
      </c>
      <c r="F40">
        <v>0</v>
      </c>
      <c r="G40">
        <v>0</v>
      </c>
    </row>
    <row r="41" spans="1:7" x14ac:dyDescent="0.35">
      <c r="A41" s="17">
        <v>43978</v>
      </c>
      <c r="B41">
        <v>8.89627616606814E-3</v>
      </c>
      <c r="C41">
        <v>0</v>
      </c>
      <c r="D41">
        <v>0</v>
      </c>
      <c r="E41">
        <v>1</v>
      </c>
      <c r="F41">
        <v>0</v>
      </c>
      <c r="G41">
        <v>0</v>
      </c>
    </row>
    <row r="42" spans="1:7" x14ac:dyDescent="0.35">
      <c r="A42" s="17">
        <v>43984</v>
      </c>
      <c r="B42">
        <v>3.7217075486220351E-2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7" x14ac:dyDescent="0.35">
      <c r="A43" s="17">
        <v>43993</v>
      </c>
      <c r="B43">
        <v>-8.9036537015175642E-4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35">
      <c r="A44" s="17">
        <v>43999</v>
      </c>
      <c r="B44">
        <v>4.1498018310025329E-2</v>
      </c>
      <c r="C44">
        <v>0</v>
      </c>
      <c r="D44">
        <v>0</v>
      </c>
      <c r="E44">
        <v>1</v>
      </c>
      <c r="F44">
        <v>0</v>
      </c>
      <c r="G44">
        <v>0</v>
      </c>
    </row>
    <row r="45" spans="1:7" x14ac:dyDescent="0.35">
      <c r="A45" s="17">
        <v>44000</v>
      </c>
      <c r="B45">
        <v>-1.0421904968799994E-2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35">
      <c r="A46" s="17">
        <v>44001</v>
      </c>
      <c r="B46">
        <v>-4.3242882917298711E-3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7">
        <v>44006</v>
      </c>
      <c r="B47">
        <v>-5.3246906842566106E-3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 x14ac:dyDescent="0.35">
      <c r="A48" s="17">
        <v>44070</v>
      </c>
      <c r="B48">
        <v>-4.7581895574972242E-2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35">
      <c r="A49" s="17">
        <v>44085</v>
      </c>
      <c r="B49">
        <v>2.3351304972680675E-2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7">
        <v>44091</v>
      </c>
      <c r="B50">
        <v>-9.9634880711021532E-3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35">
      <c r="A51" s="17">
        <v>44092</v>
      </c>
      <c r="B51">
        <v>-1.4821469481341065E-3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7">
        <v>44098</v>
      </c>
      <c r="B52">
        <v>-1.2159137427239071E-2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 x14ac:dyDescent="0.35">
      <c r="A53" s="17">
        <v>44116</v>
      </c>
      <c r="B53">
        <v>8.1275251290813429E-3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s="17">
        <v>44117</v>
      </c>
      <c r="B54">
        <v>5.9599877906306798E-3</v>
      </c>
      <c r="C54">
        <v>0</v>
      </c>
      <c r="D54">
        <v>1</v>
      </c>
      <c r="E54">
        <v>0</v>
      </c>
      <c r="F54">
        <v>0</v>
      </c>
      <c r="G54">
        <v>0</v>
      </c>
    </row>
    <row r="55" spans="1:7" x14ac:dyDescent="0.35">
      <c r="A55" s="17">
        <v>44118</v>
      </c>
      <c r="B55">
        <v>1.2113496595432741E-2</v>
      </c>
      <c r="C55">
        <v>0</v>
      </c>
      <c r="D55">
        <v>0</v>
      </c>
      <c r="E55">
        <v>1</v>
      </c>
      <c r="F55">
        <v>0</v>
      </c>
      <c r="G55">
        <v>0</v>
      </c>
    </row>
    <row r="56" spans="1:7" x14ac:dyDescent="0.35">
      <c r="A56" s="17">
        <v>44120</v>
      </c>
      <c r="B56">
        <v>-3.5782428494867012E-3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7">
        <v>44123</v>
      </c>
      <c r="B57">
        <v>-2.858127973899565E-3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 x14ac:dyDescent="0.35">
      <c r="A58" s="17">
        <v>44131</v>
      </c>
      <c r="B58">
        <v>1.733259678926679E-2</v>
      </c>
      <c r="C58">
        <v>0</v>
      </c>
      <c r="D58">
        <v>1</v>
      </c>
      <c r="E58">
        <v>0</v>
      </c>
      <c r="F58">
        <v>0</v>
      </c>
      <c r="G58">
        <v>0</v>
      </c>
    </row>
    <row r="59" spans="1:7" x14ac:dyDescent="0.35">
      <c r="A59" s="17">
        <v>44137</v>
      </c>
      <c r="B59">
        <v>-1.0553217838256591E-2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 x14ac:dyDescent="0.35">
      <c r="A60" s="17">
        <v>44144</v>
      </c>
      <c r="B60">
        <v>1.9784783584212651E-2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 x14ac:dyDescent="0.35">
      <c r="A61" s="17">
        <v>44145</v>
      </c>
      <c r="B61">
        <v>3.1447397965486978E-3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 x14ac:dyDescent="0.35">
      <c r="A62" s="17">
        <v>44159</v>
      </c>
      <c r="B62">
        <v>4.816490015322359E-2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 x14ac:dyDescent="0.35">
      <c r="A63" s="17">
        <v>44161</v>
      </c>
      <c r="B63">
        <v>-1.4480741174581842E-3</v>
      </c>
      <c r="C63">
        <v>0</v>
      </c>
      <c r="D63">
        <v>0</v>
      </c>
      <c r="E63">
        <v>0</v>
      </c>
      <c r="F63">
        <v>1</v>
      </c>
      <c r="G63">
        <v>0</v>
      </c>
    </row>
    <row r="64" spans="1:7" x14ac:dyDescent="0.35">
      <c r="A64" s="17">
        <v>44162</v>
      </c>
      <c r="B64">
        <v>-1.3159807133570291E-2</v>
      </c>
      <c r="C64">
        <v>0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7">
        <v>44168</v>
      </c>
      <c r="B65">
        <v>3.5705138766709841E-3</v>
      </c>
      <c r="C65">
        <v>0</v>
      </c>
      <c r="D65">
        <v>0</v>
      </c>
      <c r="E65">
        <v>0</v>
      </c>
      <c r="F65">
        <v>1</v>
      </c>
      <c r="G65">
        <v>0</v>
      </c>
    </row>
    <row r="66" spans="1:7" x14ac:dyDescent="0.35">
      <c r="A66" s="17">
        <v>44169</v>
      </c>
      <c r="B66">
        <v>-4.1044577050079103E-3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7">
        <v>44174</v>
      </c>
      <c r="B67">
        <v>1.6906706523223528E-2</v>
      </c>
      <c r="C67">
        <v>0</v>
      </c>
      <c r="D67">
        <v>0</v>
      </c>
      <c r="E67">
        <v>1</v>
      </c>
      <c r="F67">
        <v>0</v>
      </c>
      <c r="G67">
        <v>0</v>
      </c>
    </row>
    <row r="68" spans="1:7" x14ac:dyDescent="0.35">
      <c r="A68" s="17">
        <v>44175</v>
      </c>
      <c r="B68">
        <v>3.9826185258016915E-3</v>
      </c>
      <c r="C68">
        <v>0</v>
      </c>
      <c r="D68">
        <v>0</v>
      </c>
      <c r="E68">
        <v>0</v>
      </c>
      <c r="F68">
        <v>1</v>
      </c>
      <c r="G68">
        <v>0</v>
      </c>
    </row>
    <row r="69" spans="1:7" x14ac:dyDescent="0.35">
      <c r="A69" s="17">
        <v>44176</v>
      </c>
      <c r="B69">
        <v>2.3047534812899E-2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7">
        <v>44180</v>
      </c>
      <c r="B70">
        <v>-3.6143681821551453E-3</v>
      </c>
      <c r="C70">
        <v>0</v>
      </c>
      <c r="D70">
        <v>1</v>
      </c>
      <c r="E70">
        <v>0</v>
      </c>
      <c r="F70">
        <v>0</v>
      </c>
      <c r="G70">
        <v>0</v>
      </c>
    </row>
    <row r="71" spans="1:7" x14ac:dyDescent="0.35">
      <c r="A71" s="17">
        <v>44182</v>
      </c>
      <c r="B71">
        <v>1.4347733829759684E-2</v>
      </c>
      <c r="C71">
        <v>0</v>
      </c>
      <c r="D71">
        <v>0</v>
      </c>
      <c r="E71">
        <v>0</v>
      </c>
      <c r="F71">
        <v>1</v>
      </c>
      <c r="G71">
        <v>0</v>
      </c>
    </row>
    <row r="72" spans="1:7" x14ac:dyDescent="0.35">
      <c r="A72" s="17">
        <v>44183</v>
      </c>
      <c r="B72">
        <v>-6.4934456842522543E-3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7">
        <v>44186</v>
      </c>
      <c r="B73">
        <v>-2.9527938753633576E-2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 x14ac:dyDescent="0.35">
      <c r="A74" s="17">
        <v>44187</v>
      </c>
      <c r="B74">
        <v>1.7778077577083808E-2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 x14ac:dyDescent="0.35">
      <c r="A75" s="17">
        <v>44189</v>
      </c>
      <c r="B75">
        <v>3.57960907664788E-3</v>
      </c>
      <c r="C75">
        <v>0</v>
      </c>
      <c r="D75">
        <v>0</v>
      </c>
      <c r="E75">
        <v>0</v>
      </c>
      <c r="F75">
        <v>1</v>
      </c>
      <c r="G75">
        <v>0</v>
      </c>
    </row>
    <row r="76" spans="1:7" x14ac:dyDescent="0.35">
      <c r="A76" s="17">
        <v>44193</v>
      </c>
      <c r="B76">
        <v>-1.243870919523196E-2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 x14ac:dyDescent="0.35">
      <c r="A77" s="17">
        <v>44194</v>
      </c>
      <c r="B77">
        <v>-4.9381831498906794E-3</v>
      </c>
      <c r="C77">
        <v>0</v>
      </c>
      <c r="D77">
        <v>1</v>
      </c>
      <c r="E77">
        <v>0</v>
      </c>
      <c r="F77">
        <v>0</v>
      </c>
      <c r="G77">
        <v>0</v>
      </c>
    </row>
    <row r="78" spans="1:7" x14ac:dyDescent="0.35">
      <c r="A78" s="17">
        <v>44209</v>
      </c>
      <c r="B78">
        <v>9.9326194211652001E-3</v>
      </c>
      <c r="C78">
        <v>0</v>
      </c>
      <c r="D78">
        <v>0</v>
      </c>
      <c r="E78">
        <v>1</v>
      </c>
      <c r="F78">
        <v>0</v>
      </c>
      <c r="G78">
        <v>0</v>
      </c>
    </row>
    <row r="79" spans="1:7" x14ac:dyDescent="0.35">
      <c r="A79" s="17">
        <v>44211</v>
      </c>
      <c r="B79">
        <v>1.2698571660312978E-2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7">
        <v>44217</v>
      </c>
      <c r="B80">
        <v>7.1679530136200551E-3</v>
      </c>
      <c r="C80">
        <v>0</v>
      </c>
      <c r="D80">
        <v>0</v>
      </c>
      <c r="E80">
        <v>0</v>
      </c>
      <c r="F80">
        <v>1</v>
      </c>
      <c r="G80">
        <v>0</v>
      </c>
    </row>
    <row r="81" spans="1:7" x14ac:dyDescent="0.35">
      <c r="A81" s="17">
        <v>44218</v>
      </c>
      <c r="B81">
        <v>-2.2411788530609916E-3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7">
        <v>44225</v>
      </c>
      <c r="B82">
        <v>1.4859985998876701E-2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7">
        <v>44230</v>
      </c>
      <c r="B83">
        <v>1.1499129653852943E-2</v>
      </c>
      <c r="C83">
        <v>0</v>
      </c>
      <c r="D83">
        <v>0</v>
      </c>
      <c r="E83">
        <v>1</v>
      </c>
      <c r="F83">
        <v>0</v>
      </c>
      <c r="G83">
        <v>0</v>
      </c>
    </row>
    <row r="84" spans="1:7" x14ac:dyDescent="0.35">
      <c r="A84" s="17">
        <v>44232</v>
      </c>
      <c r="B84">
        <v>3.4596017377485503E-3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7">
        <v>44235</v>
      </c>
      <c r="B85">
        <v>-1.220411493063464E-3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 x14ac:dyDescent="0.35">
      <c r="A86" s="17">
        <v>44238</v>
      </c>
      <c r="B86">
        <v>-8.7151669309331031E-3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35">
      <c r="A87" s="17">
        <v>44249</v>
      </c>
      <c r="B87">
        <v>-1.6438890004304083E-2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 x14ac:dyDescent="0.35">
      <c r="A88" s="17">
        <v>44253</v>
      </c>
      <c r="B88">
        <v>-1.2711761045443496E-2</v>
      </c>
      <c r="C88">
        <v>0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7">
        <v>44267</v>
      </c>
      <c r="B89">
        <v>-3.6517054867306015E-3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7">
        <v>44273</v>
      </c>
      <c r="B90">
        <v>9.8450684510566749E-3</v>
      </c>
      <c r="C90">
        <v>0</v>
      </c>
      <c r="D90">
        <v>0</v>
      </c>
      <c r="E90">
        <v>0</v>
      </c>
      <c r="F90">
        <v>1</v>
      </c>
      <c r="G90">
        <v>0</v>
      </c>
    </row>
    <row r="91" spans="1:7" x14ac:dyDescent="0.35">
      <c r="A91" s="17">
        <v>44277</v>
      </c>
      <c r="B91">
        <v>-2.2268152365082284E-3</v>
      </c>
      <c r="C91">
        <v>1</v>
      </c>
      <c r="D91">
        <v>0</v>
      </c>
      <c r="E91">
        <v>0</v>
      </c>
      <c r="F91">
        <v>0</v>
      </c>
      <c r="G91">
        <v>0</v>
      </c>
    </row>
    <row r="92" spans="1:7" x14ac:dyDescent="0.35">
      <c r="A92" s="17">
        <v>44281</v>
      </c>
      <c r="B92">
        <v>3.6749397296261792E-3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7">
        <v>44308</v>
      </c>
      <c r="B93">
        <v>2.0839141850956058E-2</v>
      </c>
      <c r="C93">
        <v>0</v>
      </c>
      <c r="D93">
        <v>0</v>
      </c>
      <c r="E93">
        <v>0</v>
      </c>
      <c r="F93">
        <v>1</v>
      </c>
      <c r="G93">
        <v>0</v>
      </c>
    </row>
    <row r="94" spans="1:7" x14ac:dyDescent="0.35">
      <c r="A94" s="17">
        <v>44309</v>
      </c>
      <c r="B94">
        <v>1.4935884415459128E-3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7">
        <v>44316</v>
      </c>
      <c r="B95">
        <v>3.2539370579416781E-3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7">
        <v>44319</v>
      </c>
      <c r="B96">
        <v>4.0050538015272636E-3</v>
      </c>
      <c r="C96">
        <v>1</v>
      </c>
      <c r="D96">
        <v>0</v>
      </c>
      <c r="E96">
        <v>0</v>
      </c>
      <c r="F96">
        <v>0</v>
      </c>
      <c r="G96">
        <v>0</v>
      </c>
    </row>
    <row r="97" spans="1:7" x14ac:dyDescent="0.35">
      <c r="A97" s="17">
        <v>44320</v>
      </c>
      <c r="B97">
        <v>7.7254829536844098E-3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 x14ac:dyDescent="0.35">
      <c r="A98" s="17">
        <v>44322</v>
      </c>
      <c r="B98">
        <v>6.0039962672518645E-4</v>
      </c>
      <c r="C98">
        <v>0</v>
      </c>
      <c r="D98">
        <v>0</v>
      </c>
      <c r="E98">
        <v>0</v>
      </c>
      <c r="F98">
        <v>1</v>
      </c>
      <c r="G98">
        <v>0</v>
      </c>
    </row>
    <row r="99" spans="1:7" x14ac:dyDescent="0.35">
      <c r="A99" s="17">
        <v>44323</v>
      </c>
      <c r="B99">
        <v>-4.6384608242707369E-5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7">
        <v>44326</v>
      </c>
      <c r="B100">
        <v>4.8632687482908811E-3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 x14ac:dyDescent="0.35">
      <c r="A101" s="17">
        <v>44328</v>
      </c>
      <c r="B101">
        <v>-3.0330423881305261E-3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 x14ac:dyDescent="0.35">
      <c r="A102" s="17">
        <v>44333</v>
      </c>
      <c r="B102">
        <v>8.3241859362866086E-3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 x14ac:dyDescent="0.35">
      <c r="A103" s="17">
        <v>44335</v>
      </c>
      <c r="B103">
        <v>3.6733709928215864E-4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35">
      <c r="A104" s="17">
        <v>44336</v>
      </c>
      <c r="B104">
        <v>-9.131393755346948E-3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 x14ac:dyDescent="0.35">
      <c r="A105" s="17">
        <v>44337</v>
      </c>
      <c r="B105">
        <v>8.4698152721731455E-3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7">
        <v>44340</v>
      </c>
      <c r="B106">
        <v>4.0433367401406196E-3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 x14ac:dyDescent="0.35">
      <c r="A107" s="17">
        <v>44348</v>
      </c>
      <c r="B107">
        <v>1.5393696646509419E-2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 x14ac:dyDescent="0.35">
      <c r="A108" s="17">
        <v>44349</v>
      </c>
      <c r="B108">
        <v>1.4879710826019795E-2</v>
      </c>
      <c r="C108">
        <v>0</v>
      </c>
      <c r="D108">
        <v>0</v>
      </c>
      <c r="E108">
        <v>1</v>
      </c>
      <c r="F108">
        <v>0</v>
      </c>
      <c r="G108">
        <v>0</v>
      </c>
    </row>
    <row r="109" spans="1:7" x14ac:dyDescent="0.35">
      <c r="A109" s="17">
        <v>44350</v>
      </c>
      <c r="B109">
        <v>1.3980461078337583E-2</v>
      </c>
      <c r="C109">
        <v>0</v>
      </c>
      <c r="D109">
        <v>0</v>
      </c>
      <c r="E109">
        <v>0</v>
      </c>
      <c r="F109">
        <v>1</v>
      </c>
      <c r="G109">
        <v>0</v>
      </c>
    </row>
    <row r="110" spans="1:7" x14ac:dyDescent="0.35">
      <c r="A110" s="17">
        <v>44351</v>
      </c>
      <c r="B110">
        <v>1.067228115180038E-3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7">
        <v>44354</v>
      </c>
      <c r="B111">
        <v>4.8847051520698797E-3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s="17">
        <v>44355</v>
      </c>
      <c r="B112">
        <v>5.9169893221660691E-3</v>
      </c>
      <c r="C112">
        <v>0</v>
      </c>
      <c r="D112">
        <v>1</v>
      </c>
      <c r="E112">
        <v>0</v>
      </c>
      <c r="F112">
        <v>0</v>
      </c>
      <c r="G112">
        <v>0</v>
      </c>
    </row>
    <row r="113" spans="1:7" x14ac:dyDescent="0.35">
      <c r="A113" s="17">
        <v>44356</v>
      </c>
      <c r="B113">
        <v>3.7071957263892477E-3</v>
      </c>
      <c r="C113">
        <v>0</v>
      </c>
      <c r="D113">
        <v>0</v>
      </c>
      <c r="E113">
        <v>1</v>
      </c>
      <c r="F113">
        <v>0</v>
      </c>
      <c r="G113">
        <v>0</v>
      </c>
    </row>
    <row r="114" spans="1:7" x14ac:dyDescent="0.35">
      <c r="A114" s="17">
        <v>44357</v>
      </c>
      <c r="B114">
        <v>-1.8748242827729073E-3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35">
      <c r="A115" s="17">
        <v>44358</v>
      </c>
      <c r="B115">
        <v>1.4219827882048331E-2</v>
      </c>
      <c r="C115">
        <v>0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7">
        <v>44361</v>
      </c>
      <c r="B116">
        <v>1.421562404338046E-2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 x14ac:dyDescent="0.35">
      <c r="A117" s="17">
        <v>44362</v>
      </c>
      <c r="B117">
        <v>2.7655922840277539E-3</v>
      </c>
      <c r="C117">
        <v>0</v>
      </c>
      <c r="D117">
        <v>1</v>
      </c>
      <c r="E117">
        <v>0</v>
      </c>
      <c r="F117">
        <v>0</v>
      </c>
      <c r="G117">
        <v>0</v>
      </c>
    </row>
    <row r="118" spans="1:7" x14ac:dyDescent="0.35">
      <c r="A118" s="17">
        <v>44363</v>
      </c>
      <c r="B118">
        <v>-8.6109369452202558E-3</v>
      </c>
      <c r="C118">
        <v>0</v>
      </c>
      <c r="D118">
        <v>0</v>
      </c>
      <c r="E118">
        <v>1</v>
      </c>
      <c r="F118">
        <v>0</v>
      </c>
      <c r="G118">
        <v>0</v>
      </c>
    </row>
    <row r="119" spans="1:7" x14ac:dyDescent="0.35">
      <c r="A119" s="17">
        <v>44364</v>
      </c>
      <c r="B119">
        <v>-5.2479169624102227E-3</v>
      </c>
      <c r="C119">
        <v>0</v>
      </c>
      <c r="D119">
        <v>0</v>
      </c>
      <c r="E119">
        <v>0</v>
      </c>
      <c r="F119">
        <v>1</v>
      </c>
      <c r="G119">
        <v>0</v>
      </c>
    </row>
    <row r="120" spans="1:7" x14ac:dyDescent="0.35">
      <c r="A120" s="17">
        <v>44369</v>
      </c>
      <c r="B120">
        <v>1.5157126421580076E-2</v>
      </c>
      <c r="C120">
        <v>0</v>
      </c>
      <c r="D120">
        <v>1</v>
      </c>
      <c r="E120">
        <v>0</v>
      </c>
      <c r="F120">
        <v>0</v>
      </c>
      <c r="G120">
        <v>0</v>
      </c>
    </row>
    <row r="121" spans="1:7" x14ac:dyDescent="0.35">
      <c r="A121" s="17">
        <v>44371</v>
      </c>
      <c r="B121">
        <v>6.3907330896832986E-4</v>
      </c>
      <c r="C121">
        <v>0</v>
      </c>
      <c r="D121">
        <v>0</v>
      </c>
      <c r="E121">
        <v>0</v>
      </c>
      <c r="F121">
        <v>1</v>
      </c>
      <c r="G121">
        <v>0</v>
      </c>
    </row>
    <row r="122" spans="1:7" x14ac:dyDescent="0.35">
      <c r="A122" s="17">
        <v>44372</v>
      </c>
      <c r="B122">
        <v>-8.7853772896502591E-3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7">
        <v>44375</v>
      </c>
      <c r="B123">
        <v>-1.2218435179353585E-3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 x14ac:dyDescent="0.35">
      <c r="A124" s="17">
        <v>44377</v>
      </c>
      <c r="B124">
        <v>8.707272601089054E-4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 x14ac:dyDescent="0.35">
      <c r="A125" s="17">
        <v>44378</v>
      </c>
      <c r="B125">
        <v>5.9258513154272574E-3</v>
      </c>
      <c r="C125">
        <v>0</v>
      </c>
      <c r="D125">
        <v>0</v>
      </c>
      <c r="E125">
        <v>0</v>
      </c>
      <c r="F125">
        <v>1</v>
      </c>
      <c r="G125">
        <v>0</v>
      </c>
    </row>
    <row r="126" spans="1:7" x14ac:dyDescent="0.35">
      <c r="A126" s="17">
        <v>44379</v>
      </c>
      <c r="B126">
        <v>-6.2065279028627896E-3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7">
        <v>44382</v>
      </c>
      <c r="B127">
        <v>-1.4809905953622181E-2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 x14ac:dyDescent="0.35">
      <c r="A128" s="17">
        <v>44393</v>
      </c>
      <c r="B128">
        <v>-7.2115578777472537E-3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7">
        <v>44404</v>
      </c>
      <c r="B129">
        <v>-6.6423083936962331E-3</v>
      </c>
      <c r="C129">
        <v>0</v>
      </c>
      <c r="D129">
        <v>1</v>
      </c>
      <c r="E129">
        <v>0</v>
      </c>
      <c r="F129">
        <v>0</v>
      </c>
      <c r="G129">
        <v>0</v>
      </c>
    </row>
    <row r="130" spans="1:7" x14ac:dyDescent="0.35">
      <c r="A130" s="17">
        <v>44410</v>
      </c>
      <c r="B130">
        <v>3.0672223073910121E-4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 s="17">
        <v>44412</v>
      </c>
      <c r="B131">
        <v>1.4752181755590675E-2</v>
      </c>
      <c r="C131">
        <v>0</v>
      </c>
      <c r="D131">
        <v>0</v>
      </c>
      <c r="E131">
        <v>1</v>
      </c>
      <c r="F131">
        <v>0</v>
      </c>
      <c r="G131">
        <v>0</v>
      </c>
    </row>
    <row r="132" spans="1:7" x14ac:dyDescent="0.35">
      <c r="A132" s="17">
        <v>44420</v>
      </c>
      <c r="B132">
        <v>-3.7817015205211784E-3</v>
      </c>
      <c r="C132">
        <v>0</v>
      </c>
      <c r="D132">
        <v>0</v>
      </c>
      <c r="E132">
        <v>0</v>
      </c>
      <c r="F132">
        <v>1</v>
      </c>
      <c r="G132">
        <v>0</v>
      </c>
    </row>
    <row r="133" spans="1:7" x14ac:dyDescent="0.35">
      <c r="A133" s="17">
        <v>44421</v>
      </c>
      <c r="B133">
        <v>9.9423490034673285E-3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7">
        <v>44431</v>
      </c>
      <c r="B134">
        <v>2.1513050112642259E-2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s="17">
        <v>44432</v>
      </c>
      <c r="B135">
        <v>2.4088405473649626E-3</v>
      </c>
      <c r="C135">
        <v>0</v>
      </c>
      <c r="D135">
        <v>1</v>
      </c>
      <c r="E135">
        <v>0</v>
      </c>
      <c r="F135">
        <v>0</v>
      </c>
      <c r="G135">
        <v>0</v>
      </c>
    </row>
    <row r="136" spans="1:7" x14ac:dyDescent="0.35">
      <c r="A136" s="17">
        <v>44434</v>
      </c>
      <c r="B136">
        <v>-1.2616627282638459E-3</v>
      </c>
      <c r="C136">
        <v>0</v>
      </c>
      <c r="D136">
        <v>0</v>
      </c>
      <c r="E136">
        <v>0</v>
      </c>
      <c r="F136">
        <v>1</v>
      </c>
      <c r="G136">
        <v>0</v>
      </c>
    </row>
    <row r="137" spans="1:7" x14ac:dyDescent="0.35">
      <c r="A137" s="17">
        <v>44435</v>
      </c>
      <c r="B137">
        <v>4.8496531986790669E-3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7">
        <v>44439</v>
      </c>
      <c r="B138">
        <v>1.0031826844848408E-3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 x14ac:dyDescent="0.35">
      <c r="A139" s="17">
        <v>44447</v>
      </c>
      <c r="B139">
        <v>8.9757789003853776E-3</v>
      </c>
      <c r="C139">
        <v>0</v>
      </c>
      <c r="D139">
        <v>0</v>
      </c>
      <c r="E139">
        <v>1</v>
      </c>
      <c r="F139">
        <v>0</v>
      </c>
      <c r="G139">
        <v>0</v>
      </c>
    </row>
    <row r="140" spans="1:7" x14ac:dyDescent="0.35">
      <c r="A140" s="17">
        <v>44448</v>
      </c>
      <c r="B140">
        <v>1.7598311753070837E-2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35">
      <c r="A141" s="17">
        <v>44455</v>
      </c>
      <c r="B141">
        <v>-1.3093827095360734E-2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 x14ac:dyDescent="0.35">
      <c r="A142" s="17">
        <v>44456</v>
      </c>
      <c r="B142">
        <v>5.9708472124402282E-3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7">
        <v>44462</v>
      </c>
      <c r="B143">
        <v>-1.4704893443300994E-4</v>
      </c>
      <c r="C143">
        <v>0</v>
      </c>
      <c r="D143">
        <v>0</v>
      </c>
      <c r="E143">
        <v>0</v>
      </c>
      <c r="F143">
        <v>1</v>
      </c>
      <c r="G143">
        <v>0</v>
      </c>
    </row>
    <row r="144" spans="1:7" x14ac:dyDescent="0.35">
      <c r="A144" s="17">
        <v>44467</v>
      </c>
      <c r="B144">
        <v>1.3119985972340918E-3</v>
      </c>
      <c r="C144">
        <v>0</v>
      </c>
      <c r="D144">
        <v>1</v>
      </c>
      <c r="E144">
        <v>0</v>
      </c>
      <c r="F144">
        <v>0</v>
      </c>
      <c r="G144">
        <v>0</v>
      </c>
    </row>
    <row r="145" spans="1:7" x14ac:dyDescent="0.35">
      <c r="A145" s="17">
        <v>44470</v>
      </c>
      <c r="B145">
        <v>-1.9029423436536833E-3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7">
        <v>44474</v>
      </c>
      <c r="B146">
        <v>-7.1320083950923074E-3</v>
      </c>
      <c r="C146">
        <v>0</v>
      </c>
      <c r="D146">
        <v>1</v>
      </c>
      <c r="E146">
        <v>0</v>
      </c>
      <c r="F146">
        <v>0</v>
      </c>
      <c r="G146">
        <v>0</v>
      </c>
    </row>
    <row r="147" spans="1:7" x14ac:dyDescent="0.35">
      <c r="A147" s="17">
        <v>44477</v>
      </c>
      <c r="B147">
        <v>2.101598850659496E-2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7">
        <v>44480</v>
      </c>
      <c r="B148">
        <v>-4.4521207724142744E-3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 x14ac:dyDescent="0.35">
      <c r="A149" s="17">
        <v>44482</v>
      </c>
      <c r="B149">
        <v>1.3453913772802097E-3</v>
      </c>
      <c r="C149">
        <v>0</v>
      </c>
      <c r="D149">
        <v>0</v>
      </c>
      <c r="E149">
        <v>1</v>
      </c>
      <c r="F149">
        <v>0</v>
      </c>
      <c r="G149">
        <v>0</v>
      </c>
    </row>
    <row r="150" spans="1:7" x14ac:dyDescent="0.35">
      <c r="A150" s="17">
        <v>44483</v>
      </c>
      <c r="B150">
        <v>1.2340622768713839E-3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 x14ac:dyDescent="0.35">
      <c r="A151" s="17">
        <v>44484</v>
      </c>
      <c r="B151">
        <v>7.7632727481381563E-3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7">
        <v>44487</v>
      </c>
      <c r="B152">
        <v>2.1526356989631373E-3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 x14ac:dyDescent="0.35">
      <c r="A153" s="17">
        <v>44494</v>
      </c>
      <c r="B153">
        <v>1.1269965568225331E-3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 s="17">
        <v>44495</v>
      </c>
      <c r="B154">
        <v>7.8119156760024667E-3</v>
      </c>
      <c r="C154">
        <v>0</v>
      </c>
      <c r="D154">
        <v>1</v>
      </c>
      <c r="E154">
        <v>0</v>
      </c>
      <c r="F154">
        <v>0</v>
      </c>
      <c r="G154">
        <v>0</v>
      </c>
    </row>
    <row r="155" spans="1:7" x14ac:dyDescent="0.35">
      <c r="A155" s="17">
        <v>44496</v>
      </c>
      <c r="B155">
        <v>7.2113696853603427E-3</v>
      </c>
      <c r="C155">
        <v>0</v>
      </c>
      <c r="D155">
        <v>0</v>
      </c>
      <c r="E155">
        <v>1</v>
      </c>
      <c r="F155">
        <v>0</v>
      </c>
      <c r="G155">
        <v>0</v>
      </c>
    </row>
    <row r="156" spans="1:7" x14ac:dyDescent="0.35">
      <c r="A156" s="17">
        <v>44497</v>
      </c>
      <c r="B156">
        <v>1.9654972726615271E-3</v>
      </c>
      <c r="C156">
        <v>0</v>
      </c>
      <c r="D156">
        <v>0</v>
      </c>
      <c r="E156">
        <v>0</v>
      </c>
      <c r="F156">
        <v>1</v>
      </c>
      <c r="G156">
        <v>0</v>
      </c>
    </row>
    <row r="157" spans="1:7" x14ac:dyDescent="0.35">
      <c r="A157" s="17">
        <v>44498</v>
      </c>
      <c r="B157">
        <v>-1.2504955201743707E-3</v>
      </c>
      <c r="C157">
        <v>0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7">
        <v>44502</v>
      </c>
      <c r="B158">
        <v>-8.8926784247749294E-4</v>
      </c>
      <c r="C158">
        <v>0</v>
      </c>
      <c r="D158">
        <v>1</v>
      </c>
      <c r="E158">
        <v>0</v>
      </c>
      <c r="F158">
        <v>0</v>
      </c>
      <c r="G158">
        <v>0</v>
      </c>
    </row>
    <row r="159" spans="1:7" x14ac:dyDescent="0.35">
      <c r="A159" s="17">
        <v>44505</v>
      </c>
      <c r="B159">
        <v>-1.9633684683251908E-2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7">
        <v>44510</v>
      </c>
      <c r="B160">
        <v>-4.539254288517894E-3</v>
      </c>
      <c r="C160">
        <v>0</v>
      </c>
      <c r="D160">
        <v>0</v>
      </c>
      <c r="E160">
        <v>1</v>
      </c>
      <c r="F160">
        <v>0</v>
      </c>
      <c r="G160">
        <v>0</v>
      </c>
    </row>
    <row r="161" spans="1:7" x14ac:dyDescent="0.35">
      <c r="A161" s="17">
        <v>44512</v>
      </c>
      <c r="B161">
        <v>9.5762772179750055E-5</v>
      </c>
      <c r="C161">
        <v>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7">
        <v>44517</v>
      </c>
      <c r="B162">
        <v>8.8337034420247033E-3</v>
      </c>
      <c r="C162">
        <v>0</v>
      </c>
      <c r="D162">
        <v>0</v>
      </c>
      <c r="E162">
        <v>1</v>
      </c>
      <c r="F162">
        <v>0</v>
      </c>
      <c r="G162">
        <v>0</v>
      </c>
    </row>
    <row r="163" spans="1:7" x14ac:dyDescent="0.35">
      <c r="A163" s="17">
        <v>44526</v>
      </c>
      <c r="B163">
        <v>-1.2773038536699914E-2</v>
      </c>
      <c r="C163">
        <v>0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7">
        <v>44530</v>
      </c>
      <c r="B164">
        <v>-1.0779110113504796E-2</v>
      </c>
      <c r="C164">
        <v>0</v>
      </c>
      <c r="D164">
        <v>1</v>
      </c>
      <c r="E164">
        <v>0</v>
      </c>
      <c r="F164">
        <v>0</v>
      </c>
      <c r="G164">
        <v>0</v>
      </c>
    </row>
    <row r="165" spans="1:7" x14ac:dyDescent="0.35">
      <c r="A165" s="17">
        <v>44532</v>
      </c>
      <c r="B165">
        <v>6.3775968146077121E-3</v>
      </c>
      <c r="C165">
        <v>0</v>
      </c>
      <c r="D165">
        <v>0</v>
      </c>
      <c r="E165">
        <v>1</v>
      </c>
      <c r="F165">
        <v>0</v>
      </c>
      <c r="G165">
        <v>0</v>
      </c>
    </row>
    <row r="166" spans="1:7" x14ac:dyDescent="0.35">
      <c r="A166" s="17">
        <v>44533</v>
      </c>
      <c r="B166">
        <v>-3.4888574875599513E-3</v>
      </c>
      <c r="C166">
        <v>0</v>
      </c>
      <c r="D166">
        <v>0</v>
      </c>
      <c r="E166">
        <v>0</v>
      </c>
      <c r="F166">
        <v>1</v>
      </c>
      <c r="G166">
        <v>0</v>
      </c>
    </row>
    <row r="167" spans="1:7" x14ac:dyDescent="0.35">
      <c r="A167" s="17">
        <v>44536</v>
      </c>
      <c r="B167">
        <v>4.0248771606753069E-3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1:7" x14ac:dyDescent="0.35">
      <c r="A168" s="17">
        <v>44539</v>
      </c>
      <c r="B168">
        <v>1.0378196135878667E-2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35">
      <c r="A169" s="17">
        <v>44540</v>
      </c>
      <c r="B169">
        <v>3.479821639565458E-3</v>
      </c>
      <c r="C169">
        <v>0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7">
        <v>44554</v>
      </c>
      <c r="B170">
        <v>-7.9196984461753425E-3</v>
      </c>
      <c r="C170">
        <v>0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7">
        <v>44558</v>
      </c>
      <c r="B171">
        <v>-2.8023953821213888E-3</v>
      </c>
      <c r="C171">
        <v>0</v>
      </c>
      <c r="D171">
        <v>1</v>
      </c>
      <c r="E171">
        <v>0</v>
      </c>
      <c r="F171">
        <v>0</v>
      </c>
      <c r="G171">
        <v>0</v>
      </c>
    </row>
    <row r="172" spans="1:7" x14ac:dyDescent="0.35">
      <c r="A172" s="17">
        <v>44559</v>
      </c>
      <c r="B172">
        <v>8.3564043650241979E-3</v>
      </c>
      <c r="C172">
        <v>0</v>
      </c>
      <c r="D172">
        <v>0</v>
      </c>
      <c r="E172">
        <v>1</v>
      </c>
      <c r="F172">
        <v>0</v>
      </c>
      <c r="G172">
        <v>0</v>
      </c>
    </row>
    <row r="173" spans="1:7" x14ac:dyDescent="0.35">
      <c r="A173" s="17">
        <v>44560</v>
      </c>
      <c r="B173">
        <v>-6.2353447974555223E-4</v>
      </c>
      <c r="C173">
        <v>0</v>
      </c>
      <c r="D173">
        <v>0</v>
      </c>
      <c r="E173">
        <v>0</v>
      </c>
      <c r="F173">
        <v>1</v>
      </c>
      <c r="G173">
        <v>0</v>
      </c>
    </row>
    <row r="174" spans="1:7" x14ac:dyDescent="0.35">
      <c r="A174" s="17">
        <v>44561</v>
      </c>
      <c r="B174">
        <v>-9.5852957274148009E-3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7">
        <v>44568</v>
      </c>
      <c r="B175">
        <v>2.2883675246439014E-2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7">
        <v>44574</v>
      </c>
      <c r="B176">
        <v>1.2501595353505566E-2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35">
      <c r="A177" s="17">
        <v>44575</v>
      </c>
      <c r="B177">
        <v>1.2225186392622631E-2</v>
      </c>
      <c r="C177">
        <v>0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7">
        <v>44578</v>
      </c>
      <c r="B178">
        <v>-5.7258484558194995E-4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 x14ac:dyDescent="0.35">
      <c r="A179" s="17">
        <v>44579</v>
      </c>
      <c r="B179">
        <v>5.3009816244223608E-3</v>
      </c>
      <c r="C179">
        <v>0</v>
      </c>
      <c r="D179">
        <v>1</v>
      </c>
      <c r="E179">
        <v>0</v>
      </c>
      <c r="F179">
        <v>0</v>
      </c>
      <c r="G179">
        <v>0</v>
      </c>
    </row>
    <row r="180" spans="1:7" x14ac:dyDescent="0.35">
      <c r="A180" s="17">
        <v>44582</v>
      </c>
      <c r="B180">
        <v>3.0270648988115654E-3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7">
        <v>44585</v>
      </c>
      <c r="B181">
        <v>-7.388735539117142E-3</v>
      </c>
      <c r="C181">
        <v>1</v>
      </c>
      <c r="D181">
        <v>0</v>
      </c>
      <c r="E181">
        <v>0</v>
      </c>
      <c r="F181">
        <v>0</v>
      </c>
      <c r="G181">
        <v>0</v>
      </c>
    </row>
    <row r="182" spans="1:7" x14ac:dyDescent="0.35">
      <c r="A182" s="17">
        <v>44586</v>
      </c>
      <c r="B182">
        <v>-4.897466245875161E-3</v>
      </c>
      <c r="C182">
        <v>0</v>
      </c>
      <c r="D182">
        <v>1</v>
      </c>
      <c r="E182">
        <v>0</v>
      </c>
      <c r="F182">
        <v>0</v>
      </c>
      <c r="G182">
        <v>0</v>
      </c>
    </row>
    <row r="183" spans="1:7" x14ac:dyDescent="0.35">
      <c r="A183" s="17">
        <v>44587</v>
      </c>
      <c r="B183">
        <v>5.0364209889480985E-3</v>
      </c>
      <c r="C183">
        <v>0</v>
      </c>
      <c r="D183">
        <v>0</v>
      </c>
      <c r="E183">
        <v>1</v>
      </c>
      <c r="F183">
        <v>0</v>
      </c>
      <c r="G183">
        <v>0</v>
      </c>
    </row>
    <row r="184" spans="1:7" x14ac:dyDescent="0.35">
      <c r="A184" s="17">
        <v>44589</v>
      </c>
      <c r="B184">
        <v>7.90084393441896E-3</v>
      </c>
      <c r="C184">
        <v>0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7">
        <v>44592</v>
      </c>
      <c r="B185">
        <v>6.7127438696274475E-3</v>
      </c>
      <c r="C185">
        <v>1</v>
      </c>
      <c r="D185">
        <v>0</v>
      </c>
      <c r="E185">
        <v>0</v>
      </c>
      <c r="F185">
        <v>0</v>
      </c>
      <c r="G185">
        <v>0</v>
      </c>
    </row>
    <row r="186" spans="1:7" x14ac:dyDescent="0.35">
      <c r="A186" s="17">
        <v>44596</v>
      </c>
      <c r="B186">
        <v>7.1896867622972512E-3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7">
        <v>44599</v>
      </c>
      <c r="B187">
        <v>5.2081319401745419E-3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 x14ac:dyDescent="0.35">
      <c r="A188" s="17">
        <v>44600</v>
      </c>
      <c r="B188">
        <v>5.3015746950223208E-4</v>
      </c>
      <c r="C188">
        <v>0</v>
      </c>
      <c r="D188">
        <v>1</v>
      </c>
      <c r="E188">
        <v>0</v>
      </c>
      <c r="F188">
        <v>0</v>
      </c>
      <c r="G188">
        <v>0</v>
      </c>
    </row>
    <row r="189" spans="1:7" x14ac:dyDescent="0.35">
      <c r="A189" s="17">
        <v>44601</v>
      </c>
      <c r="B189">
        <v>3.177348757239051E-3</v>
      </c>
      <c r="C189">
        <v>0</v>
      </c>
      <c r="D189">
        <v>0</v>
      </c>
      <c r="E189">
        <v>1</v>
      </c>
      <c r="F189">
        <v>0</v>
      </c>
      <c r="G189">
        <v>0</v>
      </c>
    </row>
    <row r="190" spans="1:7" x14ac:dyDescent="0.35">
      <c r="A190" s="17">
        <v>44602</v>
      </c>
      <c r="B190">
        <v>7.0638805012854921E-3</v>
      </c>
      <c r="C190">
        <v>0</v>
      </c>
      <c r="D190">
        <v>0</v>
      </c>
      <c r="E190">
        <v>0</v>
      </c>
      <c r="F190">
        <v>1</v>
      </c>
      <c r="G190">
        <v>0</v>
      </c>
    </row>
    <row r="191" spans="1:7" x14ac:dyDescent="0.35">
      <c r="A191" s="17">
        <v>44614</v>
      </c>
      <c r="B191">
        <v>-1.6191725322395423E-2</v>
      </c>
      <c r="C191">
        <v>0</v>
      </c>
      <c r="D191">
        <v>1</v>
      </c>
      <c r="E191">
        <v>0</v>
      </c>
      <c r="F191">
        <v>0</v>
      </c>
      <c r="G191">
        <v>0</v>
      </c>
    </row>
    <row r="192" spans="1:7" x14ac:dyDescent="0.35">
      <c r="A192" s="17">
        <v>44617</v>
      </c>
      <c r="B192">
        <v>-2.7808205245844618E-2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7">
        <v>44620</v>
      </c>
      <c r="B193">
        <v>-1.4509058891799861E-3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 x14ac:dyDescent="0.35">
      <c r="A194" s="17">
        <v>44621</v>
      </c>
      <c r="B194">
        <v>-1.185991713022424E-2</v>
      </c>
      <c r="C194">
        <v>0</v>
      </c>
      <c r="D194">
        <v>1</v>
      </c>
      <c r="E194">
        <v>0</v>
      </c>
      <c r="F194">
        <v>0</v>
      </c>
      <c r="G194">
        <v>0</v>
      </c>
    </row>
    <row r="195" spans="1:7" x14ac:dyDescent="0.35">
      <c r="A195" s="17">
        <v>44622</v>
      </c>
      <c r="B195">
        <v>-1.5069804316957007E-2</v>
      </c>
      <c r="C195">
        <v>0</v>
      </c>
      <c r="D195">
        <v>0</v>
      </c>
      <c r="E195">
        <v>1</v>
      </c>
      <c r="F195">
        <v>0</v>
      </c>
      <c r="G195">
        <v>0</v>
      </c>
    </row>
    <row r="196" spans="1:7" x14ac:dyDescent="0.35">
      <c r="A196" s="17">
        <v>44624</v>
      </c>
      <c r="B196">
        <v>-3.4203257865345636E-2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7">
        <v>44627</v>
      </c>
      <c r="B197">
        <v>-3.1957758031715473E-2</v>
      </c>
      <c r="C197">
        <v>1</v>
      </c>
      <c r="D197">
        <v>0</v>
      </c>
      <c r="E197">
        <v>0</v>
      </c>
      <c r="F197">
        <v>0</v>
      </c>
      <c r="G197">
        <v>0</v>
      </c>
    </row>
    <row r="198" spans="1:7" x14ac:dyDescent="0.35">
      <c r="A198" s="17">
        <v>44628</v>
      </c>
      <c r="B198">
        <v>2.2497668703385144E-2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 x14ac:dyDescent="0.35">
      <c r="A199" s="17">
        <v>44629</v>
      </c>
      <c r="B199">
        <v>2.2606639498904808E-2</v>
      </c>
      <c r="C199">
        <v>0</v>
      </c>
      <c r="D199">
        <v>0</v>
      </c>
      <c r="E199">
        <v>1</v>
      </c>
      <c r="F199">
        <v>0</v>
      </c>
      <c r="G199">
        <v>0</v>
      </c>
    </row>
    <row r="200" spans="1:7" x14ac:dyDescent="0.35">
      <c r="A200" s="17">
        <v>44630</v>
      </c>
      <c r="B200">
        <v>-1.5340404928031107E-2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 x14ac:dyDescent="0.35">
      <c r="A201" s="17">
        <v>44631</v>
      </c>
      <c r="B201">
        <v>1.2633558167763254E-2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7">
        <v>44636</v>
      </c>
      <c r="B202">
        <v>1.5756940760798525E-2</v>
      </c>
      <c r="C202">
        <v>0</v>
      </c>
      <c r="D202">
        <v>0</v>
      </c>
      <c r="E202">
        <v>1</v>
      </c>
      <c r="F202">
        <v>0</v>
      </c>
      <c r="G202">
        <v>0</v>
      </c>
    </row>
    <row r="203" spans="1:7" x14ac:dyDescent="0.35">
      <c r="A203" s="17">
        <v>44638</v>
      </c>
      <c r="B203">
        <v>5.6227154692244812E-4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7">
        <v>44641</v>
      </c>
      <c r="B204">
        <v>9.3893585939317805E-4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 x14ac:dyDescent="0.35">
      <c r="A205" s="17">
        <v>44642</v>
      </c>
      <c r="B205">
        <v>-1.0093323434413987E-2</v>
      </c>
      <c r="C205">
        <v>0</v>
      </c>
      <c r="D205">
        <v>1</v>
      </c>
      <c r="E205">
        <v>0</v>
      </c>
      <c r="F205">
        <v>0</v>
      </c>
      <c r="G205">
        <v>0</v>
      </c>
    </row>
    <row r="206" spans="1:7" x14ac:dyDescent="0.35">
      <c r="A206" s="17">
        <v>44644</v>
      </c>
      <c r="B206">
        <v>-3.033253842649352E-2</v>
      </c>
      <c r="C206">
        <v>0</v>
      </c>
      <c r="D206">
        <v>0</v>
      </c>
      <c r="E206">
        <v>0</v>
      </c>
      <c r="F206">
        <v>1</v>
      </c>
      <c r="G206">
        <v>0</v>
      </c>
    </row>
    <row r="207" spans="1:7" x14ac:dyDescent="0.35">
      <c r="A207" s="17">
        <v>44645</v>
      </c>
      <c r="B207">
        <v>1.0407288908135906E-2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7">
        <v>44650</v>
      </c>
      <c r="B208">
        <v>2.1470054398183173E-2</v>
      </c>
      <c r="C208">
        <v>0</v>
      </c>
      <c r="D208">
        <v>0</v>
      </c>
      <c r="E208">
        <v>1</v>
      </c>
      <c r="F208">
        <v>0</v>
      </c>
      <c r="G208">
        <v>0</v>
      </c>
    </row>
    <row r="209" spans="1:7" x14ac:dyDescent="0.35">
      <c r="A209" s="17">
        <v>44651</v>
      </c>
      <c r="B209">
        <v>2.1331969171570083E-3</v>
      </c>
      <c r="C209">
        <v>0</v>
      </c>
      <c r="D209">
        <v>0</v>
      </c>
      <c r="E209">
        <v>0</v>
      </c>
      <c r="F209">
        <v>1</v>
      </c>
      <c r="G209">
        <v>0</v>
      </c>
    </row>
    <row r="210" spans="1:7" x14ac:dyDescent="0.35">
      <c r="A210" s="17">
        <v>44658</v>
      </c>
      <c r="B210">
        <v>3.0324283215933522E-2</v>
      </c>
      <c r="C210">
        <v>0</v>
      </c>
      <c r="D210">
        <v>0</v>
      </c>
      <c r="E210">
        <v>0</v>
      </c>
      <c r="F210">
        <v>1</v>
      </c>
      <c r="G210">
        <v>0</v>
      </c>
    </row>
    <row r="211" spans="1:7" x14ac:dyDescent="0.35">
      <c r="A211" s="17">
        <v>44664</v>
      </c>
      <c r="B211">
        <v>4.7955505219073518E-4</v>
      </c>
      <c r="C211">
        <v>0</v>
      </c>
      <c r="D211">
        <v>0</v>
      </c>
      <c r="E211">
        <v>1</v>
      </c>
      <c r="F211">
        <v>0</v>
      </c>
      <c r="G211">
        <v>0</v>
      </c>
    </row>
    <row r="212" spans="1:7" x14ac:dyDescent="0.35">
      <c r="A212" s="17">
        <v>44672</v>
      </c>
      <c r="B212">
        <v>1.080387344785007E-2</v>
      </c>
      <c r="C212">
        <v>0</v>
      </c>
      <c r="D212">
        <v>0</v>
      </c>
      <c r="E212">
        <v>0</v>
      </c>
      <c r="F212">
        <v>1</v>
      </c>
      <c r="G212">
        <v>0</v>
      </c>
    </row>
    <row r="213" spans="1:7" x14ac:dyDescent="0.35">
      <c r="A213" s="17">
        <v>44676</v>
      </c>
      <c r="B213">
        <v>9.1339855593192013E-5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x14ac:dyDescent="0.35">
      <c r="A214" s="17">
        <v>44677</v>
      </c>
      <c r="B214">
        <v>-4.1504984976582764E-3</v>
      </c>
      <c r="C214">
        <v>0</v>
      </c>
      <c r="D214">
        <v>1</v>
      </c>
      <c r="E214">
        <v>0</v>
      </c>
      <c r="F214">
        <v>0</v>
      </c>
      <c r="G214">
        <v>0</v>
      </c>
    </row>
    <row r="215" spans="1:7" x14ac:dyDescent="0.35">
      <c r="A215" s="17">
        <v>44678</v>
      </c>
      <c r="B215">
        <v>5.7722938940786984E-4</v>
      </c>
      <c r="C215">
        <v>0</v>
      </c>
      <c r="D215">
        <v>0</v>
      </c>
      <c r="E215">
        <v>1</v>
      </c>
      <c r="F215">
        <v>0</v>
      </c>
      <c r="G215">
        <v>0</v>
      </c>
    </row>
    <row r="216" spans="1:7" x14ac:dyDescent="0.35">
      <c r="A216" s="17">
        <v>44680</v>
      </c>
      <c r="B216">
        <v>5.198563279810239E-3</v>
      </c>
      <c r="C216">
        <v>0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7">
        <v>44686</v>
      </c>
      <c r="B217">
        <v>1.8830177542593027E-3</v>
      </c>
      <c r="C217">
        <v>0</v>
      </c>
      <c r="D217">
        <v>0</v>
      </c>
      <c r="E217">
        <v>0</v>
      </c>
      <c r="F217">
        <v>1</v>
      </c>
      <c r="G217">
        <v>0</v>
      </c>
    </row>
    <row r="218" spans="1:7" x14ac:dyDescent="0.35">
      <c r="A218" s="17">
        <v>44687</v>
      </c>
      <c r="B218">
        <v>-3.5775430459070974E-3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7">
        <v>44694</v>
      </c>
      <c r="B219">
        <v>-2.9750611540737826E-2</v>
      </c>
      <c r="C219">
        <v>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7">
        <v>44699</v>
      </c>
      <c r="B220">
        <v>-1.8530202641578698E-3</v>
      </c>
      <c r="C220">
        <v>0</v>
      </c>
      <c r="D220">
        <v>0</v>
      </c>
      <c r="E220">
        <v>1</v>
      </c>
      <c r="F220">
        <v>0</v>
      </c>
      <c r="G220">
        <v>0</v>
      </c>
    </row>
    <row r="221" spans="1:7" x14ac:dyDescent="0.35">
      <c r="A221" s="17">
        <v>44701</v>
      </c>
      <c r="B221">
        <v>-7.7190068242311985E-3</v>
      </c>
      <c r="C221">
        <v>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7">
        <v>44705</v>
      </c>
      <c r="B222">
        <v>-2.205512589744028E-2</v>
      </c>
      <c r="C222">
        <v>0</v>
      </c>
      <c r="D222">
        <v>1</v>
      </c>
      <c r="E222">
        <v>0</v>
      </c>
      <c r="F222">
        <v>0</v>
      </c>
      <c r="G222">
        <v>0</v>
      </c>
    </row>
    <row r="223" spans="1:7" x14ac:dyDescent="0.35">
      <c r="A223" s="17">
        <v>44708</v>
      </c>
      <c r="B223">
        <v>4.8331242991353071E-3</v>
      </c>
      <c r="C223">
        <v>0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7">
        <v>44715</v>
      </c>
      <c r="B224">
        <v>1.2341976901969658E-2</v>
      </c>
      <c r="C224">
        <v>0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7">
        <v>44720</v>
      </c>
      <c r="B225">
        <v>7.1604887741577939E-3</v>
      </c>
      <c r="C225">
        <v>0</v>
      </c>
      <c r="D225">
        <v>0</v>
      </c>
      <c r="E225">
        <v>1</v>
      </c>
      <c r="F225">
        <v>0</v>
      </c>
      <c r="G225">
        <v>0</v>
      </c>
    </row>
    <row r="226" spans="1:7" x14ac:dyDescent="0.35">
      <c r="A226" s="17">
        <v>44722</v>
      </c>
      <c r="B226">
        <v>-1.0943867282947273E-2</v>
      </c>
      <c r="C226">
        <v>0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7">
        <v>44725</v>
      </c>
      <c r="B227">
        <v>-5.1597693298674439E-3</v>
      </c>
      <c r="C227">
        <v>1</v>
      </c>
      <c r="D227">
        <v>0</v>
      </c>
      <c r="E227">
        <v>0</v>
      </c>
      <c r="F227">
        <v>0</v>
      </c>
      <c r="G227">
        <v>0</v>
      </c>
    </row>
    <row r="228" spans="1:7" x14ac:dyDescent="0.35">
      <c r="A228" s="17">
        <v>44726</v>
      </c>
      <c r="B228">
        <v>-2.3094415072013659E-2</v>
      </c>
      <c r="C228">
        <v>0</v>
      </c>
      <c r="D228">
        <v>1</v>
      </c>
      <c r="E228">
        <v>0</v>
      </c>
      <c r="F228">
        <v>0</v>
      </c>
      <c r="G228">
        <v>0</v>
      </c>
    </row>
    <row r="229" spans="1:7" x14ac:dyDescent="0.35">
      <c r="A229" s="17">
        <v>44727</v>
      </c>
      <c r="B229">
        <v>3.5749785426407066E-3</v>
      </c>
      <c r="C229">
        <v>0</v>
      </c>
      <c r="D229">
        <v>0</v>
      </c>
      <c r="E229">
        <v>1</v>
      </c>
      <c r="F229">
        <v>0</v>
      </c>
      <c r="G229">
        <v>0</v>
      </c>
    </row>
    <row r="230" spans="1:7" x14ac:dyDescent="0.35">
      <c r="A230" s="17">
        <v>44728</v>
      </c>
      <c r="B230">
        <v>-1.0129665943231425E-2</v>
      </c>
      <c r="C230">
        <v>0</v>
      </c>
      <c r="D230">
        <v>0</v>
      </c>
      <c r="E230">
        <v>0</v>
      </c>
      <c r="F230">
        <v>1</v>
      </c>
      <c r="G230">
        <v>0</v>
      </c>
    </row>
    <row r="231" spans="1:7" x14ac:dyDescent="0.35">
      <c r="A231" s="17">
        <v>44729</v>
      </c>
      <c r="B231">
        <v>-1.0957630885382773E-2</v>
      </c>
      <c r="C231">
        <v>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7">
        <v>44734</v>
      </c>
      <c r="B232">
        <v>-4.9835708150481077E-3</v>
      </c>
      <c r="C232">
        <v>0</v>
      </c>
      <c r="D232">
        <v>0</v>
      </c>
      <c r="E232">
        <v>1</v>
      </c>
      <c r="F232">
        <v>0</v>
      </c>
      <c r="G232">
        <v>0</v>
      </c>
    </row>
    <row r="233" spans="1:7" x14ac:dyDescent="0.35">
      <c r="A233" s="17">
        <v>44735</v>
      </c>
      <c r="B233">
        <v>-1.15799376918993E-2</v>
      </c>
      <c r="C233">
        <v>0</v>
      </c>
      <c r="D233">
        <v>0</v>
      </c>
      <c r="E233">
        <v>0</v>
      </c>
      <c r="F233">
        <v>1</v>
      </c>
      <c r="G233">
        <v>0</v>
      </c>
    </row>
    <row r="234" spans="1:7" x14ac:dyDescent="0.35">
      <c r="A234" s="17">
        <v>44736</v>
      </c>
      <c r="B234">
        <v>4.8120451615991117E-3</v>
      </c>
      <c r="C234">
        <v>0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7">
        <v>44742</v>
      </c>
      <c r="B235">
        <v>5.790732230213134E-3</v>
      </c>
      <c r="C235">
        <v>0</v>
      </c>
      <c r="D235">
        <v>0</v>
      </c>
      <c r="E235">
        <v>0</v>
      </c>
      <c r="F235">
        <v>1</v>
      </c>
      <c r="G235">
        <v>0</v>
      </c>
    </row>
    <row r="236" spans="1:7" x14ac:dyDescent="0.35">
      <c r="A236" s="17">
        <v>44743</v>
      </c>
      <c r="B236">
        <v>-3.0600158586241551E-2</v>
      </c>
      <c r="C236">
        <v>0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7">
        <v>44747</v>
      </c>
      <c r="B237">
        <v>-2.0942955809023944E-2</v>
      </c>
      <c r="C237">
        <v>0</v>
      </c>
      <c r="D237">
        <v>1</v>
      </c>
      <c r="E237">
        <v>0</v>
      </c>
      <c r="F237">
        <v>0</v>
      </c>
      <c r="G237">
        <v>0</v>
      </c>
    </row>
    <row r="238" spans="1:7" x14ac:dyDescent="0.35">
      <c r="A238" s="17">
        <v>44748</v>
      </c>
      <c r="B238">
        <v>4.5686328280597618E-3</v>
      </c>
      <c r="C238">
        <v>0</v>
      </c>
      <c r="D238">
        <v>0</v>
      </c>
      <c r="E238">
        <v>1</v>
      </c>
      <c r="F238">
        <v>0</v>
      </c>
      <c r="G238">
        <v>0</v>
      </c>
    </row>
    <row r="239" spans="1:7" x14ac:dyDescent="0.35">
      <c r="A239" s="17">
        <v>44750</v>
      </c>
      <c r="B239">
        <v>5.72592695481611E-3</v>
      </c>
      <c r="C239">
        <v>0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7">
        <v>44756</v>
      </c>
      <c r="B240">
        <v>5.0603825616054978E-3</v>
      </c>
      <c r="C240">
        <v>0</v>
      </c>
      <c r="D240">
        <v>0</v>
      </c>
      <c r="E240">
        <v>0</v>
      </c>
      <c r="F240">
        <v>1</v>
      </c>
      <c r="G240">
        <v>0</v>
      </c>
    </row>
    <row r="241" spans="1:7" x14ac:dyDescent="0.35">
      <c r="A241" s="17">
        <v>44757</v>
      </c>
      <c r="B241">
        <v>3.5376750567519687E-3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7">
        <v>44760</v>
      </c>
      <c r="B242">
        <v>3.656414669667167E-3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35">
      <c r="A243" s="17">
        <v>44761</v>
      </c>
      <c r="B243">
        <v>7.8738621297867843E-3</v>
      </c>
      <c r="C243">
        <v>0</v>
      </c>
      <c r="D243">
        <v>1</v>
      </c>
      <c r="E243">
        <v>0</v>
      </c>
      <c r="F243">
        <v>0</v>
      </c>
      <c r="G243">
        <v>0</v>
      </c>
    </row>
    <row r="244" spans="1:7" x14ac:dyDescent="0.35">
      <c r="A244" s="17">
        <v>44762</v>
      </c>
      <c r="B244">
        <v>-8.485611690344997E-3</v>
      </c>
      <c r="C244">
        <v>0</v>
      </c>
      <c r="D244">
        <v>0</v>
      </c>
      <c r="E244">
        <v>1</v>
      </c>
      <c r="F244">
        <v>0</v>
      </c>
      <c r="G244">
        <v>0</v>
      </c>
    </row>
    <row r="245" spans="1:7" x14ac:dyDescent="0.35">
      <c r="A245" s="17">
        <v>44763</v>
      </c>
      <c r="B245">
        <v>1.9692308690406235E-3</v>
      </c>
      <c r="C245">
        <v>0</v>
      </c>
      <c r="D245">
        <v>0</v>
      </c>
      <c r="E245">
        <v>0</v>
      </c>
      <c r="F245">
        <v>1</v>
      </c>
      <c r="G245">
        <v>0</v>
      </c>
    </row>
    <row r="246" spans="1:7" x14ac:dyDescent="0.35">
      <c r="A246" s="17">
        <v>44764</v>
      </c>
      <c r="B246">
        <v>3.5275664184817573E-3</v>
      </c>
      <c r="C246">
        <v>0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7">
        <v>44769</v>
      </c>
      <c r="B247">
        <v>-1.2376883477844059E-2</v>
      </c>
      <c r="C247">
        <v>0</v>
      </c>
      <c r="D247">
        <v>0</v>
      </c>
      <c r="E247">
        <v>1</v>
      </c>
      <c r="F247">
        <v>0</v>
      </c>
      <c r="G247">
        <v>0</v>
      </c>
    </row>
    <row r="248" spans="1:7" x14ac:dyDescent="0.35">
      <c r="A248" s="17">
        <v>44771</v>
      </c>
      <c r="B248">
        <v>7.7871777941560224E-3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7">
        <v>44778</v>
      </c>
      <c r="B249">
        <v>1.5286879086232292E-2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7">
        <v>44782</v>
      </c>
      <c r="B250">
        <v>3.059822987741202E-3</v>
      </c>
      <c r="C250">
        <v>0</v>
      </c>
      <c r="D250">
        <v>1</v>
      </c>
      <c r="E250">
        <v>0</v>
      </c>
      <c r="F250">
        <v>0</v>
      </c>
      <c r="G250">
        <v>0</v>
      </c>
    </row>
    <row r="251" spans="1:7" x14ac:dyDescent="0.35">
      <c r="A251" s="17">
        <v>44785</v>
      </c>
      <c r="B251">
        <v>2.6257706392663845E-2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7">
        <v>44788</v>
      </c>
      <c r="B252">
        <v>4.4528284330679806E-3</v>
      </c>
      <c r="C252">
        <v>1</v>
      </c>
      <c r="D252">
        <v>0</v>
      </c>
      <c r="E252">
        <v>0</v>
      </c>
      <c r="F252">
        <v>0</v>
      </c>
      <c r="G252">
        <v>0</v>
      </c>
    </row>
    <row r="253" spans="1:7" x14ac:dyDescent="0.35">
      <c r="A253" s="17">
        <v>44789</v>
      </c>
      <c r="B253">
        <v>-4.5708864528943354E-3</v>
      </c>
      <c r="C253">
        <v>0</v>
      </c>
      <c r="D253">
        <v>1</v>
      </c>
      <c r="E253">
        <v>0</v>
      </c>
      <c r="F253">
        <v>0</v>
      </c>
      <c r="G253">
        <v>0</v>
      </c>
    </row>
    <row r="254" spans="1:7" x14ac:dyDescent="0.35">
      <c r="A254" s="17">
        <v>44790</v>
      </c>
      <c r="B254">
        <v>-4.5657679878352113E-3</v>
      </c>
      <c r="C254">
        <v>0</v>
      </c>
      <c r="D254">
        <v>0</v>
      </c>
      <c r="E254">
        <v>1</v>
      </c>
      <c r="F254">
        <v>0</v>
      </c>
      <c r="G254">
        <v>0</v>
      </c>
    </row>
    <row r="255" spans="1:7" x14ac:dyDescent="0.35">
      <c r="A255" s="17">
        <v>44792</v>
      </c>
      <c r="B255">
        <v>1.1688754155776157E-2</v>
      </c>
      <c r="C255">
        <v>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7">
        <v>44798</v>
      </c>
      <c r="B256">
        <v>-1.807649392052286E-3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 x14ac:dyDescent="0.35">
      <c r="A257" s="17">
        <v>44799</v>
      </c>
      <c r="B257">
        <v>7.0916261565614114E-4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7">
        <v>44806</v>
      </c>
      <c r="B258">
        <v>-4.9658940832103798E-3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7">
        <v>44810</v>
      </c>
      <c r="B259">
        <v>2.6582262939267563E-3</v>
      </c>
      <c r="C259">
        <v>0</v>
      </c>
      <c r="D259">
        <v>1</v>
      </c>
      <c r="E259">
        <v>0</v>
      </c>
      <c r="F259">
        <v>0</v>
      </c>
      <c r="G259">
        <v>0</v>
      </c>
    </row>
    <row r="260" spans="1:7" x14ac:dyDescent="0.35">
      <c r="A260" s="17">
        <v>44811</v>
      </c>
      <c r="B260">
        <v>6.7093819448532837E-3</v>
      </c>
      <c r="C260">
        <v>0</v>
      </c>
      <c r="D260">
        <v>0</v>
      </c>
      <c r="E260">
        <v>1</v>
      </c>
      <c r="F260">
        <v>0</v>
      </c>
      <c r="G260">
        <v>0</v>
      </c>
    </row>
    <row r="261" spans="1:7" x14ac:dyDescent="0.35">
      <c r="A261" s="17">
        <v>44813</v>
      </c>
      <c r="B261">
        <v>-2.9764633147176039E-3</v>
      </c>
      <c r="C261">
        <v>0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7">
        <v>44817</v>
      </c>
      <c r="B262">
        <v>-1.0758137036685632E-3</v>
      </c>
      <c r="C262">
        <v>0</v>
      </c>
      <c r="D262">
        <v>1</v>
      </c>
      <c r="E262">
        <v>0</v>
      </c>
      <c r="F262">
        <v>0</v>
      </c>
      <c r="G262">
        <v>0</v>
      </c>
    </row>
    <row r="263" spans="1:7" x14ac:dyDescent="0.35">
      <c r="A263" s="17">
        <v>44820</v>
      </c>
      <c r="B263">
        <v>3.3299235079748521E-3</v>
      </c>
      <c r="C263">
        <v>0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7">
        <v>44823</v>
      </c>
      <c r="B264">
        <v>1.4666827194453026E-3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 x14ac:dyDescent="0.35">
      <c r="A265" s="17">
        <v>44824</v>
      </c>
      <c r="B265">
        <v>4.7442163133312731E-3</v>
      </c>
      <c r="C265">
        <v>0</v>
      </c>
      <c r="D265">
        <v>1</v>
      </c>
      <c r="E265">
        <v>0</v>
      </c>
      <c r="F265">
        <v>0</v>
      </c>
      <c r="G265">
        <v>0</v>
      </c>
    </row>
    <row r="266" spans="1:7" x14ac:dyDescent="0.35">
      <c r="A266" s="17">
        <v>44825</v>
      </c>
      <c r="B266">
        <v>-5.012828331824269E-3</v>
      </c>
      <c r="C266">
        <v>0</v>
      </c>
      <c r="D266">
        <v>0</v>
      </c>
      <c r="E266">
        <v>1</v>
      </c>
      <c r="F266">
        <v>0</v>
      </c>
      <c r="G266">
        <v>0</v>
      </c>
    </row>
    <row r="267" spans="1:7" x14ac:dyDescent="0.35">
      <c r="A267" s="17">
        <v>44826</v>
      </c>
      <c r="B267">
        <v>8.3045474633923336E-4</v>
      </c>
      <c r="C267">
        <v>0</v>
      </c>
      <c r="D267">
        <v>0</v>
      </c>
      <c r="E267">
        <v>0</v>
      </c>
      <c r="F267">
        <v>1</v>
      </c>
      <c r="G267">
        <v>0</v>
      </c>
    </row>
    <row r="268" spans="1:7" x14ac:dyDescent="0.35">
      <c r="A268" s="17">
        <v>44827</v>
      </c>
      <c r="B268">
        <v>2.091505243690805E-3</v>
      </c>
      <c r="C268">
        <v>0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7">
        <v>44830</v>
      </c>
      <c r="B269">
        <v>-4.7698603394230625E-3</v>
      </c>
      <c r="C269">
        <v>1</v>
      </c>
      <c r="D269">
        <v>0</v>
      </c>
      <c r="E269">
        <v>0</v>
      </c>
      <c r="F269">
        <v>0</v>
      </c>
      <c r="G269">
        <v>0</v>
      </c>
    </row>
    <row r="270" spans="1:7" x14ac:dyDescent="0.35">
      <c r="A270" s="17">
        <v>44831</v>
      </c>
      <c r="B270">
        <v>-8.5308237398435058E-3</v>
      </c>
      <c r="C270">
        <v>0</v>
      </c>
      <c r="D270">
        <v>1</v>
      </c>
      <c r="E270">
        <v>0</v>
      </c>
      <c r="F270">
        <v>0</v>
      </c>
      <c r="G270">
        <v>0</v>
      </c>
    </row>
    <row r="271" spans="1:7" x14ac:dyDescent="0.35">
      <c r="A271" s="17">
        <v>44832</v>
      </c>
      <c r="B271">
        <v>-1.6727976451447513E-2</v>
      </c>
      <c r="C271">
        <v>0</v>
      </c>
      <c r="D271">
        <v>0</v>
      </c>
      <c r="E271">
        <v>1</v>
      </c>
      <c r="F271">
        <v>0</v>
      </c>
      <c r="G271">
        <v>0</v>
      </c>
    </row>
    <row r="272" spans="1:7" x14ac:dyDescent="0.35">
      <c r="A272" s="17">
        <v>44833</v>
      </c>
      <c r="B272">
        <v>-1.2968517223482882E-2</v>
      </c>
      <c r="C272">
        <v>0</v>
      </c>
      <c r="D272">
        <v>0</v>
      </c>
      <c r="E272">
        <v>0</v>
      </c>
      <c r="F272">
        <v>1</v>
      </c>
      <c r="G272">
        <v>0</v>
      </c>
    </row>
    <row r="273" spans="1:7" x14ac:dyDescent="0.35">
      <c r="A273" s="17">
        <v>44834</v>
      </c>
      <c r="B273">
        <v>-1.0561057907256123E-2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7">
        <v>44846</v>
      </c>
      <c r="B274">
        <v>3.9962261960707944E-3</v>
      </c>
      <c r="C274">
        <v>0</v>
      </c>
      <c r="D274">
        <v>0</v>
      </c>
      <c r="E274">
        <v>1</v>
      </c>
      <c r="F274">
        <v>0</v>
      </c>
      <c r="G274">
        <v>0</v>
      </c>
    </row>
    <row r="275" spans="1:7" x14ac:dyDescent="0.35">
      <c r="A275" s="17">
        <v>44847</v>
      </c>
      <c r="B275">
        <v>-1.5688642712352742E-2</v>
      </c>
      <c r="C275">
        <v>0</v>
      </c>
      <c r="D275">
        <v>0</v>
      </c>
      <c r="E275">
        <v>0</v>
      </c>
      <c r="F275">
        <v>1</v>
      </c>
      <c r="G275">
        <v>0</v>
      </c>
    </row>
    <row r="276" spans="1:7" x14ac:dyDescent="0.35">
      <c r="A276" s="17">
        <v>44848</v>
      </c>
      <c r="B276">
        <v>-5.1307569181067532E-3</v>
      </c>
      <c r="C276">
        <v>0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7">
        <v>44851</v>
      </c>
      <c r="B277">
        <v>-1.008735915392959E-2</v>
      </c>
      <c r="C277">
        <v>1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s="17">
        <v>44853</v>
      </c>
      <c r="B278">
        <v>-7.8250075708345291E-3</v>
      </c>
      <c r="C278">
        <v>0</v>
      </c>
      <c r="D278">
        <v>0</v>
      </c>
      <c r="E278">
        <v>1</v>
      </c>
      <c r="F278">
        <v>0</v>
      </c>
      <c r="G278">
        <v>0</v>
      </c>
    </row>
    <row r="279" spans="1:7" x14ac:dyDescent="0.35">
      <c r="A279" s="17">
        <v>44854</v>
      </c>
      <c r="B279">
        <v>-2.6864768058759345E-2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35">
      <c r="A280" s="17">
        <v>44855</v>
      </c>
      <c r="B280">
        <v>-8.1908713871164229E-3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7">
        <v>44862</v>
      </c>
      <c r="B281">
        <v>2.231406119887465E-3</v>
      </c>
      <c r="C281">
        <v>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7">
        <v>44865</v>
      </c>
      <c r="B282">
        <v>-7.7327583770842121E-3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 s="17">
        <v>44867</v>
      </c>
      <c r="B283">
        <v>-5.8647556777067882E-4</v>
      </c>
      <c r="C283">
        <v>0</v>
      </c>
      <c r="D283">
        <v>0</v>
      </c>
      <c r="E283">
        <v>1</v>
      </c>
      <c r="F283">
        <v>0</v>
      </c>
      <c r="G283">
        <v>0</v>
      </c>
    </row>
    <row r="284" spans="1:7" x14ac:dyDescent="0.35">
      <c r="A284" s="17">
        <v>44868</v>
      </c>
      <c r="B284">
        <v>-5.7422452226814635E-3</v>
      </c>
      <c r="C284">
        <v>0</v>
      </c>
      <c r="D284">
        <v>0</v>
      </c>
      <c r="E284">
        <v>0</v>
      </c>
      <c r="F284">
        <v>1</v>
      </c>
      <c r="G284">
        <v>0</v>
      </c>
    </row>
    <row r="285" spans="1:7" x14ac:dyDescent="0.35">
      <c r="A285" s="17">
        <v>44869</v>
      </c>
      <c r="B285">
        <v>-6.5260779175519725E-4</v>
      </c>
      <c r="C285">
        <v>0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7">
        <v>44874</v>
      </c>
      <c r="B286">
        <v>-1.8721816749571473E-2</v>
      </c>
      <c r="C286">
        <v>0</v>
      </c>
      <c r="D286">
        <v>0</v>
      </c>
      <c r="E286">
        <v>1</v>
      </c>
      <c r="F286">
        <v>0</v>
      </c>
      <c r="G286">
        <v>0</v>
      </c>
    </row>
    <row r="287" spans="1:7" x14ac:dyDescent="0.35">
      <c r="A287" s="17">
        <v>44875</v>
      </c>
      <c r="B287">
        <v>-1.4731027662666873E-2</v>
      </c>
      <c r="C287">
        <v>0</v>
      </c>
      <c r="D287">
        <v>0</v>
      </c>
      <c r="E287">
        <v>0</v>
      </c>
      <c r="F287">
        <v>1</v>
      </c>
      <c r="G287">
        <v>0</v>
      </c>
    </row>
    <row r="288" spans="1:7" x14ac:dyDescent="0.35">
      <c r="A288" s="17">
        <v>44876</v>
      </c>
      <c r="B288">
        <v>8.2514842112269492E-4</v>
      </c>
      <c r="C288">
        <v>0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7">
        <v>44880</v>
      </c>
      <c r="B289">
        <v>1.0973195674252301E-2</v>
      </c>
      <c r="C289">
        <v>0</v>
      </c>
      <c r="D289">
        <v>1</v>
      </c>
      <c r="E289">
        <v>0</v>
      </c>
      <c r="F289">
        <v>0</v>
      </c>
      <c r="G289">
        <v>0</v>
      </c>
    </row>
    <row r="290" spans="1:7" x14ac:dyDescent="0.35">
      <c r="A290" s="17">
        <v>44881</v>
      </c>
      <c r="B290">
        <v>-3.0033704752152825E-3</v>
      </c>
      <c r="C290">
        <v>0</v>
      </c>
      <c r="D290">
        <v>0</v>
      </c>
      <c r="E290">
        <v>1</v>
      </c>
      <c r="F290">
        <v>0</v>
      </c>
      <c r="G290">
        <v>0</v>
      </c>
    </row>
    <row r="291" spans="1:7" x14ac:dyDescent="0.35">
      <c r="A291" s="17">
        <v>44882</v>
      </c>
      <c r="B291">
        <v>1.547042624451539E-2</v>
      </c>
      <c r="C291">
        <v>0</v>
      </c>
      <c r="D291">
        <v>0</v>
      </c>
      <c r="E291">
        <v>0</v>
      </c>
      <c r="F291">
        <v>1</v>
      </c>
      <c r="G291">
        <v>0</v>
      </c>
    </row>
    <row r="292" spans="1:7" x14ac:dyDescent="0.35">
      <c r="A292" s="17">
        <v>44886</v>
      </c>
      <c r="B292">
        <v>2.973076428073416E-3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 x14ac:dyDescent="0.35">
      <c r="A293" s="17">
        <v>44895</v>
      </c>
      <c r="B293">
        <v>1.0269810033549041E-2</v>
      </c>
      <c r="C293">
        <v>0</v>
      </c>
      <c r="D293">
        <v>0</v>
      </c>
      <c r="E293">
        <v>1</v>
      </c>
      <c r="F293">
        <v>0</v>
      </c>
      <c r="G293">
        <v>0</v>
      </c>
    </row>
    <row r="294" spans="1:7" x14ac:dyDescent="0.35">
      <c r="A294" s="17">
        <v>44897</v>
      </c>
      <c r="B294">
        <v>7.5450175253665612E-3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7">
        <v>44900</v>
      </c>
      <c r="B295">
        <v>1.1220711032375525E-2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35">
      <c r="A296" s="17">
        <v>44903</v>
      </c>
      <c r="B296">
        <v>5.8099554459256587E-3</v>
      </c>
      <c r="C296">
        <v>0</v>
      </c>
      <c r="D296">
        <v>0</v>
      </c>
      <c r="E296">
        <v>0</v>
      </c>
      <c r="F296">
        <v>1</v>
      </c>
      <c r="G296">
        <v>0</v>
      </c>
    </row>
    <row r="297" spans="1:7" x14ac:dyDescent="0.35">
      <c r="A297" s="17">
        <v>44904</v>
      </c>
      <c r="B297">
        <v>-1.2674338765690864E-5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7">
        <v>44907</v>
      </c>
      <c r="B298">
        <v>-1.7067855514562024E-4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 x14ac:dyDescent="0.35">
      <c r="A299" s="17">
        <v>44908</v>
      </c>
      <c r="B299">
        <v>7.6392392887989925E-3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 x14ac:dyDescent="0.35">
      <c r="A300" s="17">
        <v>44909</v>
      </c>
      <c r="B300">
        <v>-5.6796053498630293E-4</v>
      </c>
      <c r="C300">
        <v>0</v>
      </c>
      <c r="D300">
        <v>0</v>
      </c>
      <c r="E300">
        <v>1</v>
      </c>
      <c r="F300">
        <v>0</v>
      </c>
      <c r="G300">
        <v>0</v>
      </c>
    </row>
    <row r="301" spans="1:7" x14ac:dyDescent="0.35">
      <c r="A301" s="17">
        <v>44911</v>
      </c>
      <c r="B301">
        <v>-1.8616683806293478E-2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7">
        <v>44917</v>
      </c>
      <c r="B302">
        <v>-5.5076970177638795E-3</v>
      </c>
      <c r="C302">
        <v>0</v>
      </c>
      <c r="D302">
        <v>0</v>
      </c>
      <c r="E302">
        <v>0</v>
      </c>
      <c r="F302">
        <v>1</v>
      </c>
      <c r="G302">
        <v>0</v>
      </c>
    </row>
    <row r="303" spans="1:7" x14ac:dyDescent="0.35">
      <c r="A303" s="17">
        <v>44918</v>
      </c>
      <c r="B303">
        <v>-2.7292126388586261E-3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 x14ac:dyDescent="0.35">
      <c r="A304" s="17">
        <v>44922</v>
      </c>
      <c r="B304">
        <v>-3.2410185440050103E-3</v>
      </c>
      <c r="C304">
        <v>0</v>
      </c>
      <c r="D304">
        <v>1</v>
      </c>
      <c r="E304">
        <v>0</v>
      </c>
      <c r="F304">
        <v>0</v>
      </c>
      <c r="G304">
        <v>0</v>
      </c>
    </row>
    <row r="305" spans="1:7" x14ac:dyDescent="0.35">
      <c r="A305" s="17">
        <v>44924</v>
      </c>
      <c r="B305">
        <v>-1.0714764450326673E-2</v>
      </c>
      <c r="C305">
        <v>0</v>
      </c>
      <c r="D305">
        <v>0</v>
      </c>
      <c r="E305">
        <v>0</v>
      </c>
      <c r="F305">
        <v>1</v>
      </c>
      <c r="G305">
        <v>0</v>
      </c>
    </row>
    <row r="306" spans="1:7" x14ac:dyDescent="0.35">
      <c r="A306" s="17">
        <v>44925</v>
      </c>
      <c r="B306">
        <v>-4.4672442075242517E-3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 x14ac:dyDescent="0.35">
      <c r="A307" s="17">
        <v>44930</v>
      </c>
      <c r="B307">
        <v>-4.5678887771440975E-2</v>
      </c>
      <c r="C307">
        <v>0</v>
      </c>
      <c r="D307">
        <v>0</v>
      </c>
      <c r="E307">
        <v>1</v>
      </c>
      <c r="F307">
        <v>0</v>
      </c>
      <c r="G307">
        <v>0</v>
      </c>
    </row>
    <row r="308" spans="1:7" x14ac:dyDescent="0.35">
      <c r="A308" s="17">
        <v>44931</v>
      </c>
      <c r="B308">
        <v>-4.1485117090702579E-2</v>
      </c>
      <c r="C308">
        <v>0</v>
      </c>
      <c r="D308">
        <v>0</v>
      </c>
      <c r="E308">
        <v>0</v>
      </c>
      <c r="F308">
        <v>1</v>
      </c>
      <c r="G308">
        <v>0</v>
      </c>
    </row>
    <row r="309" spans="1:7" x14ac:dyDescent="0.35">
      <c r="A309" s="17">
        <v>44932</v>
      </c>
      <c r="B309">
        <v>-2.1421603604696783E-2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35">
      <c r="A310" s="17">
        <v>44935</v>
      </c>
      <c r="B310">
        <v>2.4954601983776608E-3</v>
      </c>
      <c r="C310">
        <v>1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 s="17">
        <v>44936</v>
      </c>
      <c r="B311">
        <v>1.4923806096280906E-2</v>
      </c>
      <c r="C311">
        <v>0</v>
      </c>
      <c r="D311">
        <v>1</v>
      </c>
      <c r="E311">
        <v>0</v>
      </c>
      <c r="F311">
        <v>0</v>
      </c>
      <c r="G311">
        <v>0</v>
      </c>
    </row>
    <row r="312" spans="1:7" x14ac:dyDescent="0.35">
      <c r="A312" s="17">
        <v>44939</v>
      </c>
      <c r="B312">
        <v>4.5397577781837208E-2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35">
      <c r="A313" s="17">
        <v>44945</v>
      </c>
      <c r="B313">
        <v>-1.7701448511012085E-2</v>
      </c>
      <c r="C313">
        <v>0</v>
      </c>
      <c r="D313">
        <v>0</v>
      </c>
      <c r="E313">
        <v>0</v>
      </c>
      <c r="F313">
        <v>1</v>
      </c>
      <c r="G313">
        <v>0</v>
      </c>
    </row>
    <row r="314" spans="1:7" x14ac:dyDescent="0.35">
      <c r="A314" s="17">
        <v>44946</v>
      </c>
      <c r="B314">
        <v>-1.2092397736831764E-2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 x14ac:dyDescent="0.35">
      <c r="A315" s="17">
        <v>44952</v>
      </c>
      <c r="B315">
        <v>-1.4413911664238656E-3</v>
      </c>
      <c r="C315">
        <v>0</v>
      </c>
      <c r="D315">
        <v>0</v>
      </c>
      <c r="E315">
        <v>0</v>
      </c>
      <c r="F315">
        <v>1</v>
      </c>
      <c r="G315">
        <v>0</v>
      </c>
    </row>
    <row r="316" spans="1:7" x14ac:dyDescent="0.35">
      <c r="A316" s="17">
        <v>44957</v>
      </c>
      <c r="B316">
        <v>1.6977062756550372E-2</v>
      </c>
      <c r="C316">
        <v>0</v>
      </c>
      <c r="D316">
        <v>1</v>
      </c>
      <c r="E316">
        <v>0</v>
      </c>
      <c r="F316">
        <v>0</v>
      </c>
      <c r="G316">
        <v>0</v>
      </c>
    </row>
    <row r="317" spans="1:7" x14ac:dyDescent="0.35">
      <c r="A317" s="17">
        <v>44958</v>
      </c>
      <c r="B317">
        <v>-9.0916459542415579E-3</v>
      </c>
      <c r="C317">
        <v>0</v>
      </c>
      <c r="D317">
        <v>0</v>
      </c>
      <c r="E317">
        <v>1</v>
      </c>
      <c r="F317">
        <v>0</v>
      </c>
      <c r="G317">
        <v>0</v>
      </c>
    </row>
    <row r="318" spans="1:7" x14ac:dyDescent="0.35">
      <c r="A318" s="17">
        <v>44959</v>
      </c>
      <c r="B318">
        <v>6.239952850767747E-3</v>
      </c>
      <c r="C318">
        <v>0</v>
      </c>
      <c r="D318">
        <v>0</v>
      </c>
      <c r="E318">
        <v>0</v>
      </c>
      <c r="F318">
        <v>1</v>
      </c>
      <c r="G318">
        <v>0</v>
      </c>
    </row>
    <row r="319" spans="1:7" x14ac:dyDescent="0.35">
      <c r="A319" s="17">
        <v>44960</v>
      </c>
      <c r="B319">
        <v>1.2534216068950505E-3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 x14ac:dyDescent="0.35">
      <c r="A320" s="17">
        <v>44963</v>
      </c>
      <c r="B320">
        <v>-5.8356902439951975E-3</v>
      </c>
      <c r="C320">
        <v>1</v>
      </c>
      <c r="D320">
        <v>0</v>
      </c>
      <c r="E320">
        <v>0</v>
      </c>
      <c r="F320">
        <v>0</v>
      </c>
      <c r="G320">
        <v>0</v>
      </c>
    </row>
    <row r="321" spans="1:7" x14ac:dyDescent="0.35">
      <c r="A321" s="17">
        <v>44964</v>
      </c>
      <c r="B321">
        <v>1.1278608640328369E-2</v>
      </c>
      <c r="C321">
        <v>0</v>
      </c>
      <c r="D321">
        <v>1</v>
      </c>
      <c r="E321">
        <v>0</v>
      </c>
      <c r="F321">
        <v>0</v>
      </c>
      <c r="G321">
        <v>0</v>
      </c>
    </row>
    <row r="322" spans="1:7" x14ac:dyDescent="0.35">
      <c r="A322" s="17">
        <v>44965</v>
      </c>
      <c r="B322">
        <v>1.6572525701483484E-2</v>
      </c>
      <c r="C322">
        <v>0</v>
      </c>
      <c r="D322">
        <v>0</v>
      </c>
      <c r="E322">
        <v>1</v>
      </c>
      <c r="F322">
        <v>0</v>
      </c>
      <c r="G322">
        <v>0</v>
      </c>
    </row>
    <row r="323" spans="1:7" x14ac:dyDescent="0.35">
      <c r="A323" s="17">
        <v>44966</v>
      </c>
      <c r="B323">
        <v>3.4432321376919621E-3</v>
      </c>
      <c r="C323">
        <v>0</v>
      </c>
      <c r="D323">
        <v>0</v>
      </c>
      <c r="E323">
        <v>0</v>
      </c>
      <c r="F323">
        <v>1</v>
      </c>
      <c r="G323">
        <v>0</v>
      </c>
    </row>
    <row r="324" spans="1:7" x14ac:dyDescent="0.35">
      <c r="A324" s="17">
        <v>44967</v>
      </c>
      <c r="B324">
        <v>6.7524142650709018E-3</v>
      </c>
      <c r="C324">
        <v>0</v>
      </c>
      <c r="D324">
        <v>0</v>
      </c>
      <c r="E324">
        <v>0</v>
      </c>
      <c r="F324">
        <v>0</v>
      </c>
      <c r="G324">
        <v>1</v>
      </c>
    </row>
    <row r="325" spans="1:7" x14ac:dyDescent="0.35">
      <c r="A325" s="17">
        <v>44972</v>
      </c>
      <c r="B325">
        <v>-1.2164499151582785E-2</v>
      </c>
      <c r="C325">
        <v>0</v>
      </c>
      <c r="D325">
        <v>0</v>
      </c>
      <c r="E325">
        <v>1</v>
      </c>
      <c r="F325">
        <v>0</v>
      </c>
      <c r="G325">
        <v>0</v>
      </c>
    </row>
    <row r="326" spans="1:7" x14ac:dyDescent="0.35">
      <c r="A326" s="17">
        <v>44973</v>
      </c>
      <c r="B326">
        <v>7.7831222466447367E-3</v>
      </c>
      <c r="C326">
        <v>0</v>
      </c>
      <c r="D326">
        <v>0</v>
      </c>
      <c r="E326">
        <v>0</v>
      </c>
      <c r="F326">
        <v>1</v>
      </c>
      <c r="G326">
        <v>0</v>
      </c>
    </row>
    <row r="327" spans="1:7" x14ac:dyDescent="0.35">
      <c r="A327" s="17">
        <v>44981</v>
      </c>
      <c r="B327">
        <v>2.3947391821067553E-2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 x14ac:dyDescent="0.35">
      <c r="A328" s="17">
        <v>44987</v>
      </c>
      <c r="B328">
        <v>-7.864371791423036E-4</v>
      </c>
      <c r="C328">
        <v>0</v>
      </c>
      <c r="D328">
        <v>0</v>
      </c>
      <c r="E328">
        <v>0</v>
      </c>
      <c r="F328">
        <v>1</v>
      </c>
      <c r="G328">
        <v>0</v>
      </c>
    </row>
    <row r="329" spans="1:7" x14ac:dyDescent="0.35">
      <c r="A329" s="17">
        <v>45007</v>
      </c>
      <c r="B329">
        <v>-3.9378124459740864E-2</v>
      </c>
      <c r="C329">
        <v>0</v>
      </c>
      <c r="D329">
        <v>0</v>
      </c>
      <c r="E329">
        <v>1</v>
      </c>
      <c r="F329">
        <v>0</v>
      </c>
      <c r="G329">
        <v>0</v>
      </c>
    </row>
    <row r="330" spans="1:7" x14ac:dyDescent="0.35">
      <c r="A330" s="17">
        <v>45014</v>
      </c>
      <c r="B330">
        <v>1.8606747811117255E-3</v>
      </c>
      <c r="C330">
        <v>0</v>
      </c>
      <c r="D330">
        <v>0</v>
      </c>
      <c r="E330">
        <v>1</v>
      </c>
      <c r="F330">
        <v>0</v>
      </c>
      <c r="G330">
        <v>0</v>
      </c>
    </row>
    <row r="331" spans="1:7" x14ac:dyDescent="0.35">
      <c r="A331" s="17">
        <v>45015</v>
      </c>
      <c r="B331">
        <v>-1.0217970045713377E-4</v>
      </c>
      <c r="C331">
        <v>0</v>
      </c>
      <c r="D331">
        <v>0</v>
      </c>
      <c r="E331">
        <v>0</v>
      </c>
      <c r="F331">
        <v>1</v>
      </c>
      <c r="G331">
        <v>0</v>
      </c>
    </row>
    <row r="332" spans="1:7" x14ac:dyDescent="0.35">
      <c r="A332" s="17">
        <v>45016</v>
      </c>
      <c r="B332">
        <v>-4.979768933895793E-3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 x14ac:dyDescent="0.35">
      <c r="A333" s="17">
        <v>45022</v>
      </c>
      <c r="B333">
        <v>7.1786658423858988E-3</v>
      </c>
      <c r="C333">
        <v>0</v>
      </c>
      <c r="D333">
        <v>0</v>
      </c>
      <c r="E333">
        <v>0</v>
      </c>
      <c r="F333">
        <v>1</v>
      </c>
      <c r="G333">
        <v>0</v>
      </c>
    </row>
    <row r="334" spans="1:7" x14ac:dyDescent="0.35">
      <c r="A334" s="17">
        <v>45029</v>
      </c>
      <c r="B334">
        <v>-6.9003072312834495E-3</v>
      </c>
      <c r="C334">
        <v>0</v>
      </c>
      <c r="D334">
        <v>0</v>
      </c>
      <c r="E334">
        <v>0</v>
      </c>
      <c r="F334">
        <v>1</v>
      </c>
      <c r="G334">
        <v>0</v>
      </c>
    </row>
    <row r="335" spans="1:7" x14ac:dyDescent="0.35">
      <c r="A335" s="17">
        <v>45037</v>
      </c>
      <c r="B335">
        <v>5.5409458666314058E-3</v>
      </c>
      <c r="C335">
        <v>0</v>
      </c>
      <c r="D335">
        <v>0</v>
      </c>
      <c r="E335">
        <v>0</v>
      </c>
      <c r="F335">
        <v>0</v>
      </c>
      <c r="G335">
        <v>1</v>
      </c>
    </row>
    <row r="336" spans="1:7" x14ac:dyDescent="0.35">
      <c r="A336" s="17">
        <v>45041</v>
      </c>
      <c r="B336">
        <v>-4.2833400480462381E-3</v>
      </c>
      <c r="C336">
        <v>0</v>
      </c>
      <c r="D336">
        <v>1</v>
      </c>
      <c r="E336">
        <v>0</v>
      </c>
      <c r="F336">
        <v>0</v>
      </c>
      <c r="G336">
        <v>0</v>
      </c>
    </row>
    <row r="337" spans="1:7" x14ac:dyDescent="0.35">
      <c r="A337" s="17">
        <v>45050</v>
      </c>
      <c r="B337">
        <v>1.5767851915846478E-2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 x14ac:dyDescent="0.35">
      <c r="A338" s="17">
        <v>45056</v>
      </c>
      <c r="B338">
        <v>2.3111954529779578E-2</v>
      </c>
      <c r="C338">
        <v>0</v>
      </c>
      <c r="D338">
        <v>0</v>
      </c>
      <c r="E338">
        <v>1</v>
      </c>
      <c r="F338">
        <v>0</v>
      </c>
      <c r="G338">
        <v>0</v>
      </c>
    </row>
    <row r="339" spans="1:7" x14ac:dyDescent="0.35">
      <c r="A339" s="17">
        <v>45057</v>
      </c>
      <c r="B339">
        <v>7.6321989052918014E-3</v>
      </c>
      <c r="C339">
        <v>0</v>
      </c>
      <c r="D339">
        <v>0</v>
      </c>
      <c r="E339">
        <v>0</v>
      </c>
      <c r="F339">
        <v>1</v>
      </c>
      <c r="G339">
        <v>0</v>
      </c>
    </row>
    <row r="340" spans="1:7" x14ac:dyDescent="0.35">
      <c r="A340" s="17">
        <v>45058</v>
      </c>
      <c r="B340">
        <v>7.1940210529168542E-3</v>
      </c>
      <c r="C340">
        <v>0</v>
      </c>
      <c r="D340">
        <v>0</v>
      </c>
      <c r="E340">
        <v>0</v>
      </c>
      <c r="F340">
        <v>0</v>
      </c>
      <c r="G340">
        <v>1</v>
      </c>
    </row>
    <row r="341" spans="1:7" x14ac:dyDescent="0.35">
      <c r="A341" s="17">
        <v>45061</v>
      </c>
      <c r="B341">
        <v>3.5502961892838495E-3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 x14ac:dyDescent="0.35">
      <c r="A342" s="17">
        <v>45062</v>
      </c>
      <c r="B342">
        <v>6.9724294952999179E-3</v>
      </c>
      <c r="C342">
        <v>0</v>
      </c>
      <c r="D342">
        <v>1</v>
      </c>
      <c r="E342">
        <v>0</v>
      </c>
      <c r="F342">
        <v>0</v>
      </c>
      <c r="G342">
        <v>0</v>
      </c>
    </row>
    <row r="343" spans="1:7" x14ac:dyDescent="0.35">
      <c r="A343" s="17">
        <v>45063</v>
      </c>
      <c r="B343">
        <v>-9.3232619731631293E-3</v>
      </c>
      <c r="C343">
        <v>0</v>
      </c>
      <c r="D343">
        <v>0</v>
      </c>
      <c r="E343">
        <v>1</v>
      </c>
      <c r="F343">
        <v>0</v>
      </c>
      <c r="G343">
        <v>0</v>
      </c>
    </row>
    <row r="344" spans="1:7" x14ac:dyDescent="0.35">
      <c r="A344" s="17">
        <v>45070</v>
      </c>
      <c r="B344">
        <v>7.1117486499851458E-3</v>
      </c>
      <c r="C344">
        <v>0</v>
      </c>
      <c r="D344">
        <v>0</v>
      </c>
      <c r="E344">
        <v>1</v>
      </c>
      <c r="F344">
        <v>0</v>
      </c>
      <c r="G344">
        <v>0</v>
      </c>
    </row>
    <row r="345" spans="1:7" x14ac:dyDescent="0.35">
      <c r="A345" s="17">
        <v>45072</v>
      </c>
      <c r="B345">
        <v>-1.551651624881741E-3</v>
      </c>
      <c r="C345">
        <v>0</v>
      </c>
      <c r="D345">
        <v>0</v>
      </c>
      <c r="E345">
        <v>0</v>
      </c>
      <c r="F345">
        <v>0</v>
      </c>
      <c r="G345">
        <v>1</v>
      </c>
    </row>
    <row r="346" spans="1:7" x14ac:dyDescent="0.35">
      <c r="A346" s="17">
        <v>45077</v>
      </c>
      <c r="B346">
        <v>2.6522474508008244E-2</v>
      </c>
      <c r="C346">
        <v>0</v>
      </c>
      <c r="D346">
        <v>0</v>
      </c>
      <c r="E346">
        <v>1</v>
      </c>
      <c r="F346">
        <v>0</v>
      </c>
      <c r="G346">
        <v>0</v>
      </c>
    </row>
    <row r="347" spans="1:7" x14ac:dyDescent="0.35">
      <c r="A347" s="17">
        <v>45079</v>
      </c>
      <c r="B347">
        <v>1.2121902499761273E-2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35">
      <c r="A348" s="17">
        <v>45082</v>
      </c>
      <c r="B348">
        <v>1.302861885035106E-3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 x14ac:dyDescent="0.35">
      <c r="A349" s="17">
        <v>45084</v>
      </c>
      <c r="B349">
        <v>-5.5445934744559385E-3</v>
      </c>
      <c r="C349">
        <v>0</v>
      </c>
      <c r="D349">
        <v>0</v>
      </c>
      <c r="E349">
        <v>1</v>
      </c>
      <c r="F349">
        <v>0</v>
      </c>
      <c r="G349">
        <v>0</v>
      </c>
    </row>
    <row r="350" spans="1:7" x14ac:dyDescent="0.35">
      <c r="A350" s="17">
        <v>45089</v>
      </c>
      <c r="B350">
        <v>9.9951972564175364E-4</v>
      </c>
      <c r="C350">
        <v>1</v>
      </c>
      <c r="D350">
        <v>0</v>
      </c>
      <c r="E350">
        <v>0</v>
      </c>
      <c r="F350">
        <v>0</v>
      </c>
      <c r="G350">
        <v>0</v>
      </c>
    </row>
    <row r="351" spans="1:7" x14ac:dyDescent="0.35">
      <c r="A351" s="17">
        <v>45091</v>
      </c>
      <c r="B351">
        <v>2.2179784825201811E-2</v>
      </c>
      <c r="C351">
        <v>0</v>
      </c>
      <c r="D351">
        <v>0</v>
      </c>
      <c r="E351">
        <v>1</v>
      </c>
      <c r="F351">
        <v>0</v>
      </c>
      <c r="G351">
        <v>0</v>
      </c>
    </row>
    <row r="352" spans="1:7" x14ac:dyDescent="0.35">
      <c r="A352" s="17">
        <v>45097</v>
      </c>
      <c r="B352">
        <v>4.1671193802005818E-2</v>
      </c>
      <c r="C352">
        <v>0</v>
      </c>
      <c r="D352">
        <v>1</v>
      </c>
      <c r="E352">
        <v>0</v>
      </c>
      <c r="F352">
        <v>0</v>
      </c>
      <c r="G352">
        <v>0</v>
      </c>
    </row>
    <row r="353" spans="1:7" x14ac:dyDescent="0.35">
      <c r="A353" s="17">
        <v>45099</v>
      </c>
      <c r="B353">
        <v>-1.4577040572939544E-2</v>
      </c>
      <c r="C353">
        <v>0</v>
      </c>
      <c r="D353">
        <v>0</v>
      </c>
      <c r="E353">
        <v>0</v>
      </c>
      <c r="F353">
        <v>1</v>
      </c>
      <c r="G353">
        <v>0</v>
      </c>
    </row>
    <row r="354" spans="1:7" x14ac:dyDescent="0.35">
      <c r="A354" s="17">
        <v>45100</v>
      </c>
      <c r="B354">
        <v>5.8313657069652665E-4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 x14ac:dyDescent="0.35">
      <c r="A355" s="17">
        <v>45104</v>
      </c>
      <c r="B355">
        <v>4.0377816659529575E-3</v>
      </c>
      <c r="C355">
        <v>0</v>
      </c>
      <c r="D355">
        <v>1</v>
      </c>
      <c r="E355">
        <v>0</v>
      </c>
      <c r="F355">
        <v>0</v>
      </c>
      <c r="G355">
        <v>0</v>
      </c>
    </row>
    <row r="356" spans="1:7" x14ac:dyDescent="0.35">
      <c r="A356" s="17">
        <v>45105</v>
      </c>
      <c r="B356">
        <v>6.67136827112896E-3</v>
      </c>
      <c r="C356">
        <v>0</v>
      </c>
      <c r="D356">
        <v>0</v>
      </c>
      <c r="E356">
        <v>1</v>
      </c>
      <c r="F356">
        <v>0</v>
      </c>
      <c r="G356">
        <v>0</v>
      </c>
    </row>
    <row r="357" spans="1:7" x14ac:dyDescent="0.35">
      <c r="A357" s="17">
        <v>45113</v>
      </c>
      <c r="B357">
        <v>2.0023761693349108E-2</v>
      </c>
      <c r="C357">
        <v>0</v>
      </c>
      <c r="D357">
        <v>0</v>
      </c>
      <c r="E357">
        <v>0</v>
      </c>
      <c r="F357">
        <v>1</v>
      </c>
      <c r="G357">
        <v>0</v>
      </c>
    </row>
    <row r="358" spans="1:7" x14ac:dyDescent="0.35">
      <c r="A358" s="17">
        <v>45114</v>
      </c>
      <c r="B358">
        <v>-4.2743028104680397E-3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 x14ac:dyDescent="0.35">
      <c r="A359" s="17">
        <v>45117</v>
      </c>
      <c r="B359">
        <v>-5.8779018873270543E-3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35">
      <c r="A360" s="17">
        <v>45121</v>
      </c>
      <c r="B360">
        <v>-8.4561238878214547E-3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 x14ac:dyDescent="0.35">
      <c r="A361" s="17">
        <v>45125</v>
      </c>
      <c r="B361">
        <v>9.6090840579821576E-3</v>
      </c>
      <c r="C361">
        <v>0</v>
      </c>
      <c r="D361">
        <v>1</v>
      </c>
      <c r="E361">
        <v>0</v>
      </c>
      <c r="F361">
        <v>0</v>
      </c>
      <c r="G361">
        <v>0</v>
      </c>
    </row>
    <row r="362" spans="1:7" x14ac:dyDescent="0.35">
      <c r="A362" s="17">
        <v>45135</v>
      </c>
      <c r="B362">
        <v>2.1666727956338904E-2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35">
      <c r="A363" s="17">
        <v>45139</v>
      </c>
      <c r="B363">
        <v>-1.6939251716009541E-3</v>
      </c>
      <c r="C363">
        <v>0</v>
      </c>
      <c r="D363">
        <v>1</v>
      </c>
      <c r="E363">
        <v>0</v>
      </c>
      <c r="F363">
        <v>0</v>
      </c>
      <c r="G363">
        <v>0</v>
      </c>
    </row>
    <row r="364" spans="1:7" x14ac:dyDescent="0.35">
      <c r="A364" s="17">
        <v>45140</v>
      </c>
      <c r="B364">
        <v>6.4842539056498187E-3</v>
      </c>
      <c r="C364">
        <v>0</v>
      </c>
      <c r="D364">
        <v>0</v>
      </c>
      <c r="E364">
        <v>1</v>
      </c>
      <c r="F364">
        <v>0</v>
      </c>
      <c r="G364">
        <v>0</v>
      </c>
    </row>
    <row r="365" spans="1:7" x14ac:dyDescent="0.35">
      <c r="A365" s="17">
        <v>45141</v>
      </c>
      <c r="B365">
        <v>-4.1198055998207623E-3</v>
      </c>
      <c r="C365">
        <v>0</v>
      </c>
      <c r="D365">
        <v>0</v>
      </c>
      <c r="E365">
        <v>0</v>
      </c>
      <c r="F365">
        <v>1</v>
      </c>
      <c r="G365">
        <v>0</v>
      </c>
    </row>
    <row r="366" spans="1:7" x14ac:dyDescent="0.35">
      <c r="A366" s="17">
        <v>45145</v>
      </c>
      <c r="B366">
        <v>-4.8739937044015302E-3</v>
      </c>
      <c r="C366">
        <v>1</v>
      </c>
      <c r="D366">
        <v>0</v>
      </c>
      <c r="E366">
        <v>0</v>
      </c>
      <c r="F366">
        <v>0</v>
      </c>
      <c r="G366">
        <v>0</v>
      </c>
    </row>
    <row r="367" spans="1:7" x14ac:dyDescent="0.35">
      <c r="A367" s="17">
        <v>45146</v>
      </c>
      <c r="B367">
        <v>-4.243670457914169E-3</v>
      </c>
      <c r="C367">
        <v>0</v>
      </c>
      <c r="D367">
        <v>1</v>
      </c>
      <c r="E367">
        <v>0</v>
      </c>
      <c r="F367">
        <v>0</v>
      </c>
      <c r="G367">
        <v>0</v>
      </c>
    </row>
    <row r="368" spans="1:7" x14ac:dyDescent="0.35">
      <c r="A368" s="17">
        <v>45147</v>
      </c>
      <c r="B368">
        <v>-4.4411205454391424E-3</v>
      </c>
      <c r="C368">
        <v>0</v>
      </c>
      <c r="D368">
        <v>0</v>
      </c>
      <c r="E368">
        <v>1</v>
      </c>
      <c r="F368">
        <v>0</v>
      </c>
      <c r="G368">
        <v>0</v>
      </c>
    </row>
    <row r="369" spans="1:7" x14ac:dyDescent="0.35">
      <c r="A369" s="17">
        <v>45148</v>
      </c>
      <c r="B369">
        <v>-1.6203952021279686E-4</v>
      </c>
      <c r="C369">
        <v>0</v>
      </c>
      <c r="D369">
        <v>0</v>
      </c>
      <c r="E369">
        <v>0</v>
      </c>
      <c r="F369">
        <v>1</v>
      </c>
      <c r="G369">
        <v>0</v>
      </c>
    </row>
    <row r="370" spans="1:7" x14ac:dyDescent="0.35">
      <c r="A370" s="17">
        <v>45149</v>
      </c>
      <c r="B370">
        <v>3.7122194123454751E-3</v>
      </c>
      <c r="C370">
        <v>0</v>
      </c>
      <c r="D370">
        <v>0</v>
      </c>
      <c r="E370">
        <v>0</v>
      </c>
      <c r="F370">
        <v>0</v>
      </c>
      <c r="G370">
        <v>1</v>
      </c>
    </row>
    <row r="371" spans="1:7" x14ac:dyDescent="0.35">
      <c r="A371" s="17">
        <v>45156</v>
      </c>
      <c r="B371">
        <v>-5.3671231906313082E-3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35">
      <c r="A372" s="17">
        <v>45161</v>
      </c>
      <c r="B372">
        <v>-1.2088426587586716E-2</v>
      </c>
      <c r="C372">
        <v>0</v>
      </c>
      <c r="D372">
        <v>0</v>
      </c>
      <c r="E372">
        <v>1</v>
      </c>
      <c r="F372">
        <v>0</v>
      </c>
      <c r="G372">
        <v>0</v>
      </c>
    </row>
    <row r="373" spans="1:7" x14ac:dyDescent="0.35">
      <c r="A373" s="17">
        <v>45166</v>
      </c>
      <c r="B373">
        <v>-3.6244080445305971E-3</v>
      </c>
      <c r="C373">
        <v>1</v>
      </c>
      <c r="D373">
        <v>0</v>
      </c>
      <c r="E373">
        <v>0</v>
      </c>
      <c r="F373">
        <v>0</v>
      </c>
      <c r="G373">
        <v>0</v>
      </c>
    </row>
    <row r="374" spans="1:7" x14ac:dyDescent="0.35">
      <c r="A374" s="17">
        <v>45167</v>
      </c>
      <c r="B374">
        <v>1.8233747781731943E-3</v>
      </c>
      <c r="C374">
        <v>0</v>
      </c>
      <c r="D374">
        <v>1</v>
      </c>
      <c r="E374">
        <v>0</v>
      </c>
      <c r="F374">
        <v>0</v>
      </c>
      <c r="G374">
        <v>0</v>
      </c>
    </row>
    <row r="375" spans="1:7" x14ac:dyDescent="0.35">
      <c r="A375" s="17">
        <v>45168</v>
      </c>
      <c r="B375">
        <v>1.4524549523182077E-2</v>
      </c>
      <c r="C375">
        <v>0</v>
      </c>
      <c r="D375">
        <v>0</v>
      </c>
      <c r="E375">
        <v>1</v>
      </c>
      <c r="F375">
        <v>0</v>
      </c>
      <c r="G375">
        <v>0</v>
      </c>
    </row>
    <row r="376" spans="1:7" x14ac:dyDescent="0.35">
      <c r="A376" s="17">
        <v>45175</v>
      </c>
      <c r="B376">
        <v>3.8012943226404879E-3</v>
      </c>
      <c r="C376">
        <v>0</v>
      </c>
      <c r="D376">
        <v>0</v>
      </c>
      <c r="E376">
        <v>1</v>
      </c>
      <c r="F376">
        <v>0</v>
      </c>
      <c r="G376">
        <v>0</v>
      </c>
    </row>
    <row r="377" spans="1:7" x14ac:dyDescent="0.35">
      <c r="A377" s="17">
        <v>45176</v>
      </c>
      <c r="B377">
        <v>-5.2513373220885329E-3</v>
      </c>
      <c r="C377">
        <v>0</v>
      </c>
      <c r="D377">
        <v>0</v>
      </c>
      <c r="E377">
        <v>0</v>
      </c>
      <c r="F377">
        <v>1</v>
      </c>
      <c r="G377">
        <v>0</v>
      </c>
    </row>
    <row r="378" spans="1:7" x14ac:dyDescent="0.35">
      <c r="A378" s="17">
        <v>45177</v>
      </c>
      <c r="B378">
        <v>-6.44054810458452E-4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 x14ac:dyDescent="0.35">
      <c r="A379" s="17">
        <v>45180</v>
      </c>
      <c r="B379">
        <v>2.8560575107578088E-3</v>
      </c>
      <c r="C379">
        <v>1</v>
      </c>
      <c r="D379">
        <v>0</v>
      </c>
      <c r="E379">
        <v>0</v>
      </c>
      <c r="F379">
        <v>0</v>
      </c>
      <c r="G379">
        <v>0</v>
      </c>
    </row>
    <row r="380" spans="1:7" x14ac:dyDescent="0.35">
      <c r="A380" s="17">
        <v>45183</v>
      </c>
      <c r="B380">
        <v>1.9991808477454038E-2</v>
      </c>
      <c r="C380">
        <v>0</v>
      </c>
      <c r="D380">
        <v>0</v>
      </c>
      <c r="E380">
        <v>0</v>
      </c>
      <c r="F380">
        <v>1</v>
      </c>
      <c r="G380">
        <v>0</v>
      </c>
    </row>
    <row r="381" spans="1:7" x14ac:dyDescent="0.35">
      <c r="A381" s="17">
        <v>45184</v>
      </c>
      <c r="B381">
        <v>1.6867996121697718E-3</v>
      </c>
      <c r="C381">
        <v>0</v>
      </c>
      <c r="D381">
        <v>0</v>
      </c>
      <c r="E381">
        <v>0</v>
      </c>
      <c r="F381">
        <v>0</v>
      </c>
      <c r="G381">
        <v>1</v>
      </c>
    </row>
    <row r="382" spans="1:7" x14ac:dyDescent="0.35">
      <c r="A382" s="17">
        <v>45187</v>
      </c>
      <c r="B382">
        <v>9.3560594869540881E-3</v>
      </c>
      <c r="C382">
        <v>1</v>
      </c>
      <c r="D382">
        <v>0</v>
      </c>
      <c r="E382">
        <v>0</v>
      </c>
      <c r="F382">
        <v>0</v>
      </c>
      <c r="G382">
        <v>0</v>
      </c>
    </row>
    <row r="383" spans="1:7" x14ac:dyDescent="0.35">
      <c r="A383" s="17">
        <v>45189</v>
      </c>
      <c r="B383">
        <v>1.2956715984459844E-2</v>
      </c>
      <c r="C383">
        <v>0</v>
      </c>
      <c r="D383">
        <v>0</v>
      </c>
      <c r="E383">
        <v>1</v>
      </c>
      <c r="F383">
        <v>0</v>
      </c>
      <c r="G383">
        <v>0</v>
      </c>
    </row>
    <row r="384" spans="1:7" x14ac:dyDescent="0.35">
      <c r="A384" s="17">
        <v>45190</v>
      </c>
      <c r="B384">
        <v>-4.1762452364417442E-4</v>
      </c>
      <c r="C384">
        <v>0</v>
      </c>
      <c r="D384">
        <v>0</v>
      </c>
      <c r="E384">
        <v>0</v>
      </c>
      <c r="F384">
        <v>1</v>
      </c>
      <c r="G384">
        <v>0</v>
      </c>
    </row>
    <row r="385" spans="1:7" x14ac:dyDescent="0.35">
      <c r="A385" s="17">
        <v>45191</v>
      </c>
      <c r="B385">
        <v>7.6252956940011376E-3</v>
      </c>
      <c r="C385">
        <v>0</v>
      </c>
      <c r="D385">
        <v>0</v>
      </c>
      <c r="E385">
        <v>0</v>
      </c>
      <c r="F385">
        <v>0</v>
      </c>
      <c r="G385">
        <v>1</v>
      </c>
    </row>
    <row r="386" spans="1:7" x14ac:dyDescent="0.35">
      <c r="A386" s="17">
        <v>45195</v>
      </c>
      <c r="B386">
        <v>-2.0330928866594457E-3</v>
      </c>
      <c r="C386">
        <v>0</v>
      </c>
      <c r="D386">
        <v>1</v>
      </c>
      <c r="E386">
        <v>0</v>
      </c>
      <c r="F386">
        <v>0</v>
      </c>
      <c r="G386">
        <v>0</v>
      </c>
    </row>
    <row r="387" spans="1:7" x14ac:dyDescent="0.35">
      <c r="A387" s="17">
        <v>45196</v>
      </c>
      <c r="B387">
        <v>-6.4239043312533178E-4</v>
      </c>
      <c r="C387">
        <v>0</v>
      </c>
      <c r="D387">
        <v>0</v>
      </c>
      <c r="E387">
        <v>1</v>
      </c>
      <c r="F387">
        <v>0</v>
      </c>
      <c r="G387">
        <v>0</v>
      </c>
    </row>
    <row r="388" spans="1:7" x14ac:dyDescent="0.35">
      <c r="A388" s="17">
        <v>45202</v>
      </c>
      <c r="B388">
        <v>-2.330033531861914E-2</v>
      </c>
      <c r="C388">
        <v>0</v>
      </c>
      <c r="D388">
        <v>1</v>
      </c>
      <c r="E388">
        <v>0</v>
      </c>
      <c r="F388">
        <v>0</v>
      </c>
      <c r="G388">
        <v>0</v>
      </c>
    </row>
    <row r="389" spans="1:7" x14ac:dyDescent="0.35">
      <c r="A389" s="17">
        <v>45203</v>
      </c>
      <c r="B389">
        <v>-9.4985883523152556E-3</v>
      </c>
      <c r="C389">
        <v>0</v>
      </c>
      <c r="D389">
        <v>0</v>
      </c>
      <c r="E389">
        <v>1</v>
      </c>
      <c r="F389">
        <v>0</v>
      </c>
      <c r="G389">
        <v>0</v>
      </c>
    </row>
    <row r="390" spans="1:7" x14ac:dyDescent="0.35">
      <c r="A390" s="17">
        <v>45204</v>
      </c>
      <c r="B390">
        <v>4.3548822673438327E-2</v>
      </c>
      <c r="C390">
        <v>0</v>
      </c>
      <c r="D390">
        <v>0</v>
      </c>
      <c r="E390">
        <v>0</v>
      </c>
      <c r="F390">
        <v>1</v>
      </c>
      <c r="G390">
        <v>0</v>
      </c>
    </row>
    <row r="391" spans="1:7" x14ac:dyDescent="0.35">
      <c r="A391" s="17">
        <v>45205</v>
      </c>
      <c r="B391">
        <v>4.9593444564959861E-3</v>
      </c>
      <c r="C391">
        <v>0</v>
      </c>
      <c r="D391">
        <v>0</v>
      </c>
      <c r="E391">
        <v>0</v>
      </c>
      <c r="F391">
        <v>0</v>
      </c>
      <c r="G391">
        <v>1</v>
      </c>
    </row>
    <row r="392" spans="1:7" x14ac:dyDescent="0.35">
      <c r="A392" s="17">
        <v>45217</v>
      </c>
      <c r="B392">
        <v>1.3478146541231329E-2</v>
      </c>
      <c r="C392">
        <v>0</v>
      </c>
      <c r="D392">
        <v>0</v>
      </c>
      <c r="E392">
        <v>1</v>
      </c>
      <c r="F392">
        <v>0</v>
      </c>
      <c r="G392">
        <v>0</v>
      </c>
    </row>
    <row r="393" spans="1:7" x14ac:dyDescent="0.35">
      <c r="A393" s="17">
        <v>45240</v>
      </c>
      <c r="B393">
        <v>-2.0176591541679504E-2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35">
      <c r="A394" s="17">
        <v>45247</v>
      </c>
      <c r="B394">
        <v>-2.4905295106096462E-3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 x14ac:dyDescent="0.35">
      <c r="A395" s="17">
        <v>45251</v>
      </c>
      <c r="B395">
        <v>2.5554650086388226E-3</v>
      </c>
      <c r="C395">
        <v>0</v>
      </c>
      <c r="D395">
        <v>1</v>
      </c>
      <c r="E395">
        <v>0</v>
      </c>
      <c r="F395">
        <v>0</v>
      </c>
      <c r="G395">
        <v>0</v>
      </c>
    </row>
    <row r="396" spans="1:7" x14ac:dyDescent="0.35">
      <c r="A396" s="17">
        <v>45258</v>
      </c>
      <c r="B396">
        <v>-2.0601694515774205E-2</v>
      </c>
      <c r="C396">
        <v>0</v>
      </c>
      <c r="D396">
        <v>1</v>
      </c>
      <c r="E396">
        <v>0</v>
      </c>
      <c r="F396">
        <v>0</v>
      </c>
      <c r="G396">
        <v>0</v>
      </c>
    </row>
    <row r="397" spans="1:7" x14ac:dyDescent="0.35">
      <c r="A397" s="17">
        <v>45261</v>
      </c>
      <c r="B397">
        <v>-1.2579567921824247E-2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35">
      <c r="A398" s="17">
        <v>45264</v>
      </c>
      <c r="B398">
        <v>3.7067278976639479E-3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 x14ac:dyDescent="0.35">
      <c r="A399" s="17">
        <v>45268</v>
      </c>
      <c r="B399">
        <v>5.0444616167516923E-3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 x14ac:dyDescent="0.35">
      <c r="A400" s="17">
        <v>45271</v>
      </c>
      <c r="B400">
        <v>6.377592567063101E-3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 x14ac:dyDescent="0.35">
      <c r="A401" s="17">
        <v>45272</v>
      </c>
      <c r="B401">
        <v>7.2832059764387511E-4</v>
      </c>
      <c r="C401">
        <v>0</v>
      </c>
      <c r="D401">
        <v>1</v>
      </c>
      <c r="E401">
        <v>0</v>
      </c>
      <c r="F401">
        <v>0</v>
      </c>
      <c r="G401">
        <v>0</v>
      </c>
    </row>
    <row r="402" spans="1:7" x14ac:dyDescent="0.35">
      <c r="A402" s="17">
        <v>45273</v>
      </c>
      <c r="B402">
        <v>6.9199819164322048E-3</v>
      </c>
      <c r="C402">
        <v>0</v>
      </c>
      <c r="D402">
        <v>0</v>
      </c>
      <c r="E402">
        <v>1</v>
      </c>
      <c r="F402">
        <v>0</v>
      </c>
      <c r="G402">
        <v>0</v>
      </c>
    </row>
    <row r="403" spans="1:7" x14ac:dyDescent="0.35">
      <c r="A403" s="17">
        <v>45274</v>
      </c>
      <c r="B403">
        <v>9.8250783358236494E-3</v>
      </c>
      <c r="C403">
        <v>0</v>
      </c>
      <c r="D403">
        <v>0</v>
      </c>
      <c r="E403">
        <v>0</v>
      </c>
      <c r="F403">
        <v>1</v>
      </c>
      <c r="G403">
        <v>0</v>
      </c>
    </row>
    <row r="404" spans="1:7" x14ac:dyDescent="0.35">
      <c r="A404" s="17">
        <v>45275</v>
      </c>
      <c r="B404">
        <v>-6.9454136170158938E-4</v>
      </c>
      <c r="C404">
        <v>0</v>
      </c>
      <c r="D404">
        <v>0</v>
      </c>
      <c r="E404">
        <v>0</v>
      </c>
      <c r="F404">
        <v>0</v>
      </c>
      <c r="G404">
        <v>1</v>
      </c>
    </row>
    <row r="405" spans="1:7" x14ac:dyDescent="0.35">
      <c r="A405" s="17">
        <v>45279</v>
      </c>
      <c r="B405">
        <v>3.9215946792013935E-3</v>
      </c>
      <c r="C405">
        <v>0</v>
      </c>
      <c r="D405">
        <v>1</v>
      </c>
      <c r="E405">
        <v>0</v>
      </c>
      <c r="F405">
        <v>0</v>
      </c>
      <c r="G405">
        <v>0</v>
      </c>
    </row>
    <row r="406" spans="1:7" x14ac:dyDescent="0.35">
      <c r="A406" s="17">
        <v>45280</v>
      </c>
      <c r="B406">
        <v>2.2500919108643012E-3</v>
      </c>
      <c r="C406">
        <v>0</v>
      </c>
      <c r="D406">
        <v>0</v>
      </c>
      <c r="E406">
        <v>1</v>
      </c>
      <c r="F406">
        <v>0</v>
      </c>
      <c r="G406">
        <v>0</v>
      </c>
    </row>
    <row r="407" spans="1:7" x14ac:dyDescent="0.35">
      <c r="A407" s="17">
        <v>45281</v>
      </c>
      <c r="B407">
        <v>-5.118724580630815E-3</v>
      </c>
      <c r="C407">
        <v>0</v>
      </c>
      <c r="D407">
        <v>0</v>
      </c>
      <c r="E407">
        <v>0</v>
      </c>
      <c r="F407">
        <v>1</v>
      </c>
      <c r="G407">
        <v>0</v>
      </c>
    </row>
    <row r="408" spans="1:7" x14ac:dyDescent="0.35">
      <c r="A408" s="17">
        <v>45282</v>
      </c>
      <c r="B408">
        <v>-1.0626184536957559E-3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 x14ac:dyDescent="0.35">
      <c r="A409" s="17">
        <v>45287</v>
      </c>
      <c r="B409">
        <v>6.6443747001654623E-4</v>
      </c>
      <c r="C409">
        <v>0</v>
      </c>
      <c r="D409">
        <v>0</v>
      </c>
      <c r="E409">
        <v>1</v>
      </c>
      <c r="F409">
        <v>0</v>
      </c>
      <c r="G409">
        <v>0</v>
      </c>
    </row>
    <row r="410" spans="1:7" x14ac:dyDescent="0.35">
      <c r="A410" s="17">
        <v>45288</v>
      </c>
      <c r="B410">
        <v>-1.2303286470905181E-2</v>
      </c>
      <c r="C410">
        <v>0</v>
      </c>
      <c r="D410">
        <v>0</v>
      </c>
      <c r="E410">
        <v>0</v>
      </c>
      <c r="F410">
        <v>1</v>
      </c>
      <c r="G410">
        <v>0</v>
      </c>
    </row>
    <row r="411" spans="1:7" x14ac:dyDescent="0.35">
      <c r="A411" s="17">
        <v>45289</v>
      </c>
      <c r="B411">
        <v>1.1561811240754763E-2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 x14ac:dyDescent="0.35">
      <c r="A412" s="17">
        <v>45294</v>
      </c>
      <c r="B412">
        <v>2.4361968998225018E-2</v>
      </c>
      <c r="C412">
        <v>0</v>
      </c>
      <c r="D412">
        <v>0</v>
      </c>
      <c r="E412">
        <v>1</v>
      </c>
      <c r="F412">
        <v>0</v>
      </c>
      <c r="G412">
        <v>0</v>
      </c>
    </row>
    <row r="413" spans="1:7" x14ac:dyDescent="0.35">
      <c r="A413" s="17">
        <v>45295</v>
      </c>
      <c r="B413">
        <v>8.9299731374992714E-3</v>
      </c>
      <c r="C413">
        <v>0</v>
      </c>
      <c r="D413">
        <v>0</v>
      </c>
      <c r="E413">
        <v>0</v>
      </c>
      <c r="F413">
        <v>1</v>
      </c>
      <c r="G413">
        <v>0</v>
      </c>
    </row>
    <row r="414" spans="1:7" x14ac:dyDescent="0.35">
      <c r="A414" s="17">
        <v>45296</v>
      </c>
      <c r="B414">
        <v>9.3443072607116168E-3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 x14ac:dyDescent="0.35">
      <c r="A415" s="17">
        <v>45299</v>
      </c>
      <c r="B415">
        <v>9.1447429305033176E-3</v>
      </c>
      <c r="C415">
        <v>1</v>
      </c>
      <c r="D415">
        <v>0</v>
      </c>
      <c r="E415">
        <v>0</v>
      </c>
      <c r="F415">
        <v>0</v>
      </c>
      <c r="G415">
        <v>0</v>
      </c>
    </row>
    <row r="416" spans="1:7" x14ac:dyDescent="0.35">
      <c r="A416" s="17">
        <v>45301</v>
      </c>
      <c r="B416">
        <v>5.6754576823004202E-3</v>
      </c>
      <c r="C416">
        <v>0</v>
      </c>
      <c r="D416">
        <v>0</v>
      </c>
      <c r="E416">
        <v>1</v>
      </c>
      <c r="F416">
        <v>0</v>
      </c>
      <c r="G416">
        <v>0</v>
      </c>
    </row>
    <row r="417" spans="1:7" x14ac:dyDescent="0.35">
      <c r="A417" s="17">
        <v>45303</v>
      </c>
      <c r="B417">
        <v>-3.1477665361057203E-3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 x14ac:dyDescent="0.35">
      <c r="A418" s="17">
        <v>45307</v>
      </c>
      <c r="B418">
        <v>-2.6010728062863706E-4</v>
      </c>
      <c r="C418">
        <v>0</v>
      </c>
      <c r="D418">
        <v>1</v>
      </c>
      <c r="E418">
        <v>0</v>
      </c>
      <c r="F418">
        <v>0</v>
      </c>
      <c r="G418">
        <v>0</v>
      </c>
    </row>
    <row r="419" spans="1:7" x14ac:dyDescent="0.35">
      <c r="A419" s="17">
        <v>45308</v>
      </c>
      <c r="B419">
        <v>7.9482357693420047E-3</v>
      </c>
      <c r="C419">
        <v>0</v>
      </c>
      <c r="D419">
        <v>0</v>
      </c>
      <c r="E419">
        <v>1</v>
      </c>
      <c r="F419">
        <v>0</v>
      </c>
      <c r="G419">
        <v>0</v>
      </c>
    </row>
    <row r="420" spans="1:7" x14ac:dyDescent="0.35">
      <c r="A420" s="17">
        <v>45309</v>
      </c>
      <c r="B420">
        <v>1.1560572931015074E-2</v>
      </c>
      <c r="C420">
        <v>0</v>
      </c>
      <c r="D420">
        <v>0</v>
      </c>
      <c r="E420">
        <v>0</v>
      </c>
      <c r="F420">
        <v>1</v>
      </c>
      <c r="G420">
        <v>0</v>
      </c>
    </row>
    <row r="421" spans="1:7" x14ac:dyDescent="0.35">
      <c r="A421" s="17">
        <v>45310</v>
      </c>
      <c r="B421">
        <v>-1.5280852850327021E-3</v>
      </c>
      <c r="C421">
        <v>0</v>
      </c>
      <c r="D421">
        <v>0</v>
      </c>
      <c r="E421">
        <v>0</v>
      </c>
      <c r="F421">
        <v>0</v>
      </c>
      <c r="G421">
        <v>1</v>
      </c>
    </row>
    <row r="422" spans="1:7" x14ac:dyDescent="0.35">
      <c r="A422" s="17">
        <v>45314</v>
      </c>
      <c r="B422">
        <v>1.0866867705643834E-2</v>
      </c>
      <c r="C422">
        <v>0</v>
      </c>
      <c r="D422">
        <v>1</v>
      </c>
      <c r="E422">
        <v>0</v>
      </c>
      <c r="F422">
        <v>0</v>
      </c>
      <c r="G422">
        <v>0</v>
      </c>
    </row>
    <row r="423" spans="1:7" x14ac:dyDescent="0.35">
      <c r="A423" s="17">
        <v>45315</v>
      </c>
      <c r="B423">
        <v>-1.280504830818247E-4</v>
      </c>
      <c r="C423">
        <v>0</v>
      </c>
      <c r="D423">
        <v>0</v>
      </c>
      <c r="E423">
        <v>1</v>
      </c>
      <c r="F423">
        <v>0</v>
      </c>
      <c r="G423">
        <v>0</v>
      </c>
    </row>
    <row r="424" spans="1:7" x14ac:dyDescent="0.35">
      <c r="A424" s="17">
        <v>45317</v>
      </c>
      <c r="B424">
        <v>-8.2643457014937721E-3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35">
      <c r="A425" s="17">
        <v>45320</v>
      </c>
      <c r="B425">
        <v>-9.9035214407789222E-3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35">
      <c r="A426" s="17">
        <v>45321</v>
      </c>
      <c r="B426">
        <v>1.4804625851323552E-4</v>
      </c>
      <c r="C426">
        <v>0</v>
      </c>
      <c r="D426">
        <v>1</v>
      </c>
      <c r="E426">
        <v>0</v>
      </c>
      <c r="F426">
        <v>0</v>
      </c>
      <c r="G426">
        <v>0</v>
      </c>
    </row>
    <row r="427" spans="1:7" x14ac:dyDescent="0.35">
      <c r="A427" s="17">
        <v>45323</v>
      </c>
      <c r="B427">
        <v>1.0063438472418839E-3</v>
      </c>
      <c r="C427">
        <v>0</v>
      </c>
      <c r="D427">
        <v>0</v>
      </c>
      <c r="E427">
        <v>0</v>
      </c>
      <c r="F427">
        <v>1</v>
      </c>
      <c r="G427">
        <v>0</v>
      </c>
    </row>
    <row r="428" spans="1:7" x14ac:dyDescent="0.35">
      <c r="A428" s="17">
        <v>45324</v>
      </c>
      <c r="B428">
        <v>-6.3074514875748845E-3</v>
      </c>
      <c r="C428">
        <v>0</v>
      </c>
      <c r="D428">
        <v>0</v>
      </c>
      <c r="E428">
        <v>0</v>
      </c>
      <c r="F428">
        <v>0</v>
      </c>
      <c r="G428">
        <v>1</v>
      </c>
    </row>
    <row r="429" spans="1:7" x14ac:dyDescent="0.35">
      <c r="A429" s="17">
        <v>45328</v>
      </c>
      <c r="B429">
        <v>7.4496326150192685E-3</v>
      </c>
      <c r="C429">
        <v>0</v>
      </c>
      <c r="D429">
        <v>1</v>
      </c>
      <c r="E429">
        <v>0</v>
      </c>
      <c r="F429">
        <v>0</v>
      </c>
      <c r="G429">
        <v>0</v>
      </c>
    </row>
    <row r="430" spans="1:7" x14ac:dyDescent="0.35">
      <c r="A430" s="17">
        <v>45329</v>
      </c>
      <c r="B430">
        <v>-2.2123119646331613E-3</v>
      </c>
      <c r="C430">
        <v>0</v>
      </c>
      <c r="D430">
        <v>0</v>
      </c>
      <c r="E430">
        <v>1</v>
      </c>
      <c r="F430">
        <v>0</v>
      </c>
      <c r="G430">
        <v>0</v>
      </c>
    </row>
    <row r="431" spans="1:7" x14ac:dyDescent="0.35">
      <c r="A431" s="17">
        <v>45331</v>
      </c>
      <c r="B431">
        <v>4.3805928149943862E-3</v>
      </c>
      <c r="C431">
        <v>0</v>
      </c>
      <c r="D431">
        <v>0</v>
      </c>
      <c r="E431">
        <v>0</v>
      </c>
      <c r="F431">
        <v>0</v>
      </c>
      <c r="G431">
        <v>1</v>
      </c>
    </row>
    <row r="432" spans="1:7" x14ac:dyDescent="0.35">
      <c r="A432" s="17">
        <v>45334</v>
      </c>
      <c r="B432">
        <v>-6.8456245906384704E-4</v>
      </c>
      <c r="C432">
        <v>1</v>
      </c>
      <c r="D432">
        <v>0</v>
      </c>
      <c r="E432">
        <v>0</v>
      </c>
      <c r="F432">
        <v>0</v>
      </c>
      <c r="G432">
        <v>0</v>
      </c>
    </row>
    <row r="433" spans="1:7" x14ac:dyDescent="0.35">
      <c r="A433" s="17">
        <v>45335</v>
      </c>
      <c r="B433">
        <v>-2.3644421315006264E-3</v>
      </c>
      <c r="C433">
        <v>0</v>
      </c>
      <c r="D433">
        <v>1</v>
      </c>
      <c r="E433">
        <v>0</v>
      </c>
      <c r="F433">
        <v>0</v>
      </c>
      <c r="G433">
        <v>0</v>
      </c>
    </row>
    <row r="434" spans="1:7" x14ac:dyDescent="0.35">
      <c r="A434" s="17">
        <v>45336</v>
      </c>
      <c r="B434">
        <v>3.6292478707455589E-3</v>
      </c>
      <c r="C434">
        <v>0</v>
      </c>
      <c r="D434">
        <v>0</v>
      </c>
      <c r="E434">
        <v>1</v>
      </c>
      <c r="F434">
        <v>0</v>
      </c>
      <c r="G434">
        <v>0</v>
      </c>
    </row>
    <row r="435" spans="1:7" x14ac:dyDescent="0.35">
      <c r="A435" s="17">
        <v>45338</v>
      </c>
      <c r="B435">
        <v>1.5973598139742543E-2</v>
      </c>
      <c r="C435">
        <v>0</v>
      </c>
      <c r="D435">
        <v>0</v>
      </c>
      <c r="E435">
        <v>0</v>
      </c>
      <c r="F435">
        <v>0</v>
      </c>
      <c r="G435">
        <v>1</v>
      </c>
    </row>
    <row r="436" spans="1:7" x14ac:dyDescent="0.35">
      <c r="A436" s="17">
        <v>45343</v>
      </c>
      <c r="B436">
        <v>4.5639794014993044E-3</v>
      </c>
      <c r="C436">
        <v>0</v>
      </c>
      <c r="D436">
        <v>0</v>
      </c>
      <c r="E436">
        <v>1</v>
      </c>
      <c r="F436">
        <v>0</v>
      </c>
      <c r="G436">
        <v>0</v>
      </c>
    </row>
    <row r="437" spans="1:7" x14ac:dyDescent="0.35">
      <c r="A437" s="17">
        <v>45344</v>
      </c>
      <c r="B437">
        <v>6.1002125241256941E-3</v>
      </c>
      <c r="C437">
        <v>0</v>
      </c>
      <c r="D437">
        <v>0</v>
      </c>
      <c r="E437">
        <v>0</v>
      </c>
      <c r="F437">
        <v>1</v>
      </c>
      <c r="G437">
        <v>0</v>
      </c>
    </row>
    <row r="438" spans="1:7" x14ac:dyDescent="0.35">
      <c r="A438" s="17">
        <v>45345</v>
      </c>
      <c r="B438">
        <v>1.3193837034364332E-2</v>
      </c>
      <c r="C438">
        <v>0</v>
      </c>
      <c r="D438">
        <v>0</v>
      </c>
      <c r="E438">
        <v>0</v>
      </c>
      <c r="F438">
        <v>0</v>
      </c>
      <c r="G438">
        <v>1</v>
      </c>
    </row>
    <row r="439" spans="1:7" x14ac:dyDescent="0.35">
      <c r="A439" s="17">
        <v>45348</v>
      </c>
      <c r="B439">
        <v>3.4671088537568855E-3</v>
      </c>
      <c r="C439">
        <v>1</v>
      </c>
      <c r="D439">
        <v>0</v>
      </c>
      <c r="E439">
        <v>0</v>
      </c>
      <c r="F439">
        <v>0</v>
      </c>
      <c r="G439">
        <v>0</v>
      </c>
    </row>
    <row r="440" spans="1:7" x14ac:dyDescent="0.35">
      <c r="A440" s="17">
        <v>45349</v>
      </c>
      <c r="B440">
        <v>-4.1571982168229198E-3</v>
      </c>
      <c r="C440">
        <v>0</v>
      </c>
      <c r="D440">
        <v>1</v>
      </c>
      <c r="E440">
        <v>0</v>
      </c>
      <c r="F440">
        <v>0</v>
      </c>
      <c r="G440">
        <v>0</v>
      </c>
    </row>
    <row r="441" spans="1:7" x14ac:dyDescent="0.35">
      <c r="A441" s="17">
        <v>45350</v>
      </c>
      <c r="B441">
        <v>1.895653977165155E-4</v>
      </c>
      <c r="C441">
        <v>0</v>
      </c>
      <c r="D441">
        <v>0</v>
      </c>
      <c r="E441">
        <v>1</v>
      </c>
      <c r="F441">
        <v>0</v>
      </c>
      <c r="G441">
        <v>0</v>
      </c>
    </row>
    <row r="442" spans="1:7" x14ac:dyDescent="0.35">
      <c r="A442" s="17">
        <v>45351</v>
      </c>
      <c r="B442">
        <v>-1.4183110452587596E-3</v>
      </c>
      <c r="C442">
        <v>0</v>
      </c>
      <c r="D442">
        <v>0</v>
      </c>
      <c r="E442">
        <v>0</v>
      </c>
      <c r="F442">
        <v>1</v>
      </c>
      <c r="G442">
        <v>0</v>
      </c>
    </row>
    <row r="443" spans="1:7" x14ac:dyDescent="0.35">
      <c r="A443" s="17">
        <v>45352</v>
      </c>
      <c r="B443">
        <v>4.0780086378167735E-3</v>
      </c>
      <c r="C443">
        <v>0</v>
      </c>
      <c r="D443">
        <v>0</v>
      </c>
      <c r="E443">
        <v>0</v>
      </c>
      <c r="F443">
        <v>0</v>
      </c>
      <c r="G443">
        <v>1</v>
      </c>
    </row>
    <row r="444" spans="1:7" x14ac:dyDescent="0.35">
      <c r="A444" s="17">
        <v>45356</v>
      </c>
      <c r="B444">
        <v>1.4581295203838338E-2</v>
      </c>
      <c r="C444">
        <v>0</v>
      </c>
      <c r="D444">
        <v>1</v>
      </c>
      <c r="E444">
        <v>0</v>
      </c>
      <c r="F444">
        <v>0</v>
      </c>
      <c r="G444">
        <v>0</v>
      </c>
    </row>
    <row r="445" spans="1:7" x14ac:dyDescent="0.35">
      <c r="A445" s="17">
        <v>45357</v>
      </c>
      <c r="B445">
        <v>-6.5455943232205997E-3</v>
      </c>
      <c r="C445">
        <v>0</v>
      </c>
      <c r="D445">
        <v>0</v>
      </c>
      <c r="E445">
        <v>1</v>
      </c>
      <c r="F445">
        <v>0</v>
      </c>
      <c r="G445">
        <v>0</v>
      </c>
    </row>
    <row r="446" spans="1:7" x14ac:dyDescent="0.35">
      <c r="A446" s="17">
        <v>45359</v>
      </c>
      <c r="B446">
        <v>-3.4160271926525969E-3</v>
      </c>
      <c r="C446">
        <v>0</v>
      </c>
      <c r="D446">
        <v>0</v>
      </c>
      <c r="E446">
        <v>0</v>
      </c>
      <c r="F446">
        <v>0</v>
      </c>
      <c r="G446">
        <v>1</v>
      </c>
    </row>
    <row r="447" spans="1:7" x14ac:dyDescent="0.35">
      <c r="A447" s="17">
        <v>45363</v>
      </c>
      <c r="B447">
        <v>-6.1472162894995646E-3</v>
      </c>
      <c r="C447">
        <v>0</v>
      </c>
      <c r="D447">
        <v>1</v>
      </c>
      <c r="E447">
        <v>0</v>
      </c>
      <c r="F447">
        <v>0</v>
      </c>
      <c r="G447">
        <v>0</v>
      </c>
    </row>
    <row r="448" spans="1:7" x14ac:dyDescent="0.35">
      <c r="A448" s="17">
        <v>45364</v>
      </c>
      <c r="B448">
        <v>-3.2049576288845186E-4</v>
      </c>
      <c r="C448">
        <v>0</v>
      </c>
      <c r="D448">
        <v>0</v>
      </c>
      <c r="E448">
        <v>1</v>
      </c>
      <c r="F448">
        <v>0</v>
      </c>
      <c r="G448">
        <v>0</v>
      </c>
    </row>
    <row r="449" spans="1:7" x14ac:dyDescent="0.35">
      <c r="A449" s="17">
        <v>45365</v>
      </c>
      <c r="B449">
        <v>6.9131959951310423E-3</v>
      </c>
      <c r="C449">
        <v>0</v>
      </c>
      <c r="D449">
        <v>0</v>
      </c>
      <c r="E449">
        <v>0</v>
      </c>
      <c r="F449">
        <v>1</v>
      </c>
      <c r="G449">
        <v>0</v>
      </c>
    </row>
    <row r="450" spans="1:7" x14ac:dyDescent="0.35">
      <c r="A450" s="17">
        <v>45366</v>
      </c>
      <c r="B450">
        <v>1.0387310911509939E-2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35">
      <c r="A451" s="17">
        <v>45370</v>
      </c>
      <c r="B451">
        <v>5.5030245729570208E-3</v>
      </c>
      <c r="C451">
        <v>0</v>
      </c>
      <c r="D451">
        <v>1</v>
      </c>
      <c r="E451">
        <v>0</v>
      </c>
      <c r="F451">
        <v>0</v>
      </c>
      <c r="G451">
        <v>0</v>
      </c>
    </row>
    <row r="452" spans="1:7" x14ac:dyDescent="0.35">
      <c r="A452" s="17">
        <v>45371</v>
      </c>
      <c r="B452">
        <v>-6.2126564038716145E-3</v>
      </c>
      <c r="C452">
        <v>0</v>
      </c>
      <c r="D452">
        <v>0</v>
      </c>
      <c r="E452">
        <v>1</v>
      </c>
      <c r="F452">
        <v>0</v>
      </c>
      <c r="G452">
        <v>0</v>
      </c>
    </row>
    <row r="453" spans="1:7" x14ac:dyDescent="0.35">
      <c r="A453" s="17">
        <v>45379</v>
      </c>
      <c r="B453">
        <v>4.003805635953009E-3</v>
      </c>
      <c r="C453">
        <v>0</v>
      </c>
      <c r="D453">
        <v>0</v>
      </c>
      <c r="E453">
        <v>0</v>
      </c>
      <c r="F453">
        <v>1</v>
      </c>
      <c r="G453">
        <v>0</v>
      </c>
    </row>
    <row r="454" spans="1:7" x14ac:dyDescent="0.35">
      <c r="A454" s="17">
        <v>45387</v>
      </c>
      <c r="B454">
        <v>4.6689220885024432E-2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35">
      <c r="A455" s="17">
        <v>45390</v>
      </c>
      <c r="B455">
        <v>2.210369111796643E-2</v>
      </c>
      <c r="C455">
        <v>1</v>
      </c>
      <c r="D455">
        <v>0</v>
      </c>
      <c r="E455">
        <v>0</v>
      </c>
      <c r="F455">
        <v>0</v>
      </c>
      <c r="G455">
        <v>0</v>
      </c>
    </row>
    <row r="456" spans="1:7" x14ac:dyDescent="0.35">
      <c r="A456" s="17">
        <v>45397</v>
      </c>
      <c r="B456">
        <v>3.8838924041225249E-2</v>
      </c>
      <c r="C456">
        <v>1</v>
      </c>
      <c r="D456">
        <v>0</v>
      </c>
      <c r="E456">
        <v>0</v>
      </c>
      <c r="F456">
        <v>0</v>
      </c>
      <c r="G456">
        <v>0</v>
      </c>
    </row>
    <row r="457" spans="1:7" x14ac:dyDescent="0.35">
      <c r="A457" s="17">
        <v>45400</v>
      </c>
      <c r="B457">
        <v>1.056629955915441E-2</v>
      </c>
      <c r="C457">
        <v>0</v>
      </c>
      <c r="D457">
        <v>0</v>
      </c>
      <c r="E457">
        <v>0</v>
      </c>
      <c r="F457">
        <v>1</v>
      </c>
      <c r="G457">
        <v>0</v>
      </c>
    </row>
    <row r="458" spans="1:7" x14ac:dyDescent="0.35">
      <c r="A458" s="17">
        <v>45401</v>
      </c>
      <c r="B458">
        <v>8.3589248377562695E-4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 x14ac:dyDescent="0.35">
      <c r="A459" s="17">
        <v>45405</v>
      </c>
      <c r="B459">
        <v>-2.0466581636552364E-2</v>
      </c>
      <c r="C459">
        <v>0</v>
      </c>
      <c r="D459">
        <v>1</v>
      </c>
      <c r="E459">
        <v>0</v>
      </c>
      <c r="F459">
        <v>0</v>
      </c>
      <c r="G459">
        <v>0</v>
      </c>
    </row>
    <row r="460" spans="1:7" x14ac:dyDescent="0.35">
      <c r="A460" s="17">
        <v>45406</v>
      </c>
      <c r="B460">
        <v>-6.0734939992985039E-4</v>
      </c>
      <c r="C460">
        <v>0</v>
      </c>
      <c r="D460">
        <v>0</v>
      </c>
      <c r="E460">
        <v>1</v>
      </c>
      <c r="F460">
        <v>0</v>
      </c>
      <c r="G460">
        <v>0</v>
      </c>
    </row>
    <row r="461" spans="1:7" x14ac:dyDescent="0.35">
      <c r="A461" s="17">
        <v>45408</v>
      </c>
      <c r="B461">
        <v>2.1794827534603742E-2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35">
      <c r="A462" s="17">
        <v>45411</v>
      </c>
      <c r="B462">
        <v>5.7790703030013288E-3</v>
      </c>
      <c r="C462">
        <v>1</v>
      </c>
      <c r="D462">
        <v>0</v>
      </c>
      <c r="E462">
        <v>0</v>
      </c>
      <c r="F462">
        <v>0</v>
      </c>
      <c r="G462">
        <v>0</v>
      </c>
    </row>
    <row r="463" spans="1:7" x14ac:dyDescent="0.35">
      <c r="A463" s="17">
        <v>45412</v>
      </c>
      <c r="B463">
        <v>-5.93255862689433E-3</v>
      </c>
      <c r="C463">
        <v>0</v>
      </c>
      <c r="D463">
        <v>1</v>
      </c>
      <c r="E463">
        <v>0</v>
      </c>
      <c r="F463">
        <v>0</v>
      </c>
      <c r="G463">
        <v>0</v>
      </c>
    </row>
    <row r="464" spans="1:7" x14ac:dyDescent="0.35">
      <c r="A464" s="17">
        <v>45414</v>
      </c>
      <c r="B464">
        <v>5.612838041364831E-3</v>
      </c>
      <c r="C464">
        <v>0</v>
      </c>
      <c r="D464">
        <v>0</v>
      </c>
      <c r="E464">
        <v>0</v>
      </c>
      <c r="F464">
        <v>1</v>
      </c>
      <c r="G464">
        <v>0</v>
      </c>
    </row>
    <row r="465" spans="1:7" x14ac:dyDescent="0.35">
      <c r="A465" s="17">
        <v>45415</v>
      </c>
      <c r="B465">
        <v>-2.3971400629122197E-4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35">
      <c r="A466" s="17">
        <v>45419</v>
      </c>
      <c r="B466">
        <v>1.975396204833274E-3</v>
      </c>
      <c r="C466">
        <v>0</v>
      </c>
      <c r="D466">
        <v>1</v>
      </c>
      <c r="E466">
        <v>0</v>
      </c>
      <c r="F466">
        <v>0</v>
      </c>
      <c r="G466">
        <v>0</v>
      </c>
    </row>
    <row r="467" spans="1:7" x14ac:dyDescent="0.35">
      <c r="A467" s="17">
        <v>45420</v>
      </c>
      <c r="B467">
        <v>4.7604753964842301E-3</v>
      </c>
      <c r="C467">
        <v>0</v>
      </c>
      <c r="D467">
        <v>0</v>
      </c>
      <c r="E467">
        <v>1</v>
      </c>
      <c r="F467">
        <v>0</v>
      </c>
      <c r="G467">
        <v>0</v>
      </c>
    </row>
    <row r="468" spans="1:7" x14ac:dyDescent="0.35">
      <c r="A468" s="17">
        <v>45421</v>
      </c>
      <c r="B468">
        <v>8.7772407445262466E-3</v>
      </c>
      <c r="C468">
        <v>0</v>
      </c>
      <c r="D468">
        <v>0</v>
      </c>
      <c r="E468">
        <v>0</v>
      </c>
      <c r="F468">
        <v>1</v>
      </c>
      <c r="G468">
        <v>0</v>
      </c>
    </row>
    <row r="469" spans="1:7" x14ac:dyDescent="0.35">
      <c r="A469" s="17">
        <v>45422</v>
      </c>
      <c r="B469">
        <v>4.9344221591977443E-3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 x14ac:dyDescent="0.35">
      <c r="A470" s="17">
        <v>45425</v>
      </c>
      <c r="B470">
        <v>1.9421312618355198E-3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 x14ac:dyDescent="0.35">
      <c r="A471" s="17">
        <v>45427</v>
      </c>
      <c r="B471">
        <v>2.34085181179509E-3</v>
      </c>
      <c r="C471">
        <v>0</v>
      </c>
      <c r="D471">
        <v>0</v>
      </c>
      <c r="E471">
        <v>1</v>
      </c>
      <c r="F471">
        <v>0</v>
      </c>
      <c r="G471">
        <v>0</v>
      </c>
    </row>
    <row r="472" spans="1:7" x14ac:dyDescent="0.35">
      <c r="A472" s="17">
        <v>45428</v>
      </c>
      <c r="B472">
        <v>-1.9865427665743405E-3</v>
      </c>
      <c r="C472">
        <v>0</v>
      </c>
      <c r="D472">
        <v>0</v>
      </c>
      <c r="E472">
        <v>0</v>
      </c>
      <c r="F472">
        <v>1</v>
      </c>
      <c r="G472">
        <v>0</v>
      </c>
    </row>
    <row r="473" spans="1:7" x14ac:dyDescent="0.35">
      <c r="A473" s="17">
        <v>45429</v>
      </c>
      <c r="B473">
        <v>-3.7196890635650279E-4</v>
      </c>
      <c r="C473">
        <v>0</v>
      </c>
      <c r="D473">
        <v>0</v>
      </c>
      <c r="E473">
        <v>0</v>
      </c>
      <c r="F473">
        <v>0</v>
      </c>
      <c r="G473">
        <v>1</v>
      </c>
    </row>
    <row r="474" spans="1:7" x14ac:dyDescent="0.35">
      <c r="A474" s="17">
        <v>45435</v>
      </c>
      <c r="B474">
        <v>-1.0608507099396506E-2</v>
      </c>
      <c r="C474">
        <v>0</v>
      </c>
      <c r="D474">
        <v>0</v>
      </c>
      <c r="E474">
        <v>0</v>
      </c>
      <c r="F474">
        <v>1</v>
      </c>
      <c r="G474">
        <v>0</v>
      </c>
    </row>
    <row r="475" spans="1:7" x14ac:dyDescent="0.35">
      <c r="A475" s="17">
        <v>45436</v>
      </c>
      <c r="B475">
        <v>-4.3466632050408443E-3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 x14ac:dyDescent="0.35">
      <c r="A476" s="17">
        <v>45439</v>
      </c>
      <c r="B476">
        <v>-3.9953978091253426E-3</v>
      </c>
      <c r="C476">
        <v>1</v>
      </c>
      <c r="D476">
        <v>0</v>
      </c>
      <c r="E476">
        <v>0</v>
      </c>
      <c r="F476">
        <v>0</v>
      </c>
      <c r="G476">
        <v>0</v>
      </c>
    </row>
    <row r="477" spans="1:7" x14ac:dyDescent="0.35">
      <c r="A477" s="17">
        <v>45440</v>
      </c>
      <c r="B477">
        <v>6.5840116846806089E-3</v>
      </c>
      <c r="C477">
        <v>0</v>
      </c>
      <c r="D477">
        <v>1</v>
      </c>
      <c r="E477">
        <v>0</v>
      </c>
      <c r="F477">
        <v>0</v>
      </c>
      <c r="G477">
        <v>0</v>
      </c>
    </row>
    <row r="478" spans="1:7" x14ac:dyDescent="0.35">
      <c r="A478" s="17">
        <v>45441</v>
      </c>
      <c r="B478">
        <v>-4.3649078156598135E-3</v>
      </c>
      <c r="C478">
        <v>0</v>
      </c>
      <c r="D478">
        <v>0</v>
      </c>
      <c r="E478">
        <v>1</v>
      </c>
      <c r="F478">
        <v>0</v>
      </c>
      <c r="G478">
        <v>0</v>
      </c>
    </row>
    <row r="479" spans="1:7" x14ac:dyDescent="0.35">
      <c r="A479" s="17">
        <v>45442</v>
      </c>
      <c r="B479">
        <v>-1.8609159346931199E-3</v>
      </c>
      <c r="C479">
        <v>0</v>
      </c>
      <c r="D479">
        <v>0</v>
      </c>
      <c r="E479">
        <v>0</v>
      </c>
      <c r="F479">
        <v>1</v>
      </c>
      <c r="G479">
        <v>0</v>
      </c>
    </row>
    <row r="480" spans="1:7" x14ac:dyDescent="0.35">
      <c r="A480" s="17">
        <v>45443</v>
      </c>
      <c r="B480">
        <v>-6.7956853778278264E-3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 x14ac:dyDescent="0.35">
      <c r="A481" s="17">
        <v>45449</v>
      </c>
      <c r="B481">
        <v>-8.669702288119174E-3</v>
      </c>
      <c r="C481">
        <v>0</v>
      </c>
      <c r="D481">
        <v>0</v>
      </c>
      <c r="E481">
        <v>0</v>
      </c>
      <c r="F481">
        <v>1</v>
      </c>
      <c r="G481">
        <v>0</v>
      </c>
    </row>
    <row r="482" spans="1:7" x14ac:dyDescent="0.35">
      <c r="A482" s="17">
        <v>45450</v>
      </c>
      <c r="B482">
        <v>-5.3916104400802915E-3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35">
      <c r="A483" s="17">
        <v>45453</v>
      </c>
      <c r="B483">
        <v>2.2863069893035696E-4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 x14ac:dyDescent="0.35">
      <c r="A484" s="17">
        <v>45457</v>
      </c>
      <c r="B484">
        <v>5.4456418244893095E-3</v>
      </c>
      <c r="C484">
        <v>0</v>
      </c>
      <c r="D484">
        <v>0</v>
      </c>
      <c r="E484">
        <v>0</v>
      </c>
      <c r="F484">
        <v>0</v>
      </c>
      <c r="G484">
        <v>1</v>
      </c>
    </row>
    <row r="485" spans="1:7" x14ac:dyDescent="0.35">
      <c r="A485" s="17">
        <v>45463</v>
      </c>
      <c r="B485">
        <v>5.7434018090698575E-3</v>
      </c>
      <c r="C485">
        <v>0</v>
      </c>
      <c r="D485">
        <v>0</v>
      </c>
      <c r="E485">
        <v>0</v>
      </c>
      <c r="F485">
        <v>1</v>
      </c>
      <c r="G485">
        <v>0</v>
      </c>
    </row>
    <row r="486" spans="1:7" x14ac:dyDescent="0.35">
      <c r="A486" s="17">
        <v>45464</v>
      </c>
      <c r="B486">
        <v>-8.5922562614579763E-3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 x14ac:dyDescent="0.35">
      <c r="A487" s="17">
        <v>45469</v>
      </c>
      <c r="B487">
        <v>1.0506306536836783E-2</v>
      </c>
      <c r="C487">
        <v>0</v>
      </c>
      <c r="D487">
        <v>0</v>
      </c>
      <c r="E487">
        <v>1</v>
      </c>
      <c r="F487">
        <v>0</v>
      </c>
      <c r="G487">
        <v>0</v>
      </c>
    </row>
    <row r="488" spans="1:7" x14ac:dyDescent="0.35">
      <c r="A488" s="17">
        <v>45470</v>
      </c>
      <c r="B488">
        <v>-1.6760265143534157E-3</v>
      </c>
      <c r="C488">
        <v>0</v>
      </c>
      <c r="D488">
        <v>0</v>
      </c>
      <c r="E488">
        <v>0</v>
      </c>
      <c r="F488">
        <v>1</v>
      </c>
      <c r="G488">
        <v>0</v>
      </c>
    </row>
    <row r="489" spans="1:7" x14ac:dyDescent="0.35">
      <c r="A489" s="17">
        <v>45471</v>
      </c>
      <c r="B489">
        <v>-1.8862963444114865E-3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 x14ac:dyDescent="0.35">
      <c r="A490" s="17">
        <v>45474</v>
      </c>
      <c r="B490">
        <v>1.8184481064558047E-3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 x14ac:dyDescent="0.35">
      <c r="A491" s="17">
        <v>45475</v>
      </c>
      <c r="B491">
        <v>-1.0590309750643689E-2</v>
      </c>
      <c r="C491">
        <v>0</v>
      </c>
      <c r="D491">
        <v>1</v>
      </c>
      <c r="E491">
        <v>0</v>
      </c>
      <c r="F491">
        <v>0</v>
      </c>
      <c r="G491">
        <v>0</v>
      </c>
    </row>
    <row r="492" spans="1:7" x14ac:dyDescent="0.35">
      <c r="A492" s="17">
        <v>45478</v>
      </c>
      <c r="B492">
        <v>1.2348084864582564E-2</v>
      </c>
      <c r="C492">
        <v>0</v>
      </c>
      <c r="D492">
        <v>0</v>
      </c>
      <c r="E492">
        <v>0</v>
      </c>
      <c r="F492">
        <v>0</v>
      </c>
      <c r="G492">
        <v>1</v>
      </c>
    </row>
    <row r="493" spans="1:7" x14ac:dyDescent="0.35">
      <c r="A493" s="17">
        <v>45485</v>
      </c>
      <c r="B493">
        <v>-6.3963442828138114E-3</v>
      </c>
      <c r="C493">
        <v>0</v>
      </c>
      <c r="D493">
        <v>0</v>
      </c>
      <c r="E493">
        <v>0</v>
      </c>
      <c r="F493">
        <v>0</v>
      </c>
      <c r="G493">
        <v>1</v>
      </c>
    </row>
    <row r="494" spans="1:7" x14ac:dyDescent="0.35">
      <c r="A494" s="17">
        <v>45488</v>
      </c>
      <c r="B494">
        <v>-3.1436439795027677E-3</v>
      </c>
      <c r="C494">
        <v>1</v>
      </c>
      <c r="D494">
        <v>0</v>
      </c>
      <c r="E494">
        <v>0</v>
      </c>
      <c r="F494">
        <v>0</v>
      </c>
      <c r="G494">
        <v>0</v>
      </c>
    </row>
    <row r="495" spans="1:7" x14ac:dyDescent="0.35">
      <c r="A495" s="17">
        <v>45490</v>
      </c>
      <c r="B495">
        <v>9.806626583901322E-3</v>
      </c>
      <c r="C495">
        <v>0</v>
      </c>
      <c r="D495">
        <v>0</v>
      </c>
      <c r="E495">
        <v>1</v>
      </c>
      <c r="F495">
        <v>0</v>
      </c>
      <c r="G495">
        <v>0</v>
      </c>
    </row>
    <row r="496" spans="1:7" x14ac:dyDescent="0.35">
      <c r="A496" s="17">
        <v>45491</v>
      </c>
      <c r="B496">
        <v>1.698509435469652E-3</v>
      </c>
      <c r="C496">
        <v>0</v>
      </c>
      <c r="D496">
        <v>0</v>
      </c>
      <c r="E496">
        <v>0</v>
      </c>
      <c r="F496">
        <v>1</v>
      </c>
      <c r="G496">
        <v>0</v>
      </c>
    </row>
    <row r="497" spans="1:7" x14ac:dyDescent="0.35">
      <c r="A497" s="17">
        <v>45492</v>
      </c>
      <c r="B497">
        <v>-6.9728280849669063E-4</v>
      </c>
      <c r="C497">
        <v>0</v>
      </c>
      <c r="D497">
        <v>0</v>
      </c>
      <c r="E497">
        <v>0</v>
      </c>
      <c r="F497">
        <v>0</v>
      </c>
      <c r="G497">
        <v>1</v>
      </c>
    </row>
    <row r="498" spans="1:7" x14ac:dyDescent="0.35">
      <c r="A498" s="17">
        <v>45495</v>
      </c>
      <c r="B498">
        <v>7.2362922111711752E-3</v>
      </c>
      <c r="C498">
        <v>1</v>
      </c>
      <c r="D498">
        <v>0</v>
      </c>
      <c r="E498">
        <v>0</v>
      </c>
      <c r="F498">
        <v>0</v>
      </c>
      <c r="G498">
        <v>0</v>
      </c>
    </row>
    <row r="499" spans="1:7" x14ac:dyDescent="0.35">
      <c r="A499" s="17">
        <v>45496</v>
      </c>
      <c r="B499">
        <v>1.6333713627491998E-3</v>
      </c>
      <c r="C499">
        <v>0</v>
      </c>
      <c r="D499">
        <v>1</v>
      </c>
      <c r="E499">
        <v>0</v>
      </c>
      <c r="F499">
        <v>0</v>
      </c>
      <c r="G499">
        <v>0</v>
      </c>
    </row>
    <row r="500" spans="1:7" x14ac:dyDescent="0.35">
      <c r="A500" s="17">
        <v>45497</v>
      </c>
      <c r="B500">
        <v>5.1765142019003082E-3</v>
      </c>
      <c r="C500">
        <v>0</v>
      </c>
      <c r="D500">
        <v>0</v>
      </c>
      <c r="E500">
        <v>1</v>
      </c>
      <c r="F500">
        <v>0</v>
      </c>
      <c r="G500">
        <v>0</v>
      </c>
    </row>
    <row r="501" spans="1:7" x14ac:dyDescent="0.35">
      <c r="A501" s="17">
        <v>45499</v>
      </c>
      <c r="B501">
        <v>6.4697862504312312E-3</v>
      </c>
      <c r="C501">
        <v>0</v>
      </c>
      <c r="D501">
        <v>0</v>
      </c>
      <c r="E501">
        <v>0</v>
      </c>
      <c r="F501">
        <v>0</v>
      </c>
      <c r="G501">
        <v>1</v>
      </c>
    </row>
    <row r="502" spans="1:7" x14ac:dyDescent="0.35">
      <c r="A502" s="17">
        <v>45502</v>
      </c>
      <c r="B502">
        <v>8.2717898267347777E-3</v>
      </c>
      <c r="C502">
        <v>1</v>
      </c>
      <c r="D502">
        <v>0</v>
      </c>
      <c r="E502">
        <v>0</v>
      </c>
      <c r="F502">
        <v>0</v>
      </c>
      <c r="G502">
        <v>0</v>
      </c>
    </row>
    <row r="503" spans="1:7" x14ac:dyDescent="0.35">
      <c r="A503" s="17">
        <v>45506</v>
      </c>
      <c r="B503">
        <v>4.00410158547089E-3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35">
      <c r="A504" s="17">
        <v>45509</v>
      </c>
      <c r="B504">
        <v>-3.6093765006705372E-2</v>
      </c>
      <c r="C504">
        <v>1</v>
      </c>
      <c r="D504">
        <v>0</v>
      </c>
      <c r="E504">
        <v>0</v>
      </c>
      <c r="F504">
        <v>0</v>
      </c>
      <c r="G504">
        <v>0</v>
      </c>
    </row>
    <row r="505" spans="1:7" x14ac:dyDescent="0.35">
      <c r="A505" s="17">
        <v>45510</v>
      </c>
      <c r="B505">
        <v>1.8415443146136516E-2</v>
      </c>
      <c r="C505">
        <v>0</v>
      </c>
      <c r="D505">
        <v>1</v>
      </c>
      <c r="E505">
        <v>0</v>
      </c>
      <c r="F505">
        <v>0</v>
      </c>
      <c r="G505">
        <v>0</v>
      </c>
    </row>
    <row r="506" spans="1:7" x14ac:dyDescent="0.35">
      <c r="A506" s="17">
        <v>45511</v>
      </c>
      <c r="B506">
        <v>-2.3084491657097425E-3</v>
      </c>
      <c r="C506">
        <v>0</v>
      </c>
      <c r="D506">
        <v>0</v>
      </c>
      <c r="E506">
        <v>1</v>
      </c>
      <c r="F506">
        <v>0</v>
      </c>
      <c r="G506">
        <v>0</v>
      </c>
    </row>
    <row r="507" spans="1:7" x14ac:dyDescent="0.35">
      <c r="A507" s="17">
        <v>45512</v>
      </c>
      <c r="B507">
        <v>2.66129214489812E-3</v>
      </c>
      <c r="C507">
        <v>0</v>
      </c>
      <c r="D507">
        <v>0</v>
      </c>
      <c r="E507">
        <v>0</v>
      </c>
      <c r="F507">
        <v>1</v>
      </c>
      <c r="G507">
        <v>0</v>
      </c>
    </row>
    <row r="508" spans="1:7" x14ac:dyDescent="0.35">
      <c r="A508" s="17">
        <v>45513</v>
      </c>
      <c r="B508">
        <v>8.8753164890799559E-4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35">
      <c r="A509" s="17">
        <v>45517</v>
      </c>
      <c r="B509">
        <v>2.3431613274086231E-3</v>
      </c>
      <c r="C509">
        <v>0</v>
      </c>
      <c r="D509">
        <v>1</v>
      </c>
      <c r="E509">
        <v>0</v>
      </c>
      <c r="F509">
        <v>0</v>
      </c>
      <c r="G509">
        <v>0</v>
      </c>
    </row>
    <row r="510" spans="1:7" x14ac:dyDescent="0.35">
      <c r="A510" s="17">
        <v>45519</v>
      </c>
      <c r="B510">
        <v>5.0779518049544363E-3</v>
      </c>
      <c r="C510">
        <v>0</v>
      </c>
      <c r="D510">
        <v>0</v>
      </c>
      <c r="E510">
        <v>0</v>
      </c>
      <c r="F510">
        <v>1</v>
      </c>
      <c r="G510">
        <v>0</v>
      </c>
    </row>
    <row r="511" spans="1:7" x14ac:dyDescent="0.35">
      <c r="A511" s="17">
        <v>45520</v>
      </c>
      <c r="B511">
        <v>8.3529708104959069E-4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 x14ac:dyDescent="0.35">
      <c r="A512" s="17">
        <v>45527</v>
      </c>
      <c r="B512">
        <v>2.3858367523469735E-3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35">
      <c r="A513" s="17">
        <v>45530</v>
      </c>
      <c r="B513">
        <v>-1.4522386234306394E-3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 x14ac:dyDescent="0.35">
      <c r="A514" s="17">
        <v>45531</v>
      </c>
      <c r="B514">
        <v>-2.6326332521816884E-3</v>
      </c>
      <c r="C514">
        <v>0</v>
      </c>
      <c r="D514">
        <v>1</v>
      </c>
      <c r="E514">
        <v>0</v>
      </c>
      <c r="F514">
        <v>0</v>
      </c>
      <c r="G514">
        <v>0</v>
      </c>
    </row>
    <row r="515" spans="1:7" x14ac:dyDescent="0.35">
      <c r="A515" s="17">
        <v>45532</v>
      </c>
      <c r="B515">
        <v>3.3670642121202111E-3</v>
      </c>
      <c r="C515">
        <v>0</v>
      </c>
      <c r="D515">
        <v>0</v>
      </c>
      <c r="E515">
        <v>1</v>
      </c>
      <c r="F515">
        <v>0</v>
      </c>
      <c r="G515">
        <v>0</v>
      </c>
    </row>
    <row r="516" spans="1:7" x14ac:dyDescent="0.35">
      <c r="A516" s="17">
        <v>45533</v>
      </c>
      <c r="B516">
        <v>2.2928413625980973E-3</v>
      </c>
      <c r="C516">
        <v>0</v>
      </c>
      <c r="D516">
        <v>0</v>
      </c>
      <c r="E516">
        <v>0</v>
      </c>
      <c r="F516">
        <v>1</v>
      </c>
      <c r="G516">
        <v>0</v>
      </c>
    </row>
    <row r="517" spans="1:7" x14ac:dyDescent="0.35">
      <c r="A517" s="17">
        <v>45534</v>
      </c>
      <c r="B517">
        <v>-6.2386956625193665E-3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35">
      <c r="A518" s="17">
        <v>45537</v>
      </c>
      <c r="B518">
        <v>1.7613932593782019E-2</v>
      </c>
      <c r="C518">
        <v>1</v>
      </c>
      <c r="D518">
        <v>0</v>
      </c>
      <c r="E518">
        <v>0</v>
      </c>
      <c r="F518">
        <v>0</v>
      </c>
      <c r="G518">
        <v>0</v>
      </c>
    </row>
    <row r="519" spans="1:7" x14ac:dyDescent="0.35">
      <c r="A519" s="17">
        <v>45540</v>
      </c>
      <c r="B519">
        <v>-9.9656940542294462E-3</v>
      </c>
      <c r="C519">
        <v>0</v>
      </c>
      <c r="D519">
        <v>0</v>
      </c>
      <c r="E519">
        <v>0</v>
      </c>
      <c r="F519">
        <v>1</v>
      </c>
      <c r="G519">
        <v>0</v>
      </c>
    </row>
    <row r="520" spans="1:7" x14ac:dyDescent="0.35">
      <c r="A520" s="17">
        <v>45544</v>
      </c>
      <c r="B520">
        <v>1.094375664709543E-2</v>
      </c>
      <c r="C520">
        <v>1</v>
      </c>
      <c r="D520">
        <v>0</v>
      </c>
      <c r="E520">
        <v>0</v>
      </c>
      <c r="F520">
        <v>0</v>
      </c>
      <c r="G520">
        <v>0</v>
      </c>
    </row>
    <row r="521" spans="1:7" x14ac:dyDescent="0.35">
      <c r="A521" s="17">
        <v>45545</v>
      </c>
      <c r="B521">
        <v>-9.7345849050406962E-3</v>
      </c>
      <c r="C521">
        <v>0</v>
      </c>
      <c r="D521">
        <v>1</v>
      </c>
      <c r="E521">
        <v>0</v>
      </c>
      <c r="F521">
        <v>0</v>
      </c>
      <c r="G521">
        <v>0</v>
      </c>
    </row>
    <row r="522" spans="1:7" x14ac:dyDescent="0.35">
      <c r="A522" s="17">
        <v>45548</v>
      </c>
      <c r="B522">
        <v>7.2801056681515543E-3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35">
      <c r="A523" s="17">
        <v>45553</v>
      </c>
      <c r="B523">
        <v>9.6244531438594537E-3</v>
      </c>
      <c r="C523">
        <v>0</v>
      </c>
      <c r="D523">
        <v>0</v>
      </c>
      <c r="E523">
        <v>1</v>
      </c>
      <c r="F523">
        <v>0</v>
      </c>
      <c r="G523">
        <v>0</v>
      </c>
    </row>
    <row r="524" spans="1:7" x14ac:dyDescent="0.35">
      <c r="A524" s="17">
        <v>45554</v>
      </c>
      <c r="B524">
        <v>6.2688684269339185E-4</v>
      </c>
      <c r="C524">
        <v>0</v>
      </c>
      <c r="D524">
        <v>0</v>
      </c>
      <c r="E524">
        <v>0</v>
      </c>
      <c r="F524">
        <v>1</v>
      </c>
      <c r="G524">
        <v>0</v>
      </c>
    </row>
    <row r="525" spans="1:7" x14ac:dyDescent="0.35">
      <c r="A525" s="17">
        <v>45555</v>
      </c>
      <c r="B525">
        <v>-1.4671307565817215E-5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 x14ac:dyDescent="0.35">
      <c r="A526" s="17">
        <v>45559</v>
      </c>
      <c r="B526">
        <v>-3.755495605855507E-3</v>
      </c>
      <c r="C526">
        <v>0</v>
      </c>
      <c r="D526">
        <v>1</v>
      </c>
      <c r="E526">
        <v>0</v>
      </c>
      <c r="F526">
        <v>0</v>
      </c>
      <c r="G526">
        <v>0</v>
      </c>
    </row>
    <row r="527" spans="1:7" x14ac:dyDescent="0.35">
      <c r="A527" s="17">
        <v>45560</v>
      </c>
      <c r="B527">
        <v>3.7242893088246364E-3</v>
      </c>
      <c r="C527">
        <v>0</v>
      </c>
      <c r="D527">
        <v>0</v>
      </c>
      <c r="E527">
        <v>1</v>
      </c>
      <c r="F527">
        <v>0</v>
      </c>
      <c r="G527">
        <v>0</v>
      </c>
    </row>
    <row r="528" spans="1:7" x14ac:dyDescent="0.35">
      <c r="A528" s="17">
        <v>45562</v>
      </c>
      <c r="B528">
        <v>9.1006062107947348E-3</v>
      </c>
      <c r="C528">
        <v>0</v>
      </c>
      <c r="D528">
        <v>0</v>
      </c>
      <c r="E528">
        <v>0</v>
      </c>
      <c r="F528">
        <v>0</v>
      </c>
      <c r="G528">
        <v>1</v>
      </c>
    </row>
    <row r="529" spans="1:7" x14ac:dyDescent="0.35">
      <c r="A529" s="17">
        <v>45565</v>
      </c>
      <c r="B529">
        <v>-1.1416002654696415E-3</v>
      </c>
      <c r="C529">
        <v>1</v>
      </c>
      <c r="D529">
        <v>0</v>
      </c>
      <c r="E529">
        <v>0</v>
      </c>
      <c r="F529">
        <v>0</v>
      </c>
      <c r="G529">
        <v>0</v>
      </c>
    </row>
    <row r="530" spans="1:7" x14ac:dyDescent="0.35">
      <c r="A530" s="17">
        <v>45566</v>
      </c>
      <c r="B530">
        <v>-1.6377263138704395E-2</v>
      </c>
      <c r="C530">
        <v>0</v>
      </c>
      <c r="D530">
        <v>1</v>
      </c>
      <c r="E530">
        <v>0</v>
      </c>
      <c r="F530">
        <v>0</v>
      </c>
      <c r="G530">
        <v>0</v>
      </c>
    </row>
    <row r="531" spans="1:7" x14ac:dyDescent="0.35">
      <c r="A531" s="17">
        <v>45567</v>
      </c>
      <c r="B531">
        <v>-1.3768981461319024E-2</v>
      </c>
      <c r="C531">
        <v>0</v>
      </c>
      <c r="D531">
        <v>0</v>
      </c>
      <c r="E531">
        <v>1</v>
      </c>
      <c r="F531">
        <v>0</v>
      </c>
      <c r="G531">
        <v>0</v>
      </c>
    </row>
    <row r="532" spans="1:7" x14ac:dyDescent="0.35">
      <c r="A532" s="17">
        <v>45568</v>
      </c>
      <c r="B532">
        <v>1.1411376159991302E-2</v>
      </c>
      <c r="C532">
        <v>0</v>
      </c>
      <c r="D532">
        <v>0</v>
      </c>
      <c r="E532">
        <v>0</v>
      </c>
      <c r="F532">
        <v>1</v>
      </c>
      <c r="G532">
        <v>0</v>
      </c>
    </row>
    <row r="533" spans="1:7" x14ac:dyDescent="0.35">
      <c r="A533" s="17">
        <v>45569</v>
      </c>
      <c r="B533">
        <v>4.4857007257429653E-3</v>
      </c>
      <c r="C533">
        <v>0</v>
      </c>
      <c r="D533">
        <v>0</v>
      </c>
      <c r="E533">
        <v>0</v>
      </c>
      <c r="F533">
        <v>0</v>
      </c>
      <c r="G533">
        <v>1</v>
      </c>
    </row>
    <row r="534" spans="1:7" x14ac:dyDescent="0.35">
      <c r="A534" s="17">
        <v>45572</v>
      </c>
      <c r="B534">
        <v>2.8418359659272158E-3</v>
      </c>
      <c r="C534">
        <v>1</v>
      </c>
      <c r="D534">
        <v>0</v>
      </c>
      <c r="E534">
        <v>0</v>
      </c>
      <c r="F534">
        <v>0</v>
      </c>
      <c r="G534">
        <v>0</v>
      </c>
    </row>
    <row r="535" spans="1:7" x14ac:dyDescent="0.35">
      <c r="A535" s="17">
        <v>45573</v>
      </c>
      <c r="B535">
        <v>-1.1982955282994975E-2</v>
      </c>
      <c r="C535">
        <v>0</v>
      </c>
      <c r="D535">
        <v>1</v>
      </c>
      <c r="E535">
        <v>0</v>
      </c>
      <c r="F535">
        <v>0</v>
      </c>
      <c r="G535">
        <v>0</v>
      </c>
    </row>
    <row r="536" spans="1:7" x14ac:dyDescent="0.35">
      <c r="A536" s="17">
        <v>45576</v>
      </c>
      <c r="B536">
        <v>2.1996139313266755E-3</v>
      </c>
      <c r="C536">
        <v>0</v>
      </c>
      <c r="D536">
        <v>0</v>
      </c>
      <c r="E536">
        <v>0</v>
      </c>
      <c r="F536">
        <v>0</v>
      </c>
      <c r="G536">
        <v>1</v>
      </c>
    </row>
    <row r="537" spans="1:7" x14ac:dyDescent="0.35">
      <c r="A537" s="17">
        <v>45579</v>
      </c>
      <c r="B537">
        <v>-2.5146607768977637E-3</v>
      </c>
      <c r="C537">
        <v>1</v>
      </c>
      <c r="D537">
        <v>0</v>
      </c>
      <c r="E537">
        <v>0</v>
      </c>
      <c r="F537">
        <v>0</v>
      </c>
      <c r="G537">
        <v>0</v>
      </c>
    </row>
    <row r="538" spans="1:7" x14ac:dyDescent="0.35">
      <c r="A538" s="17">
        <v>45581</v>
      </c>
      <c r="B538">
        <v>-1.5571624554920581E-2</v>
      </c>
      <c r="C538">
        <v>0</v>
      </c>
      <c r="D538">
        <v>0</v>
      </c>
      <c r="E538">
        <v>1</v>
      </c>
      <c r="F538">
        <v>0</v>
      </c>
      <c r="G538">
        <v>0</v>
      </c>
    </row>
    <row r="539" spans="1:7" x14ac:dyDescent="0.35">
      <c r="A539" s="17">
        <v>45582</v>
      </c>
      <c r="B539">
        <v>3.1745530573505203E-2</v>
      </c>
      <c r="C539">
        <v>0</v>
      </c>
      <c r="D539">
        <v>0</v>
      </c>
      <c r="E539">
        <v>0</v>
      </c>
      <c r="F539">
        <v>1</v>
      </c>
      <c r="G539">
        <v>0</v>
      </c>
    </row>
    <row r="540" spans="1:7" x14ac:dyDescent="0.35">
      <c r="A540" s="17">
        <v>45583</v>
      </c>
      <c r="B540">
        <v>-6.2826410635802004E-3</v>
      </c>
      <c r="C540">
        <v>0</v>
      </c>
      <c r="D540">
        <v>0</v>
      </c>
      <c r="E540">
        <v>0</v>
      </c>
      <c r="F540">
        <v>0</v>
      </c>
      <c r="G540">
        <v>1</v>
      </c>
    </row>
    <row r="541" spans="1:7" x14ac:dyDescent="0.35">
      <c r="A541" s="17">
        <v>45587</v>
      </c>
      <c r="B541">
        <v>3.8393455801048007E-3</v>
      </c>
      <c r="C541">
        <v>0</v>
      </c>
      <c r="D541">
        <v>1</v>
      </c>
      <c r="E541">
        <v>0</v>
      </c>
      <c r="F541">
        <v>0</v>
      </c>
      <c r="G541">
        <v>0</v>
      </c>
    </row>
    <row r="542" spans="1:7" x14ac:dyDescent="0.35">
      <c r="A542" s="17">
        <v>45590</v>
      </c>
      <c r="B542">
        <v>4.7896649723096459E-3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 x14ac:dyDescent="0.35">
      <c r="A543" s="17">
        <v>45593</v>
      </c>
      <c r="B543">
        <v>-1.9461155627320398E-3</v>
      </c>
      <c r="C543">
        <v>1</v>
      </c>
      <c r="D543">
        <v>0</v>
      </c>
      <c r="E543">
        <v>0</v>
      </c>
      <c r="F543">
        <v>0</v>
      </c>
      <c r="G543">
        <v>0</v>
      </c>
    </row>
    <row r="544" spans="1:7" x14ac:dyDescent="0.35">
      <c r="A544" s="17">
        <v>45594</v>
      </c>
      <c r="B544">
        <v>-1.8682709686109627E-3</v>
      </c>
      <c r="C544">
        <v>0</v>
      </c>
      <c r="D544">
        <v>1</v>
      </c>
      <c r="E544">
        <v>0</v>
      </c>
      <c r="F544">
        <v>0</v>
      </c>
      <c r="G544">
        <v>0</v>
      </c>
    </row>
    <row r="545" spans="1:7" x14ac:dyDescent="0.35">
      <c r="A545" s="17">
        <v>45595</v>
      </c>
      <c r="B545">
        <v>-3.937469205490699E-3</v>
      </c>
      <c r="C545">
        <v>0</v>
      </c>
      <c r="D545">
        <v>0</v>
      </c>
      <c r="E545">
        <v>1</v>
      </c>
      <c r="F545">
        <v>0</v>
      </c>
      <c r="G545">
        <v>0</v>
      </c>
    </row>
    <row r="546" spans="1:7" x14ac:dyDescent="0.35">
      <c r="A546" s="17">
        <v>45596</v>
      </c>
      <c r="B546">
        <v>-1.866586212155491E-3</v>
      </c>
      <c r="C546">
        <v>0</v>
      </c>
      <c r="D546">
        <v>0</v>
      </c>
      <c r="E546">
        <v>0</v>
      </c>
      <c r="F546">
        <v>1</v>
      </c>
      <c r="G546">
        <v>0</v>
      </c>
    </row>
    <row r="547" spans="1:7" x14ac:dyDescent="0.35">
      <c r="A547" s="17">
        <v>45597</v>
      </c>
      <c r="B547">
        <v>3.6588294480906763E-3</v>
      </c>
      <c r="C547">
        <v>0</v>
      </c>
      <c r="D547">
        <v>0</v>
      </c>
      <c r="E547">
        <v>0</v>
      </c>
      <c r="F547">
        <v>0</v>
      </c>
      <c r="G547">
        <v>1</v>
      </c>
    </row>
    <row r="548" spans="1:7" x14ac:dyDescent="0.35">
      <c r="A548" s="17">
        <v>45603</v>
      </c>
      <c r="B548">
        <v>8.7952385094575772E-3</v>
      </c>
      <c r="C548">
        <v>0</v>
      </c>
      <c r="D548">
        <v>0</v>
      </c>
      <c r="E548">
        <v>0</v>
      </c>
      <c r="F548">
        <v>1</v>
      </c>
      <c r="G548">
        <v>0</v>
      </c>
    </row>
    <row r="549" spans="1:7" x14ac:dyDescent="0.35">
      <c r="A549" s="17">
        <v>45604</v>
      </c>
      <c r="B549">
        <v>1.305292293697213E-2</v>
      </c>
      <c r="C549">
        <v>0</v>
      </c>
      <c r="D549">
        <v>0</v>
      </c>
      <c r="E549">
        <v>0</v>
      </c>
      <c r="F549">
        <v>0</v>
      </c>
      <c r="G549">
        <v>1</v>
      </c>
    </row>
    <row r="550" spans="1:7" x14ac:dyDescent="0.35">
      <c r="A550" s="17">
        <v>45608</v>
      </c>
      <c r="B550">
        <v>-1.3817852646996144E-3</v>
      </c>
      <c r="C550">
        <v>0</v>
      </c>
      <c r="D550">
        <v>1</v>
      </c>
      <c r="E550">
        <v>0</v>
      </c>
      <c r="F550">
        <v>0</v>
      </c>
      <c r="G550">
        <v>0</v>
      </c>
    </row>
    <row r="551" spans="1:7" x14ac:dyDescent="0.35">
      <c r="A551" s="17">
        <v>45609</v>
      </c>
      <c r="B551">
        <v>-4.4174607773085151E-3</v>
      </c>
      <c r="C551">
        <v>0</v>
      </c>
      <c r="D551">
        <v>0</v>
      </c>
      <c r="E551">
        <v>1</v>
      </c>
      <c r="F551">
        <v>0</v>
      </c>
      <c r="G551">
        <v>0</v>
      </c>
    </row>
    <row r="552" spans="1:7" x14ac:dyDescent="0.35">
      <c r="A552" s="17">
        <v>45611</v>
      </c>
      <c r="B552">
        <v>1.3023460871024699E-2</v>
      </c>
      <c r="C552">
        <v>0</v>
      </c>
      <c r="D552">
        <v>0</v>
      </c>
      <c r="E552">
        <v>0</v>
      </c>
      <c r="F552">
        <v>0</v>
      </c>
      <c r="G552">
        <v>1</v>
      </c>
    </row>
    <row r="553" spans="1:7" x14ac:dyDescent="0.35">
      <c r="A553" s="17">
        <v>45615</v>
      </c>
      <c r="B553">
        <v>7.4064841457566243E-3</v>
      </c>
      <c r="C553">
        <v>0</v>
      </c>
      <c r="D553">
        <v>1</v>
      </c>
      <c r="E553">
        <v>0</v>
      </c>
      <c r="F553">
        <v>0</v>
      </c>
      <c r="G553">
        <v>0</v>
      </c>
    </row>
    <row r="554" spans="1:7" x14ac:dyDescent="0.35">
      <c r="A554" s="17">
        <v>45616</v>
      </c>
      <c r="B554">
        <v>2.2557989547742131E-3</v>
      </c>
      <c r="C554">
        <v>0</v>
      </c>
      <c r="D554">
        <v>0</v>
      </c>
      <c r="E554">
        <v>1</v>
      </c>
      <c r="F554">
        <v>0</v>
      </c>
      <c r="G554">
        <v>0</v>
      </c>
    </row>
    <row r="555" spans="1:7" x14ac:dyDescent="0.35">
      <c r="A555" s="17">
        <v>45621</v>
      </c>
      <c r="B555">
        <v>-1.2624565790597529E-2</v>
      </c>
      <c r="C555">
        <v>1</v>
      </c>
      <c r="D555">
        <v>0</v>
      </c>
      <c r="E555">
        <v>0</v>
      </c>
      <c r="F555">
        <v>0</v>
      </c>
      <c r="G555">
        <v>0</v>
      </c>
    </row>
    <row r="556" spans="1:7" x14ac:dyDescent="0.35">
      <c r="A556" s="17">
        <v>45624</v>
      </c>
      <c r="B556">
        <v>1.3075408986879646E-2</v>
      </c>
      <c r="C556">
        <v>0</v>
      </c>
      <c r="D556">
        <v>0</v>
      </c>
      <c r="E556">
        <v>0</v>
      </c>
      <c r="F556">
        <v>1</v>
      </c>
      <c r="G556">
        <v>0</v>
      </c>
    </row>
    <row r="557" spans="1:7" x14ac:dyDescent="0.35">
      <c r="A557" s="17">
        <v>45625</v>
      </c>
      <c r="B557">
        <v>2.5067719575012277E-3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 x14ac:dyDescent="0.35">
      <c r="A558" s="17">
        <v>45628</v>
      </c>
      <c r="B558">
        <v>-1.0445206883277247E-2</v>
      </c>
      <c r="C558">
        <v>1</v>
      </c>
      <c r="D558">
        <v>0</v>
      </c>
      <c r="E558">
        <v>0</v>
      </c>
      <c r="F558">
        <v>0</v>
      </c>
      <c r="G558">
        <v>0</v>
      </c>
    </row>
    <row r="559" spans="1:7" x14ac:dyDescent="0.35">
      <c r="A559" s="17">
        <v>45631</v>
      </c>
      <c r="B559">
        <v>8.4975567598847522E-3</v>
      </c>
      <c r="C559">
        <v>0</v>
      </c>
      <c r="D559">
        <v>0</v>
      </c>
      <c r="E559">
        <v>0</v>
      </c>
      <c r="F559">
        <v>1</v>
      </c>
      <c r="G559">
        <v>0</v>
      </c>
    </row>
    <row r="560" spans="1:7" x14ac:dyDescent="0.35">
      <c r="A560" s="17">
        <v>45632</v>
      </c>
      <c r="B560">
        <v>-1.7518942903021537E-4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 x14ac:dyDescent="0.35">
      <c r="A561" s="17">
        <v>45639</v>
      </c>
      <c r="B561">
        <v>-4.6840108858947106E-3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 x14ac:dyDescent="0.35">
      <c r="A562" s="17">
        <v>45643</v>
      </c>
      <c r="B562">
        <v>1.0642569056936379E-3</v>
      </c>
      <c r="C562">
        <v>0</v>
      </c>
      <c r="D562">
        <v>1</v>
      </c>
      <c r="E562">
        <v>0</v>
      </c>
      <c r="F562">
        <v>0</v>
      </c>
      <c r="G562">
        <v>0</v>
      </c>
    </row>
    <row r="563" spans="1:7" x14ac:dyDescent="0.35">
      <c r="A563" s="17">
        <v>45644</v>
      </c>
      <c r="B563">
        <v>1.5410004527617951E-3</v>
      </c>
      <c r="C563">
        <v>0</v>
      </c>
      <c r="D563">
        <v>0</v>
      </c>
      <c r="E563">
        <v>1</v>
      </c>
      <c r="F563">
        <v>0</v>
      </c>
      <c r="G563">
        <v>0</v>
      </c>
    </row>
    <row r="564" spans="1:7" x14ac:dyDescent="0.35">
      <c r="A564" s="17">
        <v>45645</v>
      </c>
      <c r="B564">
        <v>-6.73686996696063E-3</v>
      </c>
      <c r="C564">
        <v>0</v>
      </c>
      <c r="D564">
        <v>0</v>
      </c>
      <c r="E564">
        <v>0</v>
      </c>
      <c r="F564">
        <v>1</v>
      </c>
      <c r="G564">
        <v>0</v>
      </c>
    </row>
    <row r="565" spans="1:7" x14ac:dyDescent="0.35">
      <c r="A565" s="17">
        <v>45646</v>
      </c>
      <c r="B565">
        <v>-2.2426224163446364E-3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 x14ac:dyDescent="0.35">
      <c r="A566" s="17">
        <v>45649</v>
      </c>
      <c r="B566">
        <v>2.9878282105212379E-4</v>
      </c>
      <c r="C566">
        <v>1</v>
      </c>
      <c r="D566">
        <v>0</v>
      </c>
      <c r="E566">
        <v>0</v>
      </c>
      <c r="F566">
        <v>0</v>
      </c>
      <c r="G566">
        <v>0</v>
      </c>
    </row>
    <row r="567" spans="1:7" x14ac:dyDescent="0.35">
      <c r="A567" s="17">
        <v>45653</v>
      </c>
      <c r="B567">
        <v>-2.5402880889894238E-3</v>
      </c>
      <c r="C567">
        <v>0</v>
      </c>
      <c r="D567">
        <v>0</v>
      </c>
      <c r="E567">
        <v>0</v>
      </c>
      <c r="F567">
        <v>0</v>
      </c>
      <c r="G567">
        <v>1</v>
      </c>
    </row>
    <row r="568" spans="1:7" x14ac:dyDescent="0.35">
      <c r="A568" s="17">
        <v>45659</v>
      </c>
      <c r="B568">
        <v>2.6085855889422405E-2</v>
      </c>
      <c r="C568">
        <v>0</v>
      </c>
      <c r="D568">
        <v>0</v>
      </c>
      <c r="E568">
        <v>0</v>
      </c>
      <c r="F568">
        <v>1</v>
      </c>
      <c r="G568">
        <v>0</v>
      </c>
    </row>
    <row r="569" spans="1:7" x14ac:dyDescent="0.35">
      <c r="A569" s="17">
        <v>45660</v>
      </c>
      <c r="B569">
        <v>1.9499110199754529E-2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 x14ac:dyDescent="0.35">
      <c r="A570" s="17">
        <v>45663</v>
      </c>
      <c r="B570">
        <v>-4.0709504707574888E-3</v>
      </c>
      <c r="C570">
        <v>1</v>
      </c>
      <c r="D570">
        <v>0</v>
      </c>
      <c r="E570">
        <v>0</v>
      </c>
      <c r="F570">
        <v>0</v>
      </c>
      <c r="G570">
        <v>0</v>
      </c>
    </row>
    <row r="571" spans="1:7" x14ac:dyDescent="0.35">
      <c r="A571" s="17">
        <v>45664</v>
      </c>
      <c r="B571">
        <v>1.3989720805921676E-3</v>
      </c>
      <c r="C571">
        <v>0</v>
      </c>
      <c r="D571">
        <v>1</v>
      </c>
      <c r="E571">
        <v>0</v>
      </c>
      <c r="F571">
        <v>0</v>
      </c>
      <c r="G571">
        <v>0</v>
      </c>
    </row>
    <row r="572" spans="1:7" x14ac:dyDescent="0.35">
      <c r="A572" s="17">
        <v>45665</v>
      </c>
      <c r="B572">
        <v>2.2408129583827863E-2</v>
      </c>
      <c r="C572">
        <v>0</v>
      </c>
      <c r="D572">
        <v>0</v>
      </c>
      <c r="E572">
        <v>1</v>
      </c>
      <c r="F572">
        <v>0</v>
      </c>
      <c r="G572">
        <v>0</v>
      </c>
    </row>
    <row r="573" spans="1:7" x14ac:dyDescent="0.35">
      <c r="A573" s="17">
        <v>45666</v>
      </c>
      <c r="B573">
        <v>8.5355754574449293E-3</v>
      </c>
      <c r="C573">
        <v>0</v>
      </c>
      <c r="D573">
        <v>0</v>
      </c>
      <c r="E573">
        <v>0</v>
      </c>
      <c r="F573">
        <v>1</v>
      </c>
      <c r="G573">
        <v>0</v>
      </c>
    </row>
    <row r="574" spans="1:7" x14ac:dyDescent="0.35">
      <c r="A574" s="17">
        <v>45667</v>
      </c>
      <c r="B574">
        <v>3.7032000822966179E-4</v>
      </c>
      <c r="C574">
        <v>0</v>
      </c>
      <c r="D574">
        <v>0</v>
      </c>
      <c r="E574">
        <v>0</v>
      </c>
      <c r="F574">
        <v>0</v>
      </c>
      <c r="G574">
        <v>1</v>
      </c>
    </row>
    <row r="575" spans="1:7" x14ac:dyDescent="0.35">
      <c r="A575" s="17">
        <v>45670</v>
      </c>
      <c r="B575">
        <v>4.4253487949483927E-3</v>
      </c>
      <c r="C575">
        <v>1</v>
      </c>
      <c r="D575">
        <v>0</v>
      </c>
      <c r="E575">
        <v>0</v>
      </c>
      <c r="F575">
        <v>0</v>
      </c>
      <c r="G575">
        <v>0</v>
      </c>
    </row>
    <row r="576" spans="1:7" x14ac:dyDescent="0.35">
      <c r="A576" s="17">
        <v>45672</v>
      </c>
      <c r="B576">
        <v>1.411466164823187E-2</v>
      </c>
      <c r="C576">
        <v>0</v>
      </c>
      <c r="D576">
        <v>0</v>
      </c>
      <c r="E576">
        <v>1</v>
      </c>
      <c r="F576">
        <v>0</v>
      </c>
      <c r="G576">
        <v>0</v>
      </c>
    </row>
    <row r="577" spans="1:7" x14ac:dyDescent="0.35">
      <c r="A577" s="17">
        <v>45673</v>
      </c>
      <c r="B577">
        <v>1.1098631400773088E-2</v>
      </c>
      <c r="C577">
        <v>0</v>
      </c>
      <c r="D577">
        <v>0</v>
      </c>
      <c r="E577">
        <v>0</v>
      </c>
      <c r="F577">
        <v>1</v>
      </c>
      <c r="G577">
        <v>0</v>
      </c>
    </row>
    <row r="578" spans="1:7" x14ac:dyDescent="0.35">
      <c r="A578" s="17">
        <v>45674</v>
      </c>
      <c r="B578">
        <v>1.7761065841678744E-3</v>
      </c>
      <c r="C578">
        <v>0</v>
      </c>
      <c r="D578">
        <v>0</v>
      </c>
      <c r="E578">
        <v>0</v>
      </c>
      <c r="F578">
        <v>0</v>
      </c>
      <c r="G578">
        <v>1</v>
      </c>
    </row>
    <row r="579" spans="1:7" x14ac:dyDescent="0.35">
      <c r="A579" s="17">
        <v>45677</v>
      </c>
      <c r="B579">
        <v>1.2069349128927496E-4</v>
      </c>
      <c r="C579">
        <v>1</v>
      </c>
      <c r="D579">
        <v>0</v>
      </c>
      <c r="E579">
        <v>0</v>
      </c>
      <c r="F579">
        <v>0</v>
      </c>
      <c r="G579">
        <v>0</v>
      </c>
    </row>
    <row r="580" spans="1:7" x14ac:dyDescent="0.35">
      <c r="A580" s="17">
        <v>45679</v>
      </c>
      <c r="B580">
        <v>-9.5849763987159425E-3</v>
      </c>
      <c r="C580">
        <v>0</v>
      </c>
      <c r="D580">
        <v>0</v>
      </c>
      <c r="E580">
        <v>1</v>
      </c>
      <c r="F580">
        <v>0</v>
      </c>
      <c r="G580">
        <v>0</v>
      </c>
    </row>
    <row r="581" spans="1:7" x14ac:dyDescent="0.35">
      <c r="A581" s="17">
        <v>45680</v>
      </c>
      <c r="B581">
        <v>3.1401835725876227E-3</v>
      </c>
      <c r="C581">
        <v>0</v>
      </c>
      <c r="D581">
        <v>0</v>
      </c>
      <c r="E581">
        <v>0</v>
      </c>
      <c r="F581">
        <v>1</v>
      </c>
      <c r="G581">
        <v>0</v>
      </c>
    </row>
    <row r="582" spans="1:7" x14ac:dyDescent="0.35">
      <c r="A582" s="17">
        <v>45681</v>
      </c>
      <c r="B582">
        <v>3.4613904119665299E-3</v>
      </c>
      <c r="C582">
        <v>0</v>
      </c>
      <c r="D582">
        <v>0</v>
      </c>
      <c r="E582">
        <v>0</v>
      </c>
      <c r="F582">
        <v>0</v>
      </c>
      <c r="G582">
        <v>1</v>
      </c>
    </row>
    <row r="583" spans="1:7" x14ac:dyDescent="0.35">
      <c r="A583" s="17">
        <v>45685</v>
      </c>
      <c r="B583">
        <v>1.553576284611082E-3</v>
      </c>
      <c r="C583">
        <v>0</v>
      </c>
      <c r="D583">
        <v>1</v>
      </c>
      <c r="E583">
        <v>0</v>
      </c>
      <c r="F583">
        <v>0</v>
      </c>
      <c r="G583">
        <v>0</v>
      </c>
    </row>
    <row r="584" spans="1:7" x14ac:dyDescent="0.35">
      <c r="A584" s="17">
        <v>45692</v>
      </c>
      <c r="B584">
        <v>5.5590933062157084E-3</v>
      </c>
      <c r="C584">
        <v>0</v>
      </c>
      <c r="D584">
        <v>1</v>
      </c>
      <c r="E584">
        <v>0</v>
      </c>
      <c r="F584">
        <v>0</v>
      </c>
      <c r="G584">
        <v>0</v>
      </c>
    </row>
    <row r="585" spans="1:7" x14ac:dyDescent="0.35">
      <c r="A585" s="17">
        <v>45693</v>
      </c>
      <c r="B585">
        <v>-1.8935545237415768E-3</v>
      </c>
      <c r="C585">
        <v>0</v>
      </c>
      <c r="D585">
        <v>0</v>
      </c>
      <c r="E585">
        <v>1</v>
      </c>
      <c r="F585">
        <v>0</v>
      </c>
      <c r="G585">
        <v>0</v>
      </c>
    </row>
    <row r="586" spans="1:7" x14ac:dyDescent="0.35">
      <c r="A586" s="17">
        <v>45694</v>
      </c>
      <c r="B586">
        <v>4.0975689097491903E-3</v>
      </c>
      <c r="C586">
        <v>0</v>
      </c>
      <c r="D586">
        <v>0</v>
      </c>
      <c r="E586">
        <v>0</v>
      </c>
      <c r="F586">
        <v>1</v>
      </c>
      <c r="G586">
        <v>0</v>
      </c>
    </row>
    <row r="587" spans="1:7" x14ac:dyDescent="0.35">
      <c r="A587" s="17">
        <v>45695</v>
      </c>
      <c r="B587">
        <v>-8.7608408254924257E-4</v>
      </c>
      <c r="C587">
        <v>0</v>
      </c>
      <c r="D587">
        <v>0</v>
      </c>
      <c r="E587">
        <v>0</v>
      </c>
      <c r="F587">
        <v>0</v>
      </c>
      <c r="G587">
        <v>1</v>
      </c>
    </row>
    <row r="588" spans="1:7" x14ac:dyDescent="0.35">
      <c r="A588" s="17">
        <v>45698</v>
      </c>
      <c r="B588">
        <v>1.7087394037266991E-3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 x14ac:dyDescent="0.35">
      <c r="A589" s="17">
        <v>45699</v>
      </c>
      <c r="B589">
        <v>-1.919781434001612E-3</v>
      </c>
      <c r="C589">
        <v>0</v>
      </c>
      <c r="D589">
        <v>1</v>
      </c>
      <c r="E589">
        <v>0</v>
      </c>
      <c r="F589">
        <v>0</v>
      </c>
      <c r="G589">
        <v>0</v>
      </c>
    </row>
    <row r="590" spans="1:7" x14ac:dyDescent="0.35">
      <c r="A590" s="17">
        <v>45701</v>
      </c>
      <c r="B590">
        <v>-3.2490890178562461E-3</v>
      </c>
      <c r="C590">
        <v>0</v>
      </c>
      <c r="D590">
        <v>0</v>
      </c>
      <c r="E590">
        <v>0</v>
      </c>
      <c r="F590">
        <v>1</v>
      </c>
      <c r="G590">
        <v>0</v>
      </c>
    </row>
    <row r="591" spans="1:7" x14ac:dyDescent="0.35">
      <c r="A591" s="17">
        <v>45702</v>
      </c>
      <c r="B591">
        <v>8.2824858964905476E-3</v>
      </c>
      <c r="C591">
        <v>0</v>
      </c>
      <c r="D591">
        <v>0</v>
      </c>
      <c r="E591">
        <v>0</v>
      </c>
      <c r="F591">
        <v>0</v>
      </c>
      <c r="G591">
        <v>1</v>
      </c>
    </row>
    <row r="592" spans="1:7" x14ac:dyDescent="0.35">
      <c r="A592" s="17">
        <v>45705</v>
      </c>
      <c r="B592">
        <v>1.5089556523993889E-2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 x14ac:dyDescent="0.35">
      <c r="A593" s="17">
        <v>45706</v>
      </c>
      <c r="B593">
        <v>1.8396011785773566E-3</v>
      </c>
      <c r="C593">
        <v>0</v>
      </c>
      <c r="D593">
        <v>1</v>
      </c>
      <c r="E593">
        <v>0</v>
      </c>
      <c r="F593">
        <v>0</v>
      </c>
      <c r="G593">
        <v>0</v>
      </c>
    </row>
    <row r="594" spans="1:7" x14ac:dyDescent="0.35">
      <c r="A594" s="17">
        <v>45707</v>
      </c>
      <c r="B594">
        <v>6.1239155950391774E-3</v>
      </c>
      <c r="C594">
        <v>0</v>
      </c>
      <c r="D594">
        <v>0</v>
      </c>
      <c r="E594">
        <v>1</v>
      </c>
      <c r="F594">
        <v>0</v>
      </c>
      <c r="G594">
        <v>0</v>
      </c>
    </row>
    <row r="595" spans="1:7" x14ac:dyDescent="0.35">
      <c r="A595" s="17">
        <v>45708</v>
      </c>
      <c r="B595">
        <v>-4.0053937529475258E-3</v>
      </c>
      <c r="C595">
        <v>0</v>
      </c>
      <c r="D595">
        <v>0</v>
      </c>
      <c r="E595">
        <v>0</v>
      </c>
      <c r="F595">
        <v>1</v>
      </c>
      <c r="G595">
        <v>0</v>
      </c>
    </row>
    <row r="596" spans="1:7" x14ac:dyDescent="0.35">
      <c r="A596" s="17">
        <v>45709</v>
      </c>
      <c r="B596">
        <v>-6.8842426937799654E-3</v>
      </c>
      <c r="C596">
        <v>0</v>
      </c>
      <c r="D596">
        <v>0</v>
      </c>
      <c r="E596">
        <v>0</v>
      </c>
      <c r="F596">
        <v>0</v>
      </c>
      <c r="G596">
        <v>1</v>
      </c>
    </row>
    <row r="597" spans="1:7" x14ac:dyDescent="0.35">
      <c r="A597" s="17">
        <v>45712</v>
      </c>
      <c r="B597">
        <v>3.5397210726394374E-3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 x14ac:dyDescent="0.35">
      <c r="A598" s="17">
        <v>45713</v>
      </c>
      <c r="B598">
        <v>3.1293226599661472E-3</v>
      </c>
      <c r="C598">
        <v>0</v>
      </c>
      <c r="D598">
        <v>1</v>
      </c>
      <c r="E598">
        <v>0</v>
      </c>
      <c r="F598">
        <v>0</v>
      </c>
      <c r="G598">
        <v>0</v>
      </c>
    </row>
    <row r="599" spans="1:7" x14ac:dyDescent="0.35">
      <c r="A599" s="17">
        <v>45714</v>
      </c>
      <c r="B599">
        <v>8.447683372014306E-4</v>
      </c>
      <c r="C599">
        <v>0</v>
      </c>
      <c r="D599">
        <v>0</v>
      </c>
      <c r="E599">
        <v>1</v>
      </c>
      <c r="F599">
        <v>0</v>
      </c>
      <c r="G599">
        <v>0</v>
      </c>
    </row>
    <row r="600" spans="1:7" x14ac:dyDescent="0.35">
      <c r="A600" s="17">
        <v>45715</v>
      </c>
      <c r="B600">
        <v>-5.0823872464657565E-3</v>
      </c>
      <c r="C600">
        <v>0</v>
      </c>
      <c r="D600">
        <v>0</v>
      </c>
      <c r="E600">
        <v>0</v>
      </c>
      <c r="F600">
        <v>1</v>
      </c>
      <c r="G600">
        <v>0</v>
      </c>
    </row>
    <row r="601" spans="1:7" x14ac:dyDescent="0.35">
      <c r="A601" s="17">
        <v>45720</v>
      </c>
      <c r="B601">
        <v>-1.5868297709203314E-2</v>
      </c>
      <c r="C601">
        <v>0</v>
      </c>
      <c r="D601">
        <v>1</v>
      </c>
      <c r="E601">
        <v>0</v>
      </c>
      <c r="F601">
        <v>0</v>
      </c>
      <c r="G601">
        <v>0</v>
      </c>
    </row>
    <row r="602" spans="1:7" x14ac:dyDescent="0.35">
      <c r="A602" s="17">
        <v>45721</v>
      </c>
      <c r="B602">
        <v>-9.6628065098465221E-3</v>
      </c>
      <c r="C602">
        <v>0</v>
      </c>
      <c r="D602">
        <v>0</v>
      </c>
      <c r="E602">
        <v>1</v>
      </c>
      <c r="F602">
        <v>0</v>
      </c>
      <c r="G602">
        <v>0</v>
      </c>
    </row>
    <row r="603" spans="1:7" x14ac:dyDescent="0.35">
      <c r="A603" s="17">
        <v>45722</v>
      </c>
      <c r="B603">
        <v>2.2274519923330791E-3</v>
      </c>
      <c r="C603">
        <v>0</v>
      </c>
      <c r="D603">
        <v>0</v>
      </c>
      <c r="E603">
        <v>0</v>
      </c>
      <c r="F603">
        <v>1</v>
      </c>
      <c r="G603">
        <v>0</v>
      </c>
    </row>
    <row r="604" spans="1:7" x14ac:dyDescent="0.35">
      <c r="A604" s="17">
        <v>45723</v>
      </c>
      <c r="B604">
        <v>5.8833804973746264E-3</v>
      </c>
      <c r="C604">
        <v>0</v>
      </c>
      <c r="D604">
        <v>0</v>
      </c>
      <c r="E604">
        <v>0</v>
      </c>
      <c r="F604">
        <v>0</v>
      </c>
      <c r="G604">
        <v>1</v>
      </c>
    </row>
    <row r="605" spans="1:7" x14ac:dyDescent="0.35">
      <c r="A605" s="17">
        <v>45729</v>
      </c>
      <c r="B605">
        <v>-1.2913742261483663E-2</v>
      </c>
      <c r="C605">
        <v>0</v>
      </c>
      <c r="D605">
        <v>0</v>
      </c>
      <c r="E605">
        <v>0</v>
      </c>
      <c r="F605">
        <v>1</v>
      </c>
      <c r="G605">
        <v>0</v>
      </c>
    </row>
    <row r="606" spans="1:7" x14ac:dyDescent="0.35">
      <c r="A606" s="17">
        <v>45730</v>
      </c>
      <c r="B606">
        <v>5.8640079076076176E-3</v>
      </c>
      <c r="C606">
        <v>0</v>
      </c>
      <c r="D606">
        <v>0</v>
      </c>
      <c r="E606">
        <v>0</v>
      </c>
      <c r="F606">
        <v>0</v>
      </c>
      <c r="G606">
        <v>1</v>
      </c>
    </row>
    <row r="607" spans="1:7" x14ac:dyDescent="0.35">
      <c r="A607" s="17">
        <v>45734</v>
      </c>
      <c r="B607">
        <v>1.0730453743923712E-2</v>
      </c>
      <c r="C607">
        <v>0</v>
      </c>
      <c r="D607">
        <v>1</v>
      </c>
      <c r="E607">
        <v>0</v>
      </c>
      <c r="F607">
        <v>0</v>
      </c>
      <c r="G607">
        <v>0</v>
      </c>
    </row>
    <row r="608" spans="1:7" x14ac:dyDescent="0.35">
      <c r="A608" s="17">
        <v>45735</v>
      </c>
      <c r="B608">
        <v>1.4930937902194663E-2</v>
      </c>
      <c r="C608">
        <v>0</v>
      </c>
      <c r="D608">
        <v>0</v>
      </c>
      <c r="E608">
        <v>1</v>
      </c>
      <c r="F608">
        <v>0</v>
      </c>
      <c r="G608">
        <v>0</v>
      </c>
    </row>
    <row r="609" spans="1:7" x14ac:dyDescent="0.35">
      <c r="A609" s="17">
        <v>45736</v>
      </c>
      <c r="B609">
        <v>1.8662694434446101E-2</v>
      </c>
      <c r="C609">
        <v>0</v>
      </c>
      <c r="D609">
        <v>0</v>
      </c>
      <c r="E609">
        <v>0</v>
      </c>
      <c r="F609">
        <v>1</v>
      </c>
      <c r="G609">
        <v>0</v>
      </c>
    </row>
    <row r="610" spans="1:7" x14ac:dyDescent="0.35">
      <c r="A610" s="17">
        <v>45737</v>
      </c>
      <c r="B610">
        <v>1.3984037790741788E-2</v>
      </c>
      <c r="C610">
        <v>0</v>
      </c>
      <c r="D610">
        <v>0</v>
      </c>
      <c r="E610">
        <v>0</v>
      </c>
      <c r="F610">
        <v>0</v>
      </c>
      <c r="G610">
        <v>1</v>
      </c>
    </row>
    <row r="611" spans="1:7" x14ac:dyDescent="0.35">
      <c r="A611" s="17">
        <v>45740</v>
      </c>
      <c r="B611">
        <v>9.4258985951434383E-3</v>
      </c>
      <c r="C611">
        <v>1</v>
      </c>
      <c r="D611">
        <v>0</v>
      </c>
      <c r="E611">
        <v>0</v>
      </c>
      <c r="F611">
        <v>0</v>
      </c>
      <c r="G611">
        <v>0</v>
      </c>
    </row>
    <row r="612" spans="1:7" x14ac:dyDescent="0.35">
      <c r="A612" s="17">
        <v>45741</v>
      </c>
      <c r="B612">
        <v>-4.0061132952854328E-3</v>
      </c>
      <c r="C612">
        <v>0</v>
      </c>
      <c r="D612">
        <v>1</v>
      </c>
      <c r="E612">
        <v>0</v>
      </c>
      <c r="F612">
        <v>0</v>
      </c>
      <c r="G612">
        <v>0</v>
      </c>
    </row>
    <row r="613" spans="1:7" x14ac:dyDescent="0.35">
      <c r="A613" s="17">
        <v>45742</v>
      </c>
      <c r="B613">
        <v>-4.5438233119487375E-3</v>
      </c>
      <c r="C613">
        <v>0</v>
      </c>
      <c r="D613">
        <v>0</v>
      </c>
      <c r="E613">
        <v>1</v>
      </c>
      <c r="F613">
        <v>0</v>
      </c>
      <c r="G613">
        <v>0</v>
      </c>
    </row>
    <row r="614" spans="1:7" x14ac:dyDescent="0.35">
      <c r="A614" s="17">
        <v>45744</v>
      </c>
      <c r="B614">
        <v>6.6758024008040729E-3</v>
      </c>
      <c r="C614">
        <v>0</v>
      </c>
      <c r="D614">
        <v>0</v>
      </c>
      <c r="E614">
        <v>0</v>
      </c>
      <c r="F614">
        <v>0</v>
      </c>
      <c r="G614">
        <v>1</v>
      </c>
    </row>
    <row r="615" spans="1:7" x14ac:dyDescent="0.35">
      <c r="A615" s="17">
        <v>45749</v>
      </c>
      <c r="B615">
        <v>-6.2368049148876043E-3</v>
      </c>
      <c r="C615">
        <v>0</v>
      </c>
      <c r="D615">
        <v>0</v>
      </c>
      <c r="E615">
        <v>1</v>
      </c>
      <c r="F615">
        <v>0</v>
      </c>
      <c r="G615">
        <v>0</v>
      </c>
    </row>
    <row r="616" spans="1:7" x14ac:dyDescent="0.35">
      <c r="A616" s="17">
        <v>45750</v>
      </c>
      <c r="B616">
        <v>-1.877548514186839E-2</v>
      </c>
      <c r="C616">
        <v>0</v>
      </c>
      <c r="D616">
        <v>0</v>
      </c>
      <c r="E616">
        <v>0</v>
      </c>
      <c r="F616">
        <v>1</v>
      </c>
      <c r="G616">
        <v>0</v>
      </c>
    </row>
    <row r="617" spans="1:7" x14ac:dyDescent="0.35">
      <c r="A617" s="17">
        <v>45751</v>
      </c>
      <c r="B617">
        <v>-4.8334372392114678E-3</v>
      </c>
      <c r="C617">
        <v>0</v>
      </c>
      <c r="D617">
        <v>0</v>
      </c>
      <c r="E617">
        <v>0</v>
      </c>
      <c r="F617">
        <v>0</v>
      </c>
      <c r="G617">
        <v>1</v>
      </c>
    </row>
    <row r="618" spans="1:7" x14ac:dyDescent="0.35">
      <c r="A618" s="17">
        <v>45754</v>
      </c>
      <c r="B618">
        <v>-6.4703914185081951E-2</v>
      </c>
      <c r="C618">
        <v>1</v>
      </c>
      <c r="D618">
        <v>0</v>
      </c>
      <c r="E618">
        <v>0</v>
      </c>
      <c r="F618">
        <v>0</v>
      </c>
      <c r="G618">
        <v>0</v>
      </c>
    </row>
    <row r="619" spans="1:7" x14ac:dyDescent="0.35">
      <c r="A619" s="17">
        <v>45755</v>
      </c>
      <c r="B619">
        <v>1.6611136763793735E-2</v>
      </c>
      <c r="C619">
        <v>0</v>
      </c>
      <c r="D619">
        <v>1</v>
      </c>
      <c r="E619">
        <v>0</v>
      </c>
      <c r="F619">
        <v>0</v>
      </c>
      <c r="G619">
        <v>0</v>
      </c>
    </row>
    <row r="620" spans="1:7" x14ac:dyDescent="0.35">
      <c r="A620" s="17">
        <v>45756</v>
      </c>
      <c r="B620">
        <v>-2.7986933560866963E-2</v>
      </c>
      <c r="C620">
        <v>0</v>
      </c>
      <c r="D620">
        <v>0</v>
      </c>
      <c r="E620">
        <v>1</v>
      </c>
      <c r="F620">
        <v>0</v>
      </c>
      <c r="G620">
        <v>0</v>
      </c>
    </row>
    <row r="621" spans="1:7" x14ac:dyDescent="0.35">
      <c r="A621" s="17">
        <v>45757</v>
      </c>
      <c r="B621">
        <v>1.9399378729386685E-2</v>
      </c>
      <c r="C621">
        <v>0</v>
      </c>
      <c r="D621">
        <v>0</v>
      </c>
      <c r="E621">
        <v>0</v>
      </c>
      <c r="F621">
        <v>1</v>
      </c>
      <c r="G621">
        <v>0</v>
      </c>
    </row>
    <row r="622" spans="1:7" x14ac:dyDescent="0.35">
      <c r="A622" s="17">
        <v>45758</v>
      </c>
      <c r="B622">
        <v>-3.3955922602380069E-2</v>
      </c>
      <c r="C622">
        <v>0</v>
      </c>
      <c r="D622">
        <v>0</v>
      </c>
      <c r="E622">
        <v>0</v>
      </c>
      <c r="F622">
        <v>0</v>
      </c>
      <c r="G622">
        <v>1</v>
      </c>
    </row>
    <row r="623" spans="1:7" x14ac:dyDescent="0.35">
      <c r="A623" s="17">
        <v>45761</v>
      </c>
      <c r="B623">
        <v>4.5582137826606008E-2</v>
      </c>
      <c r="C623">
        <v>1</v>
      </c>
      <c r="D623">
        <v>0</v>
      </c>
      <c r="E623">
        <v>0</v>
      </c>
      <c r="F623">
        <v>0</v>
      </c>
      <c r="G623">
        <v>0</v>
      </c>
    </row>
    <row r="624" spans="1:7" x14ac:dyDescent="0.35">
      <c r="A624" s="17">
        <v>45762</v>
      </c>
      <c r="B624">
        <v>3.4307766670313579E-2</v>
      </c>
      <c r="C624">
        <v>0</v>
      </c>
      <c r="D624">
        <v>1</v>
      </c>
      <c r="E624">
        <v>0</v>
      </c>
      <c r="F624">
        <v>0</v>
      </c>
      <c r="G624">
        <v>0</v>
      </c>
    </row>
    <row r="625" spans="1:7" x14ac:dyDescent="0.35">
      <c r="A625" s="17">
        <v>45763</v>
      </c>
      <c r="B625">
        <v>5.4321629257381284E-3</v>
      </c>
      <c r="C625">
        <v>0</v>
      </c>
      <c r="D625">
        <v>0</v>
      </c>
      <c r="E625">
        <v>1</v>
      </c>
      <c r="F625">
        <v>0</v>
      </c>
      <c r="G625">
        <v>0</v>
      </c>
    </row>
    <row r="626" spans="1:7" x14ac:dyDescent="0.35">
      <c r="A626" s="17">
        <v>45764</v>
      </c>
      <c r="B626">
        <v>3.6220843968122153E-3</v>
      </c>
      <c r="C626">
        <v>0</v>
      </c>
      <c r="D626">
        <v>0</v>
      </c>
      <c r="E626">
        <v>0</v>
      </c>
      <c r="F626">
        <v>1</v>
      </c>
      <c r="G626">
        <v>0</v>
      </c>
    </row>
    <row r="627" spans="1:7" x14ac:dyDescent="0.35">
      <c r="A627" s="17">
        <v>45769</v>
      </c>
      <c r="B627">
        <v>1.4783514939273601E-3</v>
      </c>
      <c r="C627">
        <v>0</v>
      </c>
      <c r="D627">
        <v>1</v>
      </c>
      <c r="E627">
        <v>0</v>
      </c>
      <c r="F627">
        <v>0</v>
      </c>
      <c r="G627">
        <v>0</v>
      </c>
    </row>
    <row r="628" spans="1:7" x14ac:dyDescent="0.35">
      <c r="A628" s="17">
        <v>45770</v>
      </c>
      <c r="B628">
        <v>7.8346966315610087E-3</v>
      </c>
      <c r="C628">
        <v>0</v>
      </c>
      <c r="D628">
        <v>0</v>
      </c>
      <c r="E628">
        <v>1</v>
      </c>
      <c r="F628">
        <v>0</v>
      </c>
      <c r="G628">
        <v>0</v>
      </c>
    </row>
    <row r="629" spans="1:7" x14ac:dyDescent="0.35">
      <c r="A629" s="17">
        <v>45772</v>
      </c>
      <c r="B629">
        <v>7.1820078849386777E-3</v>
      </c>
      <c r="C629">
        <v>0</v>
      </c>
      <c r="D629">
        <v>0</v>
      </c>
      <c r="E629">
        <v>0</v>
      </c>
      <c r="F629">
        <v>0</v>
      </c>
      <c r="G629">
        <v>1</v>
      </c>
    </row>
    <row r="630" spans="1:7" x14ac:dyDescent="0.35">
      <c r="A630" s="17">
        <v>45777</v>
      </c>
      <c r="B630">
        <v>-3.7424058452526139E-3</v>
      </c>
      <c r="C630">
        <v>0</v>
      </c>
      <c r="D630">
        <v>0</v>
      </c>
      <c r="E630">
        <v>1</v>
      </c>
      <c r="F630">
        <v>0</v>
      </c>
      <c r="G630">
        <v>0</v>
      </c>
    </row>
    <row r="631" spans="1:7" x14ac:dyDescent="0.35">
      <c r="A631" s="17">
        <v>45779</v>
      </c>
      <c r="B631">
        <v>1.1898747771930087E-2</v>
      </c>
      <c r="C631">
        <v>0</v>
      </c>
      <c r="D631">
        <v>0</v>
      </c>
      <c r="E631">
        <v>0</v>
      </c>
      <c r="F631">
        <v>0</v>
      </c>
      <c r="G631">
        <v>1</v>
      </c>
    </row>
    <row r="632" spans="1:7" x14ac:dyDescent="0.35">
      <c r="A632" s="17">
        <v>45782</v>
      </c>
      <c r="B632">
        <v>-1.128179326072153E-3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35">
      <c r="A633" s="17">
        <v>45783</v>
      </c>
      <c r="B633">
        <v>1.2539570085887835E-2</v>
      </c>
      <c r="C633">
        <v>0</v>
      </c>
      <c r="D633">
        <v>1</v>
      </c>
      <c r="E633">
        <v>0</v>
      </c>
      <c r="F633">
        <v>0</v>
      </c>
      <c r="G633">
        <v>0</v>
      </c>
    </row>
    <row r="634" spans="1:7" x14ac:dyDescent="0.35">
      <c r="A634" s="17">
        <v>45785</v>
      </c>
      <c r="B634">
        <v>-3.6295015489924568E-3</v>
      </c>
      <c r="C634">
        <v>0</v>
      </c>
      <c r="D634">
        <v>0</v>
      </c>
      <c r="E634">
        <v>0</v>
      </c>
      <c r="F634">
        <v>1</v>
      </c>
      <c r="G634">
        <v>0</v>
      </c>
    </row>
    <row r="635" spans="1:7" x14ac:dyDescent="0.35">
      <c r="A635" s="17">
        <v>45786</v>
      </c>
      <c r="B635">
        <v>6.1584442472436196E-3</v>
      </c>
      <c r="C635">
        <v>0</v>
      </c>
      <c r="D635">
        <v>0</v>
      </c>
      <c r="E635">
        <v>0</v>
      </c>
      <c r="F635">
        <v>0</v>
      </c>
      <c r="G635">
        <v>1</v>
      </c>
    </row>
    <row r="636" spans="1:7" x14ac:dyDescent="0.35">
      <c r="A636" s="17">
        <v>45792</v>
      </c>
      <c r="B636">
        <v>6.4930737872520173E-3</v>
      </c>
      <c r="C636">
        <v>0</v>
      </c>
      <c r="D636">
        <v>0</v>
      </c>
      <c r="E636">
        <v>0</v>
      </c>
      <c r="F636">
        <v>1</v>
      </c>
      <c r="G636">
        <v>0</v>
      </c>
    </row>
    <row r="637" spans="1:7" x14ac:dyDescent="0.35">
      <c r="A637" s="17">
        <v>45793</v>
      </c>
      <c r="B637">
        <v>-1.6864706939668888E-2</v>
      </c>
      <c r="C637">
        <v>0</v>
      </c>
      <c r="D637">
        <v>0</v>
      </c>
      <c r="E637">
        <v>0</v>
      </c>
      <c r="F637">
        <v>0</v>
      </c>
      <c r="G637">
        <v>1</v>
      </c>
    </row>
    <row r="638" spans="1:7" x14ac:dyDescent="0.35">
      <c r="A638" s="17">
        <v>45797</v>
      </c>
      <c r="B638">
        <v>1.4856412918734511E-2</v>
      </c>
      <c r="C638">
        <v>0</v>
      </c>
      <c r="D638">
        <v>1</v>
      </c>
      <c r="E638">
        <v>0</v>
      </c>
      <c r="F638">
        <v>0</v>
      </c>
      <c r="G638">
        <v>0</v>
      </c>
    </row>
    <row r="639" spans="1:7" x14ac:dyDescent="0.35">
      <c r="A639" s="17">
        <v>45798</v>
      </c>
      <c r="B639">
        <v>3.0705618644098738E-3</v>
      </c>
      <c r="C639">
        <v>0</v>
      </c>
      <c r="D639">
        <v>0</v>
      </c>
      <c r="E639">
        <v>1</v>
      </c>
      <c r="F639">
        <v>0</v>
      </c>
      <c r="G639">
        <v>0</v>
      </c>
    </row>
    <row r="640" spans="1:7" x14ac:dyDescent="0.35">
      <c r="A640" s="17">
        <v>45799</v>
      </c>
      <c r="B640">
        <v>3.7942212256211519E-3</v>
      </c>
      <c r="C640">
        <v>0</v>
      </c>
      <c r="D640">
        <v>0</v>
      </c>
      <c r="E640">
        <v>0</v>
      </c>
      <c r="F640">
        <v>1</v>
      </c>
      <c r="G640">
        <v>0</v>
      </c>
    </row>
    <row r="641" spans="1:7" x14ac:dyDescent="0.35">
      <c r="A641" s="17">
        <v>45800</v>
      </c>
      <c r="B641">
        <v>-5.5546583002897406E-3</v>
      </c>
      <c r="C641">
        <v>0</v>
      </c>
      <c r="D641">
        <v>0</v>
      </c>
      <c r="E641">
        <v>0</v>
      </c>
      <c r="F641">
        <v>0</v>
      </c>
      <c r="G641">
        <v>1</v>
      </c>
    </row>
    <row r="642" spans="1:7" x14ac:dyDescent="0.35">
      <c r="A642" s="17">
        <v>45804</v>
      </c>
      <c r="B642">
        <v>-1.0212851880904089E-2</v>
      </c>
      <c r="C642">
        <v>0</v>
      </c>
      <c r="D642">
        <v>1</v>
      </c>
      <c r="E642">
        <v>0</v>
      </c>
      <c r="F642">
        <v>0</v>
      </c>
      <c r="G642">
        <v>0</v>
      </c>
    </row>
    <row r="643" spans="1:7" x14ac:dyDescent="0.35">
      <c r="A643" s="17">
        <v>45805</v>
      </c>
      <c r="B643">
        <v>-3.2444653705778139E-3</v>
      </c>
      <c r="C643">
        <v>0</v>
      </c>
      <c r="D643">
        <v>0</v>
      </c>
      <c r="E643">
        <v>1</v>
      </c>
      <c r="F643">
        <v>0</v>
      </c>
      <c r="G643">
        <v>0</v>
      </c>
    </row>
    <row r="644" spans="1:7" x14ac:dyDescent="0.35">
      <c r="A644" s="17">
        <v>45807</v>
      </c>
      <c r="B644">
        <v>1.237509506192686E-2</v>
      </c>
      <c r="C644">
        <v>0</v>
      </c>
      <c r="D644">
        <v>0</v>
      </c>
      <c r="E644">
        <v>0</v>
      </c>
      <c r="F644">
        <v>0</v>
      </c>
      <c r="G644">
        <v>1</v>
      </c>
    </row>
    <row r="645" spans="1:7" x14ac:dyDescent="0.35">
      <c r="A645" s="17">
        <v>45810</v>
      </c>
      <c r="B645">
        <v>1.3206229104141856E-2</v>
      </c>
      <c r="C645">
        <v>1</v>
      </c>
      <c r="D645">
        <v>0</v>
      </c>
      <c r="E645">
        <v>0</v>
      </c>
      <c r="F645">
        <v>0</v>
      </c>
      <c r="G645">
        <v>0</v>
      </c>
    </row>
    <row r="646" spans="1:7" x14ac:dyDescent="0.35">
      <c r="A646" s="17">
        <v>45812</v>
      </c>
      <c r="B646">
        <v>2.4468107377118433E-2</v>
      </c>
      <c r="C646">
        <v>0</v>
      </c>
      <c r="D646">
        <v>0</v>
      </c>
      <c r="E646">
        <v>1</v>
      </c>
      <c r="F646">
        <v>0</v>
      </c>
      <c r="G646">
        <v>0</v>
      </c>
    </row>
    <row r="647" spans="1:7" x14ac:dyDescent="0.35">
      <c r="A647" s="17">
        <v>45813</v>
      </c>
      <c r="B647">
        <v>9.0543035825962574E-3</v>
      </c>
      <c r="C647">
        <v>0</v>
      </c>
      <c r="D647">
        <v>0</v>
      </c>
      <c r="E647">
        <v>0</v>
      </c>
      <c r="F647">
        <v>1</v>
      </c>
      <c r="G647">
        <v>0</v>
      </c>
    </row>
    <row r="648" spans="1:7" x14ac:dyDescent="0.35">
      <c r="A648" s="17">
        <v>45814</v>
      </c>
      <c r="B648">
        <v>-1.2537203152032973E-3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 x14ac:dyDescent="0.35">
      <c r="A649" s="17">
        <v>45818</v>
      </c>
      <c r="B649">
        <v>1.6744943638423181E-3</v>
      </c>
      <c r="C649">
        <v>0</v>
      </c>
      <c r="D649">
        <v>1</v>
      </c>
      <c r="E649">
        <v>0</v>
      </c>
      <c r="F649">
        <v>0</v>
      </c>
      <c r="G649">
        <v>0</v>
      </c>
    </row>
    <row r="650" spans="1:7" x14ac:dyDescent="0.35">
      <c r="A650" s="17">
        <v>45820</v>
      </c>
      <c r="B650">
        <v>-1.0787038295465847E-2</v>
      </c>
      <c r="C650">
        <v>0</v>
      </c>
      <c r="D650">
        <v>0</v>
      </c>
      <c r="E650">
        <v>0</v>
      </c>
      <c r="F650">
        <v>1</v>
      </c>
      <c r="G650">
        <v>0</v>
      </c>
    </row>
    <row r="651" spans="1:7" x14ac:dyDescent="0.35">
      <c r="A651" s="17">
        <v>45821</v>
      </c>
      <c r="B651">
        <v>-9.5056912273083546E-3</v>
      </c>
      <c r="C651">
        <v>0</v>
      </c>
      <c r="D651">
        <v>0</v>
      </c>
      <c r="E651">
        <v>0</v>
      </c>
      <c r="F651">
        <v>0</v>
      </c>
      <c r="G651">
        <v>1</v>
      </c>
    </row>
    <row r="652" spans="1:7" x14ac:dyDescent="0.35">
      <c r="A652" s="17">
        <v>45824</v>
      </c>
      <c r="B652">
        <v>-8.4414025545174205E-3</v>
      </c>
      <c r="C652">
        <v>1</v>
      </c>
      <c r="D652">
        <v>0</v>
      </c>
      <c r="E652">
        <v>0</v>
      </c>
      <c r="F652">
        <v>0</v>
      </c>
      <c r="G652">
        <v>0</v>
      </c>
    </row>
    <row r="653" spans="1:7" x14ac:dyDescent="0.35">
      <c r="A653" s="17">
        <v>45825</v>
      </c>
      <c r="B653">
        <v>-4.5673940225687193E-3</v>
      </c>
      <c r="C653">
        <v>0</v>
      </c>
      <c r="D653">
        <v>1</v>
      </c>
      <c r="E653">
        <v>0</v>
      </c>
      <c r="F653">
        <v>0</v>
      </c>
      <c r="G653">
        <v>0</v>
      </c>
    </row>
    <row r="654" spans="1:7" x14ac:dyDescent="0.35">
      <c r="A654" s="17">
        <v>45827</v>
      </c>
      <c r="B654">
        <v>-2.3166581709290431E-2</v>
      </c>
      <c r="C654">
        <v>0</v>
      </c>
      <c r="D654">
        <v>0</v>
      </c>
      <c r="E654">
        <v>0</v>
      </c>
      <c r="F654">
        <v>1</v>
      </c>
      <c r="G654">
        <v>0</v>
      </c>
    </row>
    <row r="655" spans="1:7" x14ac:dyDescent="0.35">
      <c r="A655" s="17">
        <v>45828</v>
      </c>
      <c r="B655">
        <v>1.9341196736946637E-2</v>
      </c>
      <c r="C655">
        <v>0</v>
      </c>
      <c r="D655">
        <v>0</v>
      </c>
      <c r="E655">
        <v>0</v>
      </c>
      <c r="F655">
        <v>0</v>
      </c>
      <c r="G655">
        <v>1</v>
      </c>
    </row>
    <row r="656" spans="1:7" x14ac:dyDescent="0.35">
      <c r="A656" s="17">
        <v>45831</v>
      </c>
      <c r="B656">
        <v>-5.9269588454096724E-3</v>
      </c>
      <c r="C656">
        <v>1</v>
      </c>
      <c r="D656">
        <v>0</v>
      </c>
      <c r="E656">
        <v>0</v>
      </c>
      <c r="F656">
        <v>0</v>
      </c>
      <c r="G656">
        <v>0</v>
      </c>
    </row>
    <row r="657" spans="1:7" x14ac:dyDescent="0.35">
      <c r="A657" s="17">
        <v>45832</v>
      </c>
      <c r="B657">
        <v>2.6028516872473255E-2</v>
      </c>
      <c r="C657">
        <v>0</v>
      </c>
      <c r="D657">
        <v>1</v>
      </c>
      <c r="E657">
        <v>0</v>
      </c>
      <c r="F657">
        <v>0</v>
      </c>
      <c r="G657">
        <v>0</v>
      </c>
    </row>
    <row r="658" spans="1:7" x14ac:dyDescent="0.35">
      <c r="A658" s="17">
        <v>45833</v>
      </c>
      <c r="B658">
        <v>9.745879841175845E-3</v>
      </c>
      <c r="C658">
        <v>0</v>
      </c>
      <c r="D658">
        <v>0</v>
      </c>
      <c r="E658">
        <v>1</v>
      </c>
      <c r="F658">
        <v>0</v>
      </c>
      <c r="G658">
        <v>0</v>
      </c>
    </row>
    <row r="659" spans="1:7" x14ac:dyDescent="0.35">
      <c r="A659" s="17">
        <v>45834</v>
      </c>
      <c r="B659">
        <v>-6.399913443810158E-4</v>
      </c>
      <c r="C659">
        <v>0</v>
      </c>
      <c r="D659">
        <v>0</v>
      </c>
      <c r="E659">
        <v>0</v>
      </c>
      <c r="F659">
        <v>1</v>
      </c>
      <c r="G659">
        <v>0</v>
      </c>
    </row>
    <row r="660" spans="1:7" x14ac:dyDescent="0.35">
      <c r="A660" s="17">
        <v>45838</v>
      </c>
      <c r="B660">
        <v>-5.2573590720034237E-3</v>
      </c>
      <c r="C660">
        <v>1</v>
      </c>
      <c r="D660">
        <v>0</v>
      </c>
      <c r="E660">
        <v>0</v>
      </c>
      <c r="F660">
        <v>0</v>
      </c>
      <c r="G660">
        <v>0</v>
      </c>
    </row>
    <row r="661" spans="1:7" x14ac:dyDescent="0.35">
      <c r="A661" s="17">
        <v>45841</v>
      </c>
      <c r="B661">
        <v>1.7332028324755711E-2</v>
      </c>
      <c r="C661">
        <v>0</v>
      </c>
      <c r="D661">
        <v>0</v>
      </c>
      <c r="E661">
        <v>0</v>
      </c>
      <c r="F661">
        <v>1</v>
      </c>
      <c r="G661">
        <v>0</v>
      </c>
    </row>
    <row r="662" spans="1:7" x14ac:dyDescent="0.35">
      <c r="A662" s="17">
        <v>45842</v>
      </c>
      <c r="B662">
        <v>4.3084168125686936E-3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 x14ac:dyDescent="0.35">
      <c r="A663" s="17">
        <v>45845</v>
      </c>
      <c r="B663">
        <v>2.747715434102951E-3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35">
      <c r="A664" s="17">
        <v>45847</v>
      </c>
      <c r="B664">
        <v>-3.0303571831294683E-4</v>
      </c>
      <c r="C664">
        <v>0</v>
      </c>
      <c r="D664">
        <v>0</v>
      </c>
      <c r="E664">
        <v>1</v>
      </c>
      <c r="F664">
        <v>0</v>
      </c>
      <c r="G664">
        <v>0</v>
      </c>
    </row>
    <row r="665" spans="1:7" x14ac:dyDescent="0.35">
      <c r="A665" s="17">
        <v>45848</v>
      </c>
      <c r="B665">
        <v>-2.528976811822499E-3</v>
      </c>
      <c r="C665">
        <v>0</v>
      </c>
      <c r="D665">
        <v>0</v>
      </c>
      <c r="E665">
        <v>0</v>
      </c>
      <c r="F665">
        <v>1</v>
      </c>
      <c r="G665">
        <v>0</v>
      </c>
    </row>
    <row r="666" spans="1:7" x14ac:dyDescent="0.35">
      <c r="A666" s="17">
        <v>45852</v>
      </c>
      <c r="B666">
        <v>3.7261655655988074E-3</v>
      </c>
      <c r="C666">
        <v>1</v>
      </c>
      <c r="D666">
        <v>0</v>
      </c>
      <c r="E666">
        <v>0</v>
      </c>
      <c r="F666">
        <v>0</v>
      </c>
      <c r="G666">
        <v>0</v>
      </c>
    </row>
    <row r="667" spans="1:7" x14ac:dyDescent="0.35">
      <c r="A667" s="17">
        <v>45853</v>
      </c>
      <c r="B667">
        <v>-7.4732059174416826E-3</v>
      </c>
      <c r="C667">
        <v>0</v>
      </c>
      <c r="D667">
        <v>1</v>
      </c>
      <c r="E667">
        <v>0</v>
      </c>
      <c r="F667">
        <v>0</v>
      </c>
      <c r="G667">
        <v>0</v>
      </c>
    </row>
    <row r="668" spans="1:7" x14ac:dyDescent="0.35">
      <c r="A668" s="17">
        <v>45854</v>
      </c>
      <c r="B668">
        <v>6.4720589417636162E-5</v>
      </c>
      <c r="C668">
        <v>0</v>
      </c>
      <c r="D668">
        <v>0</v>
      </c>
      <c r="E668">
        <v>1</v>
      </c>
      <c r="F668">
        <v>0</v>
      </c>
      <c r="G668">
        <v>0</v>
      </c>
    </row>
    <row r="669" spans="1:7" x14ac:dyDescent="0.35">
      <c r="A669" s="17">
        <v>45855</v>
      </c>
      <c r="B669">
        <v>1.0578273783735766E-2</v>
      </c>
      <c r="C669">
        <v>0</v>
      </c>
      <c r="D669">
        <v>0</v>
      </c>
      <c r="E669">
        <v>0</v>
      </c>
      <c r="F669">
        <v>1</v>
      </c>
      <c r="G669">
        <v>0</v>
      </c>
    </row>
    <row r="670" spans="1:7" x14ac:dyDescent="0.35">
      <c r="A670" s="17">
        <v>45856</v>
      </c>
      <c r="B670">
        <v>7.0636373393401916E-3</v>
      </c>
      <c r="C670">
        <v>0</v>
      </c>
      <c r="D670">
        <v>0</v>
      </c>
      <c r="E670">
        <v>0</v>
      </c>
      <c r="F670">
        <v>0</v>
      </c>
      <c r="G670">
        <v>1</v>
      </c>
    </row>
    <row r="671" spans="1:7" x14ac:dyDescent="0.35">
      <c r="A671" s="17">
        <v>45859</v>
      </c>
      <c r="B671">
        <v>6.157033369043388E-3</v>
      </c>
      <c r="C671">
        <v>1</v>
      </c>
      <c r="D671">
        <v>0</v>
      </c>
      <c r="E671">
        <v>0</v>
      </c>
      <c r="F671">
        <v>0</v>
      </c>
      <c r="G671">
        <v>0</v>
      </c>
    </row>
    <row r="672" spans="1:7" x14ac:dyDescent="0.35">
      <c r="A672" s="17">
        <v>45861</v>
      </c>
      <c r="B672">
        <v>-4.0106744962040393E-3</v>
      </c>
      <c r="C672">
        <v>0</v>
      </c>
      <c r="D672">
        <v>0</v>
      </c>
      <c r="E672">
        <v>1</v>
      </c>
      <c r="F672">
        <v>0</v>
      </c>
      <c r="G672">
        <v>0</v>
      </c>
    </row>
    <row r="673" spans="1:7" x14ac:dyDescent="0.35">
      <c r="A673" s="17">
        <v>45862</v>
      </c>
      <c r="B673">
        <v>2.2152349403934909E-3</v>
      </c>
      <c r="C673">
        <v>0</v>
      </c>
      <c r="D673">
        <v>0</v>
      </c>
      <c r="E673">
        <v>0</v>
      </c>
      <c r="F673">
        <v>1</v>
      </c>
      <c r="G673">
        <v>0</v>
      </c>
    </row>
    <row r="674" spans="1:7" x14ac:dyDescent="0.35">
      <c r="A674" s="17">
        <v>45863</v>
      </c>
      <c r="B674">
        <v>8.5105725619174823E-3</v>
      </c>
      <c r="C674">
        <v>0</v>
      </c>
      <c r="D674">
        <v>0</v>
      </c>
      <c r="E674">
        <v>0</v>
      </c>
      <c r="F674">
        <v>0</v>
      </c>
      <c r="G674">
        <v>1</v>
      </c>
    </row>
    <row r="675" spans="1:7" x14ac:dyDescent="0.35">
      <c r="A675" s="17">
        <v>45867</v>
      </c>
      <c r="B675">
        <v>-1.1021592798665311E-3</v>
      </c>
      <c r="C675">
        <v>0</v>
      </c>
      <c r="D675">
        <v>1</v>
      </c>
      <c r="E675">
        <v>0</v>
      </c>
      <c r="F675">
        <v>0</v>
      </c>
      <c r="G675">
        <v>0</v>
      </c>
    </row>
    <row r="676" spans="1:7" x14ac:dyDescent="0.35">
      <c r="A676" s="17">
        <v>45869</v>
      </c>
      <c r="B676">
        <v>4.2808248691418582E-3</v>
      </c>
      <c r="C676">
        <v>0</v>
      </c>
      <c r="D676">
        <v>0</v>
      </c>
      <c r="E676">
        <v>0</v>
      </c>
      <c r="F676">
        <v>1</v>
      </c>
      <c r="G676">
        <v>0</v>
      </c>
    </row>
    <row r="677" spans="1:7" x14ac:dyDescent="0.35">
      <c r="A677" s="17">
        <v>45876</v>
      </c>
      <c r="B677">
        <v>1.180397158604898E-2</v>
      </c>
      <c r="C677">
        <v>0</v>
      </c>
      <c r="D677">
        <v>0</v>
      </c>
      <c r="E677">
        <v>0</v>
      </c>
      <c r="F677">
        <v>1</v>
      </c>
      <c r="G677">
        <v>0</v>
      </c>
    </row>
    <row r="678" spans="1:7" x14ac:dyDescent="0.35">
      <c r="A678" s="17">
        <v>45877</v>
      </c>
      <c r="B678">
        <v>1.1583255122836839E-2</v>
      </c>
      <c r="C678">
        <v>0</v>
      </c>
      <c r="D678">
        <v>0</v>
      </c>
      <c r="E678">
        <v>0</v>
      </c>
      <c r="F678">
        <v>0</v>
      </c>
      <c r="G678">
        <v>1</v>
      </c>
    </row>
    <row r="679" spans="1:7" x14ac:dyDescent="0.35">
      <c r="A679" s="17">
        <v>45880</v>
      </c>
      <c r="B679">
        <v>-1.7748136680574901E-3</v>
      </c>
      <c r="C679">
        <v>1</v>
      </c>
      <c r="D679">
        <v>0</v>
      </c>
      <c r="E679">
        <v>0</v>
      </c>
      <c r="F679">
        <v>0</v>
      </c>
      <c r="G679">
        <v>0</v>
      </c>
    </row>
    <row r="680" spans="1:7" x14ac:dyDescent="0.35">
      <c r="A680" s="17">
        <v>45881</v>
      </c>
      <c r="B680">
        <v>-4.1971405444466139E-3</v>
      </c>
      <c r="C680">
        <v>0</v>
      </c>
      <c r="D680">
        <v>1</v>
      </c>
      <c r="E680">
        <v>0</v>
      </c>
      <c r="F680">
        <v>0</v>
      </c>
      <c r="G680">
        <v>0</v>
      </c>
    </row>
    <row r="681" spans="1:7" x14ac:dyDescent="0.35">
      <c r="A681" s="17">
        <v>45882</v>
      </c>
      <c r="B681">
        <v>2.8869735048709442E-3</v>
      </c>
      <c r="C681">
        <v>0</v>
      </c>
      <c r="D681">
        <v>0</v>
      </c>
      <c r="E681">
        <v>1</v>
      </c>
      <c r="F681">
        <v>0</v>
      </c>
      <c r="G681">
        <v>0</v>
      </c>
    </row>
    <row r="682" spans="1:7" x14ac:dyDescent="0.35">
      <c r="A682" s="17">
        <v>45884</v>
      </c>
      <c r="B682">
        <v>-3.226406774184308E-3</v>
      </c>
      <c r="C682">
        <v>0</v>
      </c>
      <c r="D682">
        <v>0</v>
      </c>
      <c r="E682">
        <v>0</v>
      </c>
      <c r="F682">
        <v>0</v>
      </c>
      <c r="G682">
        <v>1</v>
      </c>
    </row>
    <row r="683" spans="1:7" x14ac:dyDescent="0.35">
      <c r="A683" s="17">
        <v>45888</v>
      </c>
      <c r="B683">
        <v>-1.4078654818501294E-2</v>
      </c>
      <c r="C683">
        <v>0</v>
      </c>
      <c r="D683">
        <v>1</v>
      </c>
      <c r="E683">
        <v>0</v>
      </c>
      <c r="F683">
        <v>0</v>
      </c>
      <c r="G683">
        <v>0</v>
      </c>
    </row>
    <row r="684" spans="1:7" x14ac:dyDescent="0.35">
      <c r="A684" s="17">
        <v>45891</v>
      </c>
      <c r="B684">
        <v>1.1983157254868343E-2</v>
      </c>
      <c r="C684">
        <v>0</v>
      </c>
      <c r="D684">
        <v>0</v>
      </c>
      <c r="E684">
        <v>0</v>
      </c>
      <c r="F684">
        <v>0</v>
      </c>
      <c r="G684">
        <v>1</v>
      </c>
    </row>
    <row r="685" spans="1:7" x14ac:dyDescent="0.35">
      <c r="A685" s="17">
        <v>45895</v>
      </c>
      <c r="B685">
        <v>4.4060933877221641E-3</v>
      </c>
      <c r="C685">
        <v>0</v>
      </c>
      <c r="D685">
        <v>1</v>
      </c>
      <c r="E685">
        <v>0</v>
      </c>
      <c r="F685">
        <v>0</v>
      </c>
      <c r="G685">
        <v>0</v>
      </c>
    </row>
    <row r="686" spans="1:7" x14ac:dyDescent="0.35">
      <c r="A686" s="17">
        <v>45896</v>
      </c>
      <c r="B686">
        <v>8.0905688848312823E-3</v>
      </c>
      <c r="C686">
        <v>0</v>
      </c>
      <c r="D686">
        <v>0</v>
      </c>
      <c r="E686">
        <v>1</v>
      </c>
      <c r="F686">
        <v>0</v>
      </c>
      <c r="G686">
        <v>0</v>
      </c>
    </row>
    <row r="687" spans="1:7" x14ac:dyDescent="0.35">
      <c r="A687" s="17">
        <v>45898</v>
      </c>
      <c r="B687">
        <v>-9.8031911613826236E-3</v>
      </c>
      <c r="C687">
        <v>0</v>
      </c>
      <c r="D687">
        <v>0</v>
      </c>
      <c r="E687">
        <v>0</v>
      </c>
      <c r="F687">
        <v>0</v>
      </c>
      <c r="G687">
        <v>1</v>
      </c>
    </row>
    <row r="688" spans="1:7" x14ac:dyDescent="0.35">
      <c r="A688" s="17">
        <v>45901</v>
      </c>
      <c r="B688">
        <v>1.362819508834978E-2</v>
      </c>
      <c r="C688">
        <v>1</v>
      </c>
      <c r="D688">
        <v>0</v>
      </c>
      <c r="E688">
        <v>0</v>
      </c>
      <c r="F688">
        <v>0</v>
      </c>
      <c r="G688">
        <v>0</v>
      </c>
    </row>
    <row r="689" spans="1:7" x14ac:dyDescent="0.35">
      <c r="A689" s="17">
        <v>45903</v>
      </c>
      <c r="B689">
        <v>6.420111825889766E-5</v>
      </c>
      <c r="C689">
        <v>0</v>
      </c>
      <c r="D689">
        <v>0</v>
      </c>
      <c r="E689">
        <v>1</v>
      </c>
      <c r="F689">
        <v>0</v>
      </c>
      <c r="G689">
        <v>0</v>
      </c>
    </row>
    <row r="690" spans="1:7" x14ac:dyDescent="0.35">
      <c r="A690" s="17">
        <v>45908</v>
      </c>
      <c r="B690">
        <v>-1.2536582894829579E-2</v>
      </c>
      <c r="C690">
        <v>1</v>
      </c>
      <c r="D690">
        <v>0</v>
      </c>
      <c r="E690">
        <v>0</v>
      </c>
      <c r="F690">
        <v>0</v>
      </c>
      <c r="G690">
        <v>0</v>
      </c>
    </row>
    <row r="691" spans="1:7" x14ac:dyDescent="0.35">
      <c r="A691" s="17">
        <v>45909</v>
      </c>
      <c r="B691">
        <v>-2.5766183948503451E-2</v>
      </c>
      <c r="C691">
        <v>0</v>
      </c>
      <c r="D691">
        <v>1</v>
      </c>
      <c r="E691">
        <v>0</v>
      </c>
      <c r="F691">
        <v>0</v>
      </c>
      <c r="G691">
        <v>0</v>
      </c>
    </row>
    <row r="692" spans="1:7" x14ac:dyDescent="0.35">
      <c r="A692" s="17">
        <v>45911</v>
      </c>
      <c r="B692">
        <v>2.4200645576057452E-2</v>
      </c>
      <c r="C692">
        <v>0</v>
      </c>
      <c r="D692">
        <v>0</v>
      </c>
      <c r="E692">
        <v>0</v>
      </c>
      <c r="F692">
        <v>1</v>
      </c>
      <c r="G692">
        <v>0</v>
      </c>
    </row>
    <row r="693" spans="1:7" x14ac:dyDescent="0.35">
      <c r="A693" s="17">
        <v>45912</v>
      </c>
      <c r="B693">
        <v>-2.2037381356582392E-3</v>
      </c>
      <c r="C693">
        <v>0</v>
      </c>
      <c r="D693">
        <v>0</v>
      </c>
      <c r="E693">
        <v>0</v>
      </c>
      <c r="F693">
        <v>0</v>
      </c>
      <c r="G693">
        <v>1</v>
      </c>
    </row>
    <row r="694" spans="1:7" x14ac:dyDescent="0.35">
      <c r="A694" s="17">
        <v>45915</v>
      </c>
      <c r="B694">
        <v>-5.5901793674118048E-3</v>
      </c>
      <c r="C694">
        <v>1</v>
      </c>
      <c r="D694">
        <v>0</v>
      </c>
      <c r="E694">
        <v>0</v>
      </c>
      <c r="F694">
        <v>0</v>
      </c>
      <c r="G694">
        <v>0</v>
      </c>
    </row>
    <row r="695" spans="1:7" x14ac:dyDescent="0.35">
      <c r="A695" s="17">
        <v>45916</v>
      </c>
      <c r="B695">
        <v>7.0120522087628655E-4</v>
      </c>
      <c r="C695">
        <v>0</v>
      </c>
      <c r="D695">
        <v>1</v>
      </c>
      <c r="E695">
        <v>0</v>
      </c>
      <c r="F695">
        <v>0</v>
      </c>
      <c r="G695">
        <v>0</v>
      </c>
    </row>
    <row r="696" spans="1:7" x14ac:dyDescent="0.35">
      <c r="A696" s="17">
        <v>45917</v>
      </c>
      <c r="B696">
        <v>-6.3592142376619944E-3</v>
      </c>
      <c r="C696">
        <v>0</v>
      </c>
      <c r="D696">
        <v>0</v>
      </c>
      <c r="E696">
        <v>1</v>
      </c>
      <c r="F696">
        <v>0</v>
      </c>
      <c r="G696">
        <v>0</v>
      </c>
    </row>
    <row r="697" spans="1:7" x14ac:dyDescent="0.35">
      <c r="A697" s="17">
        <v>45918</v>
      </c>
      <c r="B697">
        <v>7.6403681101572434E-3</v>
      </c>
      <c r="C697">
        <v>0</v>
      </c>
      <c r="D697">
        <v>0</v>
      </c>
      <c r="E697">
        <v>0</v>
      </c>
      <c r="F697">
        <v>1</v>
      </c>
      <c r="G697">
        <v>0</v>
      </c>
    </row>
    <row r="698" spans="1:7" x14ac:dyDescent="0.35">
      <c r="A698" s="17">
        <v>45919</v>
      </c>
      <c r="B698">
        <v>8.2931951030810261E-3</v>
      </c>
      <c r="C698">
        <v>0</v>
      </c>
      <c r="D698">
        <v>0</v>
      </c>
      <c r="E698">
        <v>0</v>
      </c>
      <c r="F698">
        <v>0</v>
      </c>
      <c r="G698">
        <v>1</v>
      </c>
    </row>
    <row r="699" spans="1:7" x14ac:dyDescent="0.35">
      <c r="A699" s="17">
        <v>45923</v>
      </c>
      <c r="B699">
        <v>-1.0093355731197214E-2</v>
      </c>
      <c r="C699">
        <v>0</v>
      </c>
      <c r="D699">
        <v>1</v>
      </c>
      <c r="E699">
        <v>0</v>
      </c>
      <c r="F699">
        <v>0</v>
      </c>
      <c r="G699">
        <v>0</v>
      </c>
    </row>
    <row r="700" spans="1:7" x14ac:dyDescent="0.35">
      <c r="A700" s="17">
        <v>45924</v>
      </c>
      <c r="B700">
        <v>-2.0507863979339427E-4</v>
      </c>
      <c r="C700">
        <v>0</v>
      </c>
      <c r="D700">
        <v>0</v>
      </c>
      <c r="E700">
        <v>1</v>
      </c>
      <c r="F700">
        <v>0</v>
      </c>
      <c r="G700">
        <v>0</v>
      </c>
    </row>
    <row r="701" spans="1:7" x14ac:dyDescent="0.35">
      <c r="A701" s="17">
        <v>45925</v>
      </c>
      <c r="B701">
        <v>-1.2582105837909367E-2</v>
      </c>
      <c r="C701">
        <v>0</v>
      </c>
      <c r="D701">
        <v>0</v>
      </c>
      <c r="E701">
        <v>0</v>
      </c>
      <c r="F701">
        <v>1</v>
      </c>
      <c r="G701">
        <v>0</v>
      </c>
    </row>
    <row r="702" spans="1:7" x14ac:dyDescent="0.35">
      <c r="A702" s="17">
        <v>45926</v>
      </c>
      <c r="B702">
        <v>-5.6025342963156302E-3</v>
      </c>
      <c r="C702">
        <v>0</v>
      </c>
      <c r="D702">
        <v>0</v>
      </c>
      <c r="E702">
        <v>0</v>
      </c>
      <c r="F702">
        <v>0</v>
      </c>
      <c r="G702">
        <v>1</v>
      </c>
    </row>
    <row r="703" spans="1:7" x14ac:dyDescent="0.35">
      <c r="A703" s="17">
        <v>45929</v>
      </c>
      <c r="B703">
        <v>-2.3314636284751663E-2</v>
      </c>
      <c r="C703">
        <v>1</v>
      </c>
      <c r="D703">
        <v>0</v>
      </c>
      <c r="E703">
        <v>0</v>
      </c>
      <c r="F703">
        <v>0</v>
      </c>
      <c r="G703">
        <v>0</v>
      </c>
    </row>
    <row r="704" spans="1:7" x14ac:dyDescent="0.35">
      <c r="A704" s="17">
        <v>45930</v>
      </c>
      <c r="B704">
        <v>1.3187955559753051E-2</v>
      </c>
      <c r="C704">
        <v>0</v>
      </c>
      <c r="D704">
        <v>1</v>
      </c>
      <c r="E704">
        <v>0</v>
      </c>
      <c r="F704">
        <v>0</v>
      </c>
      <c r="G704">
        <v>0</v>
      </c>
    </row>
    <row r="705" spans="1:7" x14ac:dyDescent="0.35">
      <c r="A705" s="17">
        <v>45931</v>
      </c>
      <c r="B705">
        <v>-3.6831912637068601E-2</v>
      </c>
      <c r="C705">
        <v>0</v>
      </c>
      <c r="D705">
        <v>0</v>
      </c>
      <c r="E705">
        <v>1</v>
      </c>
      <c r="F705">
        <v>0</v>
      </c>
      <c r="G705">
        <v>0</v>
      </c>
    </row>
    <row r="706" spans="1:7" x14ac:dyDescent="0.35">
      <c r="A706" s="17">
        <v>45932</v>
      </c>
      <c r="B706">
        <v>3.0048001614068555E-3</v>
      </c>
      <c r="C706">
        <v>0</v>
      </c>
      <c r="D706">
        <v>0</v>
      </c>
      <c r="E706">
        <v>0</v>
      </c>
      <c r="F706">
        <v>1</v>
      </c>
      <c r="G706">
        <v>0</v>
      </c>
    </row>
    <row r="707" spans="1:7" x14ac:dyDescent="0.35">
      <c r="A707" s="17">
        <v>45933</v>
      </c>
      <c r="B707">
        <v>2.3525635595340648E-2</v>
      </c>
      <c r="C707">
        <v>0</v>
      </c>
      <c r="D707">
        <v>0</v>
      </c>
      <c r="E707">
        <v>0</v>
      </c>
      <c r="F707">
        <v>0</v>
      </c>
      <c r="G707">
        <v>1</v>
      </c>
    </row>
    <row r="708" spans="1:7" x14ac:dyDescent="0.35">
      <c r="A708" s="17">
        <v>45938</v>
      </c>
      <c r="B708">
        <v>6.0603905414633808E-3</v>
      </c>
      <c r="C708">
        <v>0</v>
      </c>
      <c r="D708">
        <v>0</v>
      </c>
      <c r="E708">
        <v>1</v>
      </c>
      <c r="F708">
        <v>0</v>
      </c>
      <c r="G708">
        <v>0</v>
      </c>
    </row>
    <row r="709" spans="1:7" x14ac:dyDescent="0.35">
      <c r="A709" s="17">
        <v>45939</v>
      </c>
      <c r="B709">
        <v>-1.4763790190602312E-2</v>
      </c>
      <c r="C709">
        <v>0</v>
      </c>
      <c r="D709">
        <v>0</v>
      </c>
      <c r="E709">
        <v>0</v>
      </c>
      <c r="F709">
        <v>1</v>
      </c>
      <c r="G709">
        <v>0</v>
      </c>
    </row>
    <row r="710" spans="1:7" x14ac:dyDescent="0.35">
      <c r="A710" s="17">
        <v>45940</v>
      </c>
      <c r="B710">
        <v>-4.988828513098913E-3</v>
      </c>
      <c r="C710">
        <v>0</v>
      </c>
      <c r="D710">
        <v>0</v>
      </c>
      <c r="E710">
        <v>0</v>
      </c>
      <c r="F710">
        <v>0</v>
      </c>
      <c r="G710">
        <v>1</v>
      </c>
    </row>
    <row r="711" spans="1:7" x14ac:dyDescent="0.35">
      <c r="A711" s="17">
        <v>45943</v>
      </c>
      <c r="B711">
        <v>4.486712695843692E-3</v>
      </c>
      <c r="C711">
        <v>1</v>
      </c>
      <c r="D711">
        <v>0</v>
      </c>
      <c r="E711">
        <v>0</v>
      </c>
      <c r="F711">
        <v>0</v>
      </c>
      <c r="G711">
        <v>0</v>
      </c>
    </row>
    <row r="712" spans="1:7" x14ac:dyDescent="0.35">
      <c r="A712" s="17">
        <v>45944</v>
      </c>
      <c r="B712">
        <v>-2.2027591445910412E-2</v>
      </c>
      <c r="C712">
        <v>0</v>
      </c>
      <c r="D712">
        <v>1</v>
      </c>
      <c r="E712">
        <v>0</v>
      </c>
      <c r="F712">
        <v>0</v>
      </c>
      <c r="G712">
        <v>0</v>
      </c>
    </row>
    <row r="713" spans="1:7" x14ac:dyDescent="0.35">
      <c r="A713" s="17">
        <v>45945</v>
      </c>
      <c r="B713">
        <v>-3.3601604154758669E-3</v>
      </c>
      <c r="C713">
        <v>0</v>
      </c>
      <c r="D713">
        <v>0</v>
      </c>
      <c r="E713">
        <v>1</v>
      </c>
      <c r="F713">
        <v>0</v>
      </c>
      <c r="G713">
        <v>0</v>
      </c>
    </row>
    <row r="714" spans="1:7" x14ac:dyDescent="0.35">
      <c r="A714" s="17">
        <v>45946</v>
      </c>
      <c r="B714">
        <v>1.2249536841839341E-2</v>
      </c>
      <c r="C714">
        <v>0</v>
      </c>
      <c r="D714">
        <v>0</v>
      </c>
      <c r="E714">
        <v>0</v>
      </c>
      <c r="F714">
        <v>1</v>
      </c>
      <c r="G714">
        <v>0</v>
      </c>
    </row>
    <row r="715" spans="1:7" x14ac:dyDescent="0.35">
      <c r="A715" s="17">
        <v>45947</v>
      </c>
      <c r="B715">
        <v>-5.7115192605566173E-4</v>
      </c>
      <c r="C715">
        <v>0</v>
      </c>
      <c r="D715">
        <v>0</v>
      </c>
      <c r="E715">
        <v>0</v>
      </c>
      <c r="F715">
        <v>0</v>
      </c>
      <c r="G715">
        <v>1</v>
      </c>
    </row>
    <row r="716" spans="1:7" x14ac:dyDescent="0.35">
      <c r="A716" s="17">
        <v>45950</v>
      </c>
      <c r="B716">
        <v>2.8479369414211968E-2</v>
      </c>
      <c r="C716">
        <v>1</v>
      </c>
      <c r="D716">
        <v>0</v>
      </c>
      <c r="E716">
        <v>0</v>
      </c>
      <c r="F716">
        <v>0</v>
      </c>
      <c r="G716">
        <v>0</v>
      </c>
    </row>
    <row r="717" spans="1:7" x14ac:dyDescent="0.35">
      <c r="A717" s="17">
        <v>45951</v>
      </c>
      <c r="B717">
        <v>2.0774342807251458E-2</v>
      </c>
      <c r="C717">
        <v>0</v>
      </c>
      <c r="D717">
        <v>1</v>
      </c>
      <c r="E717">
        <v>0</v>
      </c>
      <c r="F717">
        <v>0</v>
      </c>
      <c r="G717">
        <v>0</v>
      </c>
    </row>
    <row r="718" spans="1:7" x14ac:dyDescent="0.35">
      <c r="A718" s="17">
        <v>45952</v>
      </c>
      <c r="B718">
        <v>3.4970101258107078E-3</v>
      </c>
      <c r="C718">
        <v>0</v>
      </c>
      <c r="D718">
        <v>0</v>
      </c>
      <c r="E718">
        <v>1</v>
      </c>
      <c r="F718">
        <v>0</v>
      </c>
      <c r="G718">
        <v>0</v>
      </c>
    </row>
    <row r="719" spans="1:7" x14ac:dyDescent="0.35">
      <c r="A719" s="17">
        <v>45953</v>
      </c>
      <c r="B719">
        <v>-2.3957404904464243E-3</v>
      </c>
      <c r="C719">
        <v>0</v>
      </c>
      <c r="D719">
        <v>0</v>
      </c>
      <c r="E719">
        <v>0</v>
      </c>
      <c r="F719">
        <v>1</v>
      </c>
      <c r="G719">
        <v>0</v>
      </c>
    </row>
    <row r="720" spans="1:7" x14ac:dyDescent="0.35">
      <c r="A720" s="17">
        <v>45954</v>
      </c>
      <c r="B720">
        <v>4.1399210918216843E-3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 x14ac:dyDescent="0.35">
      <c r="A721" s="17">
        <v>45957</v>
      </c>
      <c r="B721">
        <v>-2.7991870799608815E-3</v>
      </c>
      <c r="C721">
        <v>1</v>
      </c>
      <c r="D721">
        <v>0</v>
      </c>
      <c r="E721">
        <v>0</v>
      </c>
      <c r="F721">
        <v>0</v>
      </c>
      <c r="G721">
        <v>0</v>
      </c>
    </row>
    <row r="722" spans="1:7" x14ac:dyDescent="0.35">
      <c r="A722" s="17">
        <v>45958</v>
      </c>
      <c r="B722">
        <v>9.7476350704657697E-3</v>
      </c>
      <c r="C722">
        <v>0</v>
      </c>
      <c r="D722">
        <v>1</v>
      </c>
      <c r="E722">
        <v>0</v>
      </c>
      <c r="F722">
        <v>0</v>
      </c>
      <c r="G722">
        <v>0</v>
      </c>
    </row>
    <row r="723" spans="1:7" x14ac:dyDescent="0.35">
      <c r="A723" s="17">
        <v>45959</v>
      </c>
      <c r="B723">
        <v>-6.2382516489562889E-4</v>
      </c>
      <c r="C723">
        <v>0</v>
      </c>
      <c r="D723">
        <v>0</v>
      </c>
      <c r="E723">
        <v>1</v>
      </c>
      <c r="F723">
        <v>0</v>
      </c>
      <c r="G723">
        <v>0</v>
      </c>
    </row>
    <row r="724" spans="1:7" x14ac:dyDescent="0.35">
      <c r="A724" s="17">
        <v>45960</v>
      </c>
      <c r="B724">
        <v>1.648007296098112E-4</v>
      </c>
      <c r="C724">
        <v>0</v>
      </c>
      <c r="D724">
        <v>0</v>
      </c>
      <c r="E724">
        <v>0</v>
      </c>
      <c r="F724">
        <v>1</v>
      </c>
      <c r="G724">
        <v>0</v>
      </c>
    </row>
    <row r="725" spans="1:7" x14ac:dyDescent="0.35">
      <c r="A725" s="17">
        <v>45961</v>
      </c>
      <c r="B725">
        <v>5.7989280190900837E-3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 x14ac:dyDescent="0.35">
      <c r="A726" s="17">
        <v>45964</v>
      </c>
      <c r="B726">
        <v>1.9761971608167801E-4</v>
      </c>
      <c r="C726">
        <v>1</v>
      </c>
      <c r="D726">
        <v>0</v>
      </c>
      <c r="E726">
        <v>0</v>
      </c>
      <c r="F726">
        <v>0</v>
      </c>
      <c r="G726">
        <v>0</v>
      </c>
    </row>
    <row r="727" spans="1:7" x14ac:dyDescent="0.35">
      <c r="A727" s="17">
        <v>45965</v>
      </c>
      <c r="B727">
        <v>-1.4634905277048276E-3</v>
      </c>
      <c r="C727">
        <v>0</v>
      </c>
      <c r="D727">
        <v>1</v>
      </c>
      <c r="E727">
        <v>0</v>
      </c>
      <c r="F727">
        <v>0</v>
      </c>
      <c r="G727">
        <v>0</v>
      </c>
    </row>
    <row r="728" spans="1:7" x14ac:dyDescent="0.35">
      <c r="A728" s="17">
        <v>45966</v>
      </c>
      <c r="B728">
        <v>-7.6731928043580833E-3</v>
      </c>
      <c r="C728">
        <v>0</v>
      </c>
      <c r="D728">
        <v>0</v>
      </c>
      <c r="E728">
        <v>1</v>
      </c>
      <c r="F728">
        <v>0</v>
      </c>
      <c r="G728">
        <v>0</v>
      </c>
    </row>
    <row r="729" spans="1:7" x14ac:dyDescent="0.35">
      <c r="A729" s="17">
        <v>45968</v>
      </c>
      <c r="B729">
        <v>-8.2344131004873332E-3</v>
      </c>
      <c r="C729">
        <v>0</v>
      </c>
      <c r="D729">
        <v>0</v>
      </c>
      <c r="E729">
        <v>0</v>
      </c>
      <c r="F729">
        <v>0</v>
      </c>
      <c r="G729">
        <v>1</v>
      </c>
    </row>
    <row r="730" spans="1:7" x14ac:dyDescent="0.35">
      <c r="A730" s="17">
        <v>45971</v>
      </c>
      <c r="B730">
        <v>-4.968786029156254E-3</v>
      </c>
      <c r="C730">
        <v>1</v>
      </c>
      <c r="D730">
        <v>0</v>
      </c>
      <c r="E730">
        <v>0</v>
      </c>
      <c r="F730">
        <v>0</v>
      </c>
      <c r="G730">
        <v>0</v>
      </c>
    </row>
    <row r="731" spans="1:7" x14ac:dyDescent="0.35">
      <c r="A731" s="17">
        <v>45972</v>
      </c>
      <c r="B731">
        <v>-2.8779047708420886E-2</v>
      </c>
      <c r="C731">
        <v>0</v>
      </c>
      <c r="D731">
        <v>1</v>
      </c>
      <c r="E731">
        <v>0</v>
      </c>
      <c r="F731">
        <v>0</v>
      </c>
      <c r="G731">
        <v>0</v>
      </c>
    </row>
    <row r="732" spans="1:7" x14ac:dyDescent="0.35">
      <c r="A732" s="17">
        <v>45973</v>
      </c>
      <c r="B732">
        <v>5.6576818871912939E-3</v>
      </c>
      <c r="C732">
        <v>0</v>
      </c>
      <c r="D732">
        <v>0</v>
      </c>
      <c r="E732">
        <v>1</v>
      </c>
      <c r="F732">
        <v>0</v>
      </c>
      <c r="G732">
        <v>0</v>
      </c>
    </row>
    <row r="733" spans="1:7" x14ac:dyDescent="0.35">
      <c r="A733" s="17">
        <v>45974</v>
      </c>
      <c r="B733">
        <v>5.2305114837737218E-3</v>
      </c>
      <c r="C733">
        <v>0</v>
      </c>
      <c r="D733">
        <v>0</v>
      </c>
      <c r="E733">
        <v>0</v>
      </c>
      <c r="F733">
        <v>1</v>
      </c>
      <c r="G733">
        <v>0</v>
      </c>
    </row>
    <row r="734" spans="1:7" x14ac:dyDescent="0.35">
      <c r="A734" s="17">
        <v>45975</v>
      </c>
      <c r="B734">
        <v>-9.3837219001995601E-3</v>
      </c>
      <c r="C734">
        <v>0</v>
      </c>
      <c r="D734">
        <v>0</v>
      </c>
      <c r="E734">
        <v>0</v>
      </c>
      <c r="F734">
        <v>0</v>
      </c>
      <c r="G734">
        <v>1</v>
      </c>
    </row>
    <row r="735" spans="1:7" x14ac:dyDescent="0.35">
      <c r="A735" s="17">
        <v>45978</v>
      </c>
      <c r="B735">
        <v>-6.3577220486980245E-3</v>
      </c>
      <c r="C735">
        <v>1</v>
      </c>
      <c r="D735">
        <v>0</v>
      </c>
      <c r="E735">
        <v>0</v>
      </c>
      <c r="F735">
        <v>0</v>
      </c>
      <c r="G735">
        <v>0</v>
      </c>
    </row>
    <row r="736" spans="1:7" x14ac:dyDescent="0.35">
      <c r="A736" s="17">
        <v>45980</v>
      </c>
      <c r="B736">
        <v>-1.5951903159636321E-2</v>
      </c>
      <c r="C736">
        <v>0</v>
      </c>
      <c r="D736">
        <v>0</v>
      </c>
      <c r="E736">
        <v>1</v>
      </c>
      <c r="F736">
        <v>0</v>
      </c>
      <c r="G736">
        <v>0</v>
      </c>
    </row>
    <row r="737" spans="1:7" x14ac:dyDescent="0.35">
      <c r="A737" s="17">
        <v>45981</v>
      </c>
      <c r="B737">
        <v>-5.8860096730499892E-3</v>
      </c>
      <c r="C737">
        <v>0</v>
      </c>
      <c r="D737">
        <v>0</v>
      </c>
      <c r="E737">
        <v>0</v>
      </c>
      <c r="F737">
        <v>1</v>
      </c>
      <c r="G737">
        <v>0</v>
      </c>
    </row>
    <row r="738" spans="1:7" x14ac:dyDescent="0.35">
      <c r="A738" s="17">
        <v>45982</v>
      </c>
      <c r="B738">
        <v>6.0493246593491682E-3</v>
      </c>
      <c r="C738">
        <v>0</v>
      </c>
      <c r="D738">
        <v>0</v>
      </c>
      <c r="E738">
        <v>0</v>
      </c>
      <c r="F738">
        <v>0</v>
      </c>
      <c r="G738">
        <v>1</v>
      </c>
    </row>
    <row r="739" spans="1:7" x14ac:dyDescent="0.35">
      <c r="A739" s="17">
        <v>45986</v>
      </c>
      <c r="B739">
        <v>5.8863030848871594E-4</v>
      </c>
      <c r="C739">
        <v>0</v>
      </c>
      <c r="D739">
        <v>1</v>
      </c>
      <c r="E739">
        <v>0</v>
      </c>
      <c r="F739">
        <v>0</v>
      </c>
      <c r="G739">
        <v>0</v>
      </c>
    </row>
    <row r="740" spans="1:7" x14ac:dyDescent="0.35">
      <c r="A740" s="17">
        <v>45987</v>
      </c>
      <c r="B740">
        <v>1.6500384859527576E-3</v>
      </c>
      <c r="C740">
        <v>0</v>
      </c>
      <c r="D740">
        <v>0</v>
      </c>
      <c r="E740">
        <v>1</v>
      </c>
      <c r="F740">
        <v>0</v>
      </c>
      <c r="G740">
        <v>0</v>
      </c>
    </row>
    <row r="741" spans="1:7" x14ac:dyDescent="0.35">
      <c r="A741" s="17">
        <v>45988</v>
      </c>
      <c r="B741">
        <v>9.3651426582949879E-3</v>
      </c>
      <c r="C741">
        <v>0</v>
      </c>
      <c r="D741">
        <v>0</v>
      </c>
      <c r="E741">
        <v>0</v>
      </c>
      <c r="F741">
        <v>1</v>
      </c>
      <c r="G741">
        <v>0</v>
      </c>
    </row>
    <row r="742" spans="1:7" x14ac:dyDescent="0.35">
      <c r="A742" s="17">
        <v>45992</v>
      </c>
      <c r="B742">
        <v>-6.1709581031743751E-3</v>
      </c>
      <c r="C742">
        <v>1</v>
      </c>
      <c r="D742">
        <v>0</v>
      </c>
      <c r="E742">
        <v>0</v>
      </c>
      <c r="F742">
        <v>0</v>
      </c>
      <c r="G742">
        <v>0</v>
      </c>
    </row>
    <row r="743" spans="1:7" x14ac:dyDescent="0.35">
      <c r="A743" s="17">
        <v>45993</v>
      </c>
      <c r="B743">
        <v>-5.5365340662967546E-3</v>
      </c>
      <c r="C743">
        <v>0</v>
      </c>
      <c r="D743">
        <v>1</v>
      </c>
      <c r="E743">
        <v>0</v>
      </c>
      <c r="F743">
        <v>0</v>
      </c>
      <c r="G743">
        <v>0</v>
      </c>
    </row>
    <row r="744" spans="1:7" x14ac:dyDescent="0.35">
      <c r="A744" s="17">
        <v>45994</v>
      </c>
      <c r="B744">
        <v>2.3345533480408636E-3</v>
      </c>
      <c r="C744">
        <v>0</v>
      </c>
      <c r="D744">
        <v>0</v>
      </c>
      <c r="E744">
        <v>1</v>
      </c>
      <c r="F744">
        <v>0</v>
      </c>
      <c r="G744">
        <v>0</v>
      </c>
    </row>
    <row r="745" spans="1:7" x14ac:dyDescent="0.35">
      <c r="A745" s="17">
        <v>45995</v>
      </c>
      <c r="B745">
        <v>-1.5748586506112979E-3</v>
      </c>
      <c r="C745">
        <v>0</v>
      </c>
      <c r="D745">
        <v>0</v>
      </c>
      <c r="E745">
        <v>0</v>
      </c>
      <c r="F745">
        <v>1</v>
      </c>
      <c r="G745">
        <v>0</v>
      </c>
    </row>
    <row r="746" spans="1:7" x14ac:dyDescent="0.35">
      <c r="A746" s="17">
        <v>45996</v>
      </c>
      <c r="B746">
        <v>7.2984819785114879E-3</v>
      </c>
      <c r="C746">
        <v>0</v>
      </c>
      <c r="D746">
        <v>0</v>
      </c>
      <c r="E746">
        <v>0</v>
      </c>
      <c r="F746">
        <v>0</v>
      </c>
      <c r="G746">
        <v>1</v>
      </c>
    </row>
    <row r="747" spans="1:7" x14ac:dyDescent="0.35">
      <c r="A747" s="17">
        <v>45999</v>
      </c>
      <c r="B747">
        <v>2.3876948070527672E-3</v>
      </c>
      <c r="C747">
        <v>1</v>
      </c>
      <c r="D747">
        <v>0</v>
      </c>
      <c r="E747">
        <v>0</v>
      </c>
      <c r="F747">
        <v>0</v>
      </c>
      <c r="G747">
        <v>0</v>
      </c>
    </row>
    <row r="748" spans="1:7" x14ac:dyDescent="0.35">
      <c r="A748" s="17">
        <v>46002</v>
      </c>
      <c r="B748">
        <v>-6.9611247802094465E-3</v>
      </c>
      <c r="C748">
        <v>0</v>
      </c>
      <c r="D748">
        <v>0</v>
      </c>
      <c r="E748">
        <v>0</v>
      </c>
      <c r="F748">
        <v>1</v>
      </c>
      <c r="G748">
        <v>0</v>
      </c>
    </row>
    <row r="749" spans="1:7" x14ac:dyDescent="0.35">
      <c r="A749" s="17">
        <v>46003</v>
      </c>
      <c r="B749">
        <v>3.8171131978510875E-3</v>
      </c>
      <c r="C749">
        <v>0</v>
      </c>
      <c r="D749">
        <v>0</v>
      </c>
      <c r="E749">
        <v>0</v>
      </c>
      <c r="F749">
        <v>0</v>
      </c>
      <c r="G749">
        <v>1</v>
      </c>
    </row>
    <row r="750" spans="1:7" x14ac:dyDescent="0.35">
      <c r="A750" s="17">
        <v>46006</v>
      </c>
      <c r="B750">
        <v>-5.1176652559300874E-3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35">
      <c r="A751" s="17">
        <v>46008</v>
      </c>
      <c r="B751">
        <v>3.4773876000215131E-3</v>
      </c>
      <c r="C751">
        <v>0</v>
      </c>
      <c r="D751">
        <v>0</v>
      </c>
      <c r="E751">
        <v>1</v>
      </c>
      <c r="F751">
        <v>0</v>
      </c>
      <c r="G751">
        <v>0</v>
      </c>
    </row>
    <row r="752" spans="1:7" x14ac:dyDescent="0.35">
      <c r="A752" s="17">
        <v>46009</v>
      </c>
      <c r="B752">
        <v>2.7348403821138376E-3</v>
      </c>
      <c r="C752">
        <v>0</v>
      </c>
      <c r="D752">
        <v>0</v>
      </c>
      <c r="E752">
        <v>0</v>
      </c>
      <c r="F752">
        <v>1</v>
      </c>
      <c r="G752">
        <v>0</v>
      </c>
    </row>
    <row r="753" spans="1:7" x14ac:dyDescent="0.35">
      <c r="A753" s="17">
        <v>46010</v>
      </c>
      <c r="B753">
        <v>-2.2262496453509012E-3</v>
      </c>
      <c r="C753">
        <v>0</v>
      </c>
      <c r="D753">
        <v>0</v>
      </c>
      <c r="E753">
        <v>0</v>
      </c>
      <c r="F753">
        <v>0</v>
      </c>
      <c r="G753">
        <v>1</v>
      </c>
    </row>
    <row r="754" spans="1:7" x14ac:dyDescent="0.35">
      <c r="A754" s="17">
        <v>46013</v>
      </c>
      <c r="B754">
        <v>-3.504419278308214E-5</v>
      </c>
      <c r="C754">
        <v>1</v>
      </c>
      <c r="D754">
        <v>0</v>
      </c>
      <c r="E754">
        <v>0</v>
      </c>
      <c r="F754">
        <v>0</v>
      </c>
      <c r="G754">
        <v>0</v>
      </c>
    </row>
    <row r="755" spans="1:7" x14ac:dyDescent="0.35">
      <c r="A755" s="17">
        <v>46014</v>
      </c>
      <c r="B755">
        <v>-4.547991820707387E-3</v>
      </c>
      <c r="C755">
        <v>0</v>
      </c>
      <c r="D755">
        <v>1</v>
      </c>
      <c r="E755">
        <v>0</v>
      </c>
      <c r="F755">
        <v>0</v>
      </c>
      <c r="G755">
        <v>0</v>
      </c>
    </row>
    <row r="756" spans="1:7" x14ac:dyDescent="0.35">
      <c r="A756" s="17">
        <v>46015</v>
      </c>
      <c r="B756">
        <v>-3.3066896573674838E-4</v>
      </c>
      <c r="C756">
        <v>0</v>
      </c>
      <c r="D756">
        <v>0</v>
      </c>
      <c r="E756">
        <v>1</v>
      </c>
      <c r="F756">
        <v>0</v>
      </c>
      <c r="G756">
        <v>0</v>
      </c>
    </row>
    <row r="757" spans="1:7" x14ac:dyDescent="0.35">
      <c r="A757" s="17">
        <v>46020</v>
      </c>
      <c r="B757">
        <v>-2.1713842632634942E-2</v>
      </c>
      <c r="C757">
        <v>1</v>
      </c>
      <c r="D757">
        <v>0</v>
      </c>
      <c r="E757">
        <v>0</v>
      </c>
      <c r="F757">
        <v>0</v>
      </c>
      <c r="G757">
        <v>0</v>
      </c>
    </row>
    <row r="758" spans="1:7" x14ac:dyDescent="0.35">
      <c r="A758" s="17">
        <v>46021</v>
      </c>
      <c r="B758">
        <v>2.0485620370015575E-3</v>
      </c>
      <c r="C758">
        <v>0</v>
      </c>
      <c r="D758">
        <v>1</v>
      </c>
      <c r="E758">
        <v>0</v>
      </c>
      <c r="F758">
        <v>0</v>
      </c>
      <c r="G758">
        <v>0</v>
      </c>
    </row>
    <row r="759" spans="1:7" x14ac:dyDescent="0.35">
      <c r="A759" s="17">
        <v>46022</v>
      </c>
      <c r="B759">
        <v>1.2265146513803928E-2</v>
      </c>
      <c r="C759">
        <v>0</v>
      </c>
      <c r="D759">
        <v>0</v>
      </c>
      <c r="E759">
        <v>1</v>
      </c>
      <c r="F759">
        <v>0</v>
      </c>
      <c r="G75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3D63-401C-447F-A9A5-C35BD226A9AA}">
  <sheetPr>
    <tabColor theme="8" tint="0.39997558519241921"/>
  </sheetPr>
  <dimension ref="A1:N759"/>
  <sheetViews>
    <sheetView workbookViewId="0">
      <selection activeCell="O4" sqref="O4"/>
    </sheetView>
  </sheetViews>
  <sheetFormatPr baseColWidth="10" defaultRowHeight="14.5" x14ac:dyDescent="0.35"/>
  <cols>
    <col min="1" max="1" width="10.453125" style="18" customWidth="1"/>
  </cols>
  <sheetData>
    <row r="1" spans="1:14" x14ac:dyDescent="0.35">
      <c r="A1" s="16" t="s">
        <v>0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  <c r="M1" s="15" t="s">
        <v>33</v>
      </c>
      <c r="N1" s="15" t="s">
        <v>34</v>
      </c>
    </row>
    <row r="2" spans="1:14" x14ac:dyDescent="0.35">
      <c r="A2" s="17">
        <v>43839</v>
      </c>
      <c r="B2" s="19"/>
      <c r="C2" s="19"/>
    </row>
    <row r="3" spans="1:14" x14ac:dyDescent="0.35">
      <c r="A3" s="17">
        <v>43840</v>
      </c>
      <c r="B3">
        <f>AVERAGE(Tableau2[[#This Row],[AWB]:[IAM]])</f>
        <v>-5.3028545805345164E-3</v>
      </c>
      <c r="C3">
        <f t="shared" ref="C3:C65" si="0">IF(MONTH(A3)=1,1,0)</f>
        <v>1</v>
      </c>
      <c r="D3">
        <f t="shared" ref="D3:D65" si="1">IF(MONTH(A3)=2,1,0)</f>
        <v>0</v>
      </c>
      <c r="E3">
        <f t="shared" ref="E3:E65" si="2">IF(MONTH(A3)=3,1,0)</f>
        <v>0</v>
      </c>
      <c r="F3">
        <f t="shared" ref="F3:F65" si="3">IF(MONTH(A3)=4,1,0)</f>
        <v>0</v>
      </c>
      <c r="G3">
        <f t="shared" ref="G3:G65" si="4">IF(MONTH(A3)=5,1,0)</f>
        <v>0</v>
      </c>
      <c r="H3">
        <f t="shared" ref="H3:H65" si="5">IF(MONTH(A3)=6,1,0)</f>
        <v>0</v>
      </c>
      <c r="I3">
        <f t="shared" ref="I3:I65" si="6">IF(MONTH(A3)=7,1,0)</f>
        <v>0</v>
      </c>
      <c r="J3">
        <f t="shared" ref="J3:J65" si="7">IF(MONTH(A3)=8,1,0)</f>
        <v>0</v>
      </c>
      <c r="K3">
        <f t="shared" ref="K3:K65" si="8">IF(MONTH(A3)=9,1,0)</f>
        <v>0</v>
      </c>
      <c r="L3">
        <f t="shared" ref="L3:L65" si="9">IF(MONTH(A3)=10,1,0)</f>
        <v>0</v>
      </c>
      <c r="M3">
        <f t="shared" ref="M3:M65" si="10">IF(MONTH(A3)=11,1,0)</f>
        <v>0</v>
      </c>
      <c r="N3">
        <f t="shared" ref="N3:N65" si="11">IF(MONTH(A3)=12,1,0)</f>
        <v>0</v>
      </c>
    </row>
    <row r="4" spans="1:14" x14ac:dyDescent="0.35">
      <c r="A4" s="17">
        <v>43844</v>
      </c>
      <c r="B4">
        <f>AVERAGE(Tableau2[[#This Row],[AWB]:[IAM]])</f>
        <v>-5.68360590771859E-3</v>
      </c>
      <c r="C4">
        <f t="shared" si="0"/>
        <v>1</v>
      </c>
      <c r="D4">
        <f t="shared" si="1"/>
        <v>0</v>
      </c>
      <c r="E4">
        <f t="shared" si="2"/>
        <v>0</v>
      </c>
      <c r="F4">
        <f t="shared" si="3"/>
        <v>0</v>
      </c>
      <c r="G4">
        <f t="shared" si="4"/>
        <v>0</v>
      </c>
      <c r="H4">
        <f t="shared" si="5"/>
        <v>0</v>
      </c>
      <c r="I4">
        <f t="shared" si="6"/>
        <v>0</v>
      </c>
      <c r="J4">
        <f t="shared" si="7"/>
        <v>0</v>
      </c>
      <c r="K4">
        <f t="shared" si="8"/>
        <v>0</v>
      </c>
      <c r="L4">
        <f t="shared" si="9"/>
        <v>0</v>
      </c>
      <c r="M4">
        <f t="shared" si="10"/>
        <v>0</v>
      </c>
      <c r="N4">
        <f t="shared" si="11"/>
        <v>0</v>
      </c>
    </row>
    <row r="5" spans="1:14" x14ac:dyDescent="0.35">
      <c r="A5" s="17">
        <v>43847</v>
      </c>
      <c r="B5">
        <f>AVERAGE(Tableau2[[#This Row],[AWB]:[IAM]])</f>
        <v>2.0262280668251514E-2</v>
      </c>
      <c r="C5">
        <f t="shared" si="0"/>
        <v>1</v>
      </c>
      <c r="D5">
        <f t="shared" si="1"/>
        <v>0</v>
      </c>
      <c r="E5">
        <f t="shared" si="2"/>
        <v>0</v>
      </c>
      <c r="F5">
        <f t="shared" si="3"/>
        <v>0</v>
      </c>
      <c r="G5">
        <f t="shared" si="4"/>
        <v>0</v>
      </c>
      <c r="H5">
        <f t="shared" si="5"/>
        <v>0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  <c r="M5">
        <f t="shared" si="10"/>
        <v>0</v>
      </c>
      <c r="N5">
        <f t="shared" si="11"/>
        <v>0</v>
      </c>
    </row>
    <row r="6" spans="1:14" x14ac:dyDescent="0.35">
      <c r="A6" s="17">
        <v>43852</v>
      </c>
      <c r="B6">
        <f>AVERAGE(Tableau2[[#This Row],[AWB]:[IAM]])</f>
        <v>5.1728568358782312E-3</v>
      </c>
      <c r="C6">
        <f t="shared" si="0"/>
        <v>1</v>
      </c>
      <c r="D6">
        <f t="shared" si="1"/>
        <v>0</v>
      </c>
      <c r="E6">
        <f t="shared" si="2"/>
        <v>0</v>
      </c>
      <c r="F6">
        <f t="shared" si="3"/>
        <v>0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8"/>
        <v>0</v>
      </c>
      <c r="L6">
        <f t="shared" si="9"/>
        <v>0</v>
      </c>
      <c r="M6">
        <f t="shared" si="10"/>
        <v>0</v>
      </c>
      <c r="N6">
        <f t="shared" si="11"/>
        <v>0</v>
      </c>
    </row>
    <row r="7" spans="1:14" x14ac:dyDescent="0.35">
      <c r="A7" s="17">
        <v>43853</v>
      </c>
      <c r="B7">
        <f>AVERAGE(Tableau2[[#This Row],[AWB]:[IAM]])</f>
        <v>-7.0559964827291233E-3</v>
      </c>
      <c r="C7">
        <f t="shared" si="0"/>
        <v>1</v>
      </c>
      <c r="D7">
        <f t="shared" si="1"/>
        <v>0</v>
      </c>
      <c r="E7">
        <f t="shared" si="2"/>
        <v>0</v>
      </c>
      <c r="F7">
        <f t="shared" si="3"/>
        <v>0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  <c r="M7">
        <f t="shared" si="10"/>
        <v>0</v>
      </c>
      <c r="N7">
        <f t="shared" si="11"/>
        <v>0</v>
      </c>
    </row>
    <row r="8" spans="1:14" x14ac:dyDescent="0.35">
      <c r="A8" s="17">
        <v>43858</v>
      </c>
      <c r="B8">
        <f>AVERAGE(Tableau2[[#This Row],[AWB]:[IAM]])</f>
        <v>-5.1790733152830637E-3</v>
      </c>
      <c r="C8">
        <f t="shared" si="0"/>
        <v>1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</row>
    <row r="9" spans="1:14" x14ac:dyDescent="0.35">
      <c r="A9" s="17">
        <v>43861</v>
      </c>
      <c r="B9">
        <f>AVERAGE(Tableau2[[#This Row],[AWB]:[IAM]])</f>
        <v>-1.4904226864752453E-3</v>
      </c>
      <c r="C9">
        <f t="shared" si="0"/>
        <v>1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0</v>
      </c>
    </row>
    <row r="10" spans="1:14" x14ac:dyDescent="0.35">
      <c r="A10" s="17">
        <v>43864</v>
      </c>
      <c r="B10">
        <f>AVERAGE(Tableau2[[#This Row],[AWB]:[IAM]])</f>
        <v>-2.5894900083622231E-3</v>
      </c>
      <c r="C10">
        <f t="shared" si="0"/>
        <v>0</v>
      </c>
      <c r="D10">
        <f t="shared" si="1"/>
        <v>1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0</v>
      </c>
      <c r="N10">
        <f t="shared" si="11"/>
        <v>0</v>
      </c>
    </row>
    <row r="11" spans="1:14" x14ac:dyDescent="0.35">
      <c r="A11" s="17">
        <v>43875</v>
      </c>
      <c r="B11">
        <f>AVERAGE(Tableau2[[#This Row],[AWB]:[IAM]])</f>
        <v>1.1926082008095449E-3</v>
      </c>
      <c r="C11">
        <f t="shared" si="0"/>
        <v>0</v>
      </c>
      <c r="D11">
        <f t="shared" si="1"/>
        <v>1</v>
      </c>
      <c r="E11">
        <f t="shared" si="2"/>
        <v>0</v>
      </c>
      <c r="F11">
        <f t="shared" si="3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0</v>
      </c>
    </row>
    <row r="12" spans="1:14" x14ac:dyDescent="0.35">
      <c r="A12" s="17">
        <v>43882</v>
      </c>
      <c r="B12">
        <f>AVERAGE(Tableau2[[#This Row],[AWB]:[IAM]])</f>
        <v>8.480841313402137E-3</v>
      </c>
      <c r="C12">
        <f t="shared" si="0"/>
        <v>0</v>
      </c>
      <c r="D12">
        <f t="shared" si="1"/>
        <v>1</v>
      </c>
      <c r="E12">
        <f t="shared" si="2"/>
        <v>0</v>
      </c>
      <c r="F12">
        <f t="shared" si="3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</row>
    <row r="13" spans="1:14" x14ac:dyDescent="0.35">
      <c r="A13" s="17">
        <v>43889</v>
      </c>
      <c r="B13">
        <f>AVERAGE(Tableau2[[#This Row],[AWB]:[IAM]])</f>
        <v>-3.8875600441375099E-2</v>
      </c>
      <c r="C13">
        <f t="shared" si="0"/>
        <v>0</v>
      </c>
      <c r="D13">
        <f t="shared" si="1"/>
        <v>1</v>
      </c>
      <c r="E13">
        <f t="shared" si="2"/>
        <v>0</v>
      </c>
      <c r="F13">
        <f t="shared" si="3"/>
        <v>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0</v>
      </c>
    </row>
    <row r="14" spans="1:14" x14ac:dyDescent="0.35">
      <c r="A14" s="17">
        <v>43893</v>
      </c>
      <c r="B14">
        <f>AVERAGE(Tableau2[[#This Row],[AWB]:[IAM]])</f>
        <v>-3.3950731517034628E-2</v>
      </c>
      <c r="C14">
        <f t="shared" si="0"/>
        <v>0</v>
      </c>
      <c r="D14">
        <f t="shared" si="1"/>
        <v>0</v>
      </c>
      <c r="E14">
        <f t="shared" si="2"/>
        <v>1</v>
      </c>
      <c r="F14">
        <f t="shared" si="3"/>
        <v>0</v>
      </c>
      <c r="G14">
        <f t="shared" si="4"/>
        <v>0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</row>
    <row r="15" spans="1:14" x14ac:dyDescent="0.35">
      <c r="A15" s="17">
        <v>43895</v>
      </c>
      <c r="B15">
        <f>AVERAGE(Tableau2[[#This Row],[AWB]:[IAM]])</f>
        <v>-9.7407340430000228E-3</v>
      </c>
      <c r="C15">
        <f t="shared" si="0"/>
        <v>0</v>
      </c>
      <c r="D15">
        <f t="shared" si="1"/>
        <v>0</v>
      </c>
      <c r="E15">
        <f t="shared" si="2"/>
        <v>1</v>
      </c>
      <c r="F15">
        <f t="shared" si="3"/>
        <v>0</v>
      </c>
      <c r="G15">
        <f t="shared" si="4"/>
        <v>0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</row>
    <row r="16" spans="1:14" x14ac:dyDescent="0.35">
      <c r="A16" s="17">
        <v>43896</v>
      </c>
      <c r="B16">
        <f>AVERAGE(Tableau2[[#This Row],[AWB]:[IAM]])</f>
        <v>-2.8196857706386035E-2</v>
      </c>
      <c r="C16">
        <f t="shared" si="0"/>
        <v>0</v>
      </c>
      <c r="D16">
        <f t="shared" si="1"/>
        <v>0</v>
      </c>
      <c r="E16">
        <f t="shared" si="2"/>
        <v>1</v>
      </c>
      <c r="F16">
        <f t="shared" si="3"/>
        <v>0</v>
      </c>
      <c r="G16">
        <f t="shared" si="4"/>
        <v>0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</row>
    <row r="17" spans="1:14" x14ac:dyDescent="0.35">
      <c r="A17" s="17">
        <v>43899</v>
      </c>
      <c r="B17">
        <f>AVERAGE(Tableau2[[#This Row],[AWB]:[IAM]])</f>
        <v>-6.7724010329744636E-2</v>
      </c>
      <c r="C17">
        <f t="shared" si="0"/>
        <v>0</v>
      </c>
      <c r="D17">
        <f t="shared" si="1"/>
        <v>0</v>
      </c>
      <c r="E17">
        <f t="shared" si="2"/>
        <v>1</v>
      </c>
      <c r="F17">
        <f t="shared" si="3"/>
        <v>0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</row>
    <row r="18" spans="1:14" x14ac:dyDescent="0.35">
      <c r="A18" s="17">
        <v>43902</v>
      </c>
      <c r="B18">
        <f>AVERAGE(Tableau2[[#This Row],[AWB]:[IAM]])</f>
        <v>-9.670176238977337E-3</v>
      </c>
      <c r="C18">
        <f t="shared" si="0"/>
        <v>0</v>
      </c>
      <c r="D18">
        <f t="shared" si="1"/>
        <v>0</v>
      </c>
      <c r="E18">
        <f t="shared" si="2"/>
        <v>1</v>
      </c>
      <c r="F18">
        <f t="shared" si="3"/>
        <v>0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  <c r="N18">
        <f t="shared" si="11"/>
        <v>0</v>
      </c>
    </row>
    <row r="19" spans="1:14" x14ac:dyDescent="0.35">
      <c r="A19" s="17">
        <v>43903</v>
      </c>
      <c r="B19">
        <f>AVERAGE(Tableau2[[#This Row],[AWB]:[IAM]])</f>
        <v>-1.2029167692426032E-2</v>
      </c>
      <c r="C19">
        <f t="shared" si="0"/>
        <v>0</v>
      </c>
      <c r="D19">
        <f t="shared" si="1"/>
        <v>0</v>
      </c>
      <c r="E19">
        <f t="shared" si="2"/>
        <v>1</v>
      </c>
      <c r="F19">
        <f t="shared" si="3"/>
        <v>0</v>
      </c>
      <c r="G19">
        <f t="shared" si="4"/>
        <v>0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  <c r="N19">
        <f t="shared" si="11"/>
        <v>0</v>
      </c>
    </row>
    <row r="20" spans="1:14" x14ac:dyDescent="0.35">
      <c r="A20" s="17">
        <v>43906</v>
      </c>
      <c r="B20">
        <f>AVERAGE(Tableau2[[#This Row],[AWB]:[IAM]])</f>
        <v>-0.10027287770187558</v>
      </c>
      <c r="C20">
        <f t="shared" si="0"/>
        <v>0</v>
      </c>
      <c r="D20">
        <f t="shared" si="1"/>
        <v>0</v>
      </c>
      <c r="E20">
        <f t="shared" si="2"/>
        <v>1</v>
      </c>
      <c r="F20">
        <f t="shared" si="3"/>
        <v>0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</row>
    <row r="21" spans="1:14" x14ac:dyDescent="0.35">
      <c r="A21" s="17">
        <v>43908</v>
      </c>
      <c r="B21">
        <f>AVERAGE(Tableau2[[#This Row],[AWB]:[IAM]])</f>
        <v>-6.5206900004714768E-2</v>
      </c>
      <c r="C21">
        <f t="shared" si="0"/>
        <v>0</v>
      </c>
      <c r="D21">
        <f t="shared" si="1"/>
        <v>0</v>
      </c>
      <c r="E21">
        <f t="shared" si="2"/>
        <v>1</v>
      </c>
      <c r="F21">
        <f t="shared" si="3"/>
        <v>0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0</v>
      </c>
    </row>
    <row r="22" spans="1:14" x14ac:dyDescent="0.35">
      <c r="A22" s="17">
        <v>43909</v>
      </c>
      <c r="B22">
        <f>AVERAGE(Tableau2[[#This Row],[AWB]:[IAM]])</f>
        <v>3.3782242716522262E-2</v>
      </c>
      <c r="C22">
        <f t="shared" si="0"/>
        <v>0</v>
      </c>
      <c r="D22">
        <f t="shared" si="1"/>
        <v>0</v>
      </c>
      <c r="E22">
        <f t="shared" si="2"/>
        <v>1</v>
      </c>
      <c r="F22">
        <f t="shared" si="3"/>
        <v>0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</row>
    <row r="23" spans="1:14" x14ac:dyDescent="0.35">
      <c r="A23" s="17">
        <v>43913</v>
      </c>
      <c r="B23">
        <f>AVERAGE(Tableau2[[#This Row],[AWB]:[IAM]])</f>
        <v>6.8797862948807423E-2</v>
      </c>
      <c r="C23">
        <f t="shared" si="0"/>
        <v>0</v>
      </c>
      <c r="D23">
        <f t="shared" si="1"/>
        <v>0</v>
      </c>
      <c r="E23">
        <f t="shared" si="2"/>
        <v>1</v>
      </c>
      <c r="F23">
        <f t="shared" si="3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</row>
    <row r="24" spans="1:14" x14ac:dyDescent="0.35">
      <c r="A24" s="17">
        <v>43914</v>
      </c>
      <c r="B24">
        <f>AVERAGE(Tableau2[[#This Row],[AWB]:[IAM]])</f>
        <v>2.026282056818874E-2</v>
      </c>
      <c r="C24">
        <f t="shared" si="0"/>
        <v>0</v>
      </c>
      <c r="D24">
        <f t="shared" si="1"/>
        <v>0</v>
      </c>
      <c r="E24">
        <f t="shared" si="2"/>
        <v>1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  <c r="N24">
        <f t="shared" si="11"/>
        <v>0</v>
      </c>
    </row>
    <row r="25" spans="1:14" x14ac:dyDescent="0.35">
      <c r="A25" s="17">
        <v>43915</v>
      </c>
      <c r="B25">
        <f>AVERAGE(Tableau2[[#This Row],[AWB]:[IAM]])</f>
        <v>-2.8104620010448902E-2</v>
      </c>
      <c r="C25">
        <f t="shared" si="0"/>
        <v>0</v>
      </c>
      <c r="D25">
        <f t="shared" si="1"/>
        <v>0</v>
      </c>
      <c r="E25">
        <f t="shared" si="2"/>
        <v>1</v>
      </c>
      <c r="F25">
        <f t="shared" si="3"/>
        <v>0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0</v>
      </c>
    </row>
    <row r="26" spans="1:14" x14ac:dyDescent="0.35">
      <c r="A26" s="17">
        <v>43916</v>
      </c>
      <c r="B26">
        <f>AVERAGE(Tableau2[[#This Row],[AWB]:[IAM]])</f>
        <v>-9.5563599322789055E-3</v>
      </c>
      <c r="C26">
        <f t="shared" si="0"/>
        <v>0</v>
      </c>
      <c r="D26">
        <f t="shared" si="1"/>
        <v>0</v>
      </c>
      <c r="E26">
        <f t="shared" si="2"/>
        <v>1</v>
      </c>
      <c r="F26">
        <f t="shared" si="3"/>
        <v>0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</row>
    <row r="27" spans="1:14" x14ac:dyDescent="0.35">
      <c r="A27" s="17">
        <v>43917</v>
      </c>
      <c r="B27">
        <f>AVERAGE(Tableau2[[#This Row],[AWB]:[IAM]])</f>
        <v>-1.2597972229814477E-2</v>
      </c>
      <c r="C27">
        <f t="shared" si="0"/>
        <v>0</v>
      </c>
      <c r="D27">
        <f t="shared" si="1"/>
        <v>0</v>
      </c>
      <c r="E27">
        <f t="shared" si="2"/>
        <v>1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</row>
    <row r="28" spans="1:14" x14ac:dyDescent="0.35">
      <c r="A28" s="17">
        <v>43923</v>
      </c>
      <c r="B28">
        <f>AVERAGE(Tableau2[[#This Row],[AWB]:[IAM]])</f>
        <v>-4.3809454358050642E-2</v>
      </c>
      <c r="C28">
        <f t="shared" si="0"/>
        <v>0</v>
      </c>
      <c r="D28">
        <f t="shared" si="1"/>
        <v>0</v>
      </c>
      <c r="E28">
        <f t="shared" si="2"/>
        <v>0</v>
      </c>
      <c r="F28">
        <f t="shared" si="3"/>
        <v>1</v>
      </c>
      <c r="G28">
        <f t="shared" si="4"/>
        <v>0</v>
      </c>
      <c r="H28">
        <f t="shared" si="5"/>
        <v>0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</row>
    <row r="29" spans="1:14" x14ac:dyDescent="0.35">
      <c r="A29" s="17">
        <v>43924</v>
      </c>
      <c r="B29">
        <f>AVERAGE(Tableau2[[#This Row],[AWB]:[IAM]])</f>
        <v>-1.4549514414082195E-2</v>
      </c>
      <c r="C29">
        <f t="shared" si="0"/>
        <v>0</v>
      </c>
      <c r="D29">
        <f t="shared" si="1"/>
        <v>0</v>
      </c>
      <c r="E29">
        <f t="shared" si="2"/>
        <v>0</v>
      </c>
      <c r="F29">
        <f t="shared" si="3"/>
        <v>1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</row>
    <row r="30" spans="1:14" x14ac:dyDescent="0.35">
      <c r="A30" s="17">
        <v>43927</v>
      </c>
      <c r="B30">
        <f>AVERAGE(Tableau2[[#This Row],[AWB]:[IAM]])</f>
        <v>-1.8488842156851721E-2</v>
      </c>
      <c r="C30">
        <f t="shared" si="0"/>
        <v>0</v>
      </c>
      <c r="D30">
        <f t="shared" si="1"/>
        <v>0</v>
      </c>
      <c r="E30">
        <f t="shared" si="2"/>
        <v>0</v>
      </c>
      <c r="F30">
        <f t="shared" si="3"/>
        <v>1</v>
      </c>
      <c r="G30">
        <f t="shared" si="4"/>
        <v>0</v>
      </c>
      <c r="H30">
        <f t="shared" si="5"/>
        <v>0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  <c r="N30">
        <f t="shared" si="11"/>
        <v>0</v>
      </c>
    </row>
    <row r="31" spans="1:14" x14ac:dyDescent="0.35">
      <c r="A31" s="17">
        <v>43928</v>
      </c>
      <c r="B31">
        <f>AVERAGE(Tableau2[[#This Row],[AWB]:[IAM]])</f>
        <v>-1.3361639143560684E-2</v>
      </c>
      <c r="C31">
        <f t="shared" si="0"/>
        <v>0</v>
      </c>
      <c r="D31">
        <f t="shared" si="1"/>
        <v>0</v>
      </c>
      <c r="E31">
        <f t="shared" si="2"/>
        <v>0</v>
      </c>
      <c r="F31">
        <f t="shared" si="3"/>
        <v>1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</row>
    <row r="32" spans="1:14" x14ac:dyDescent="0.35">
      <c r="A32" s="17">
        <v>43929</v>
      </c>
      <c r="B32">
        <f>AVERAGE(Tableau2[[#This Row],[AWB]:[IAM]])</f>
        <v>8.0955382409813037E-3</v>
      </c>
      <c r="C32">
        <f t="shared" si="0"/>
        <v>0</v>
      </c>
      <c r="D32">
        <f t="shared" si="1"/>
        <v>0</v>
      </c>
      <c r="E32">
        <f t="shared" si="2"/>
        <v>0</v>
      </c>
      <c r="F32">
        <f t="shared" si="3"/>
        <v>1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  <c r="N32">
        <f t="shared" si="11"/>
        <v>0</v>
      </c>
    </row>
    <row r="33" spans="1:14" x14ac:dyDescent="0.35">
      <c r="A33" s="17">
        <v>43930</v>
      </c>
      <c r="B33">
        <f>AVERAGE(Tableau2[[#This Row],[AWB]:[IAM]])</f>
        <v>1.0732845058892629E-3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3"/>
        <v>1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</row>
    <row r="34" spans="1:14" x14ac:dyDescent="0.35">
      <c r="A34" s="17">
        <v>43935</v>
      </c>
      <c r="B34">
        <f>AVERAGE(Tableau2[[#This Row],[AWB]:[IAM]])</f>
        <v>3.802890424391042E-3</v>
      </c>
      <c r="C34">
        <f t="shared" si="0"/>
        <v>0</v>
      </c>
      <c r="D34">
        <f t="shared" si="1"/>
        <v>0</v>
      </c>
      <c r="E34">
        <f t="shared" si="2"/>
        <v>0</v>
      </c>
      <c r="F34">
        <f t="shared" si="3"/>
        <v>1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0</v>
      </c>
      <c r="N34">
        <f t="shared" si="11"/>
        <v>0</v>
      </c>
    </row>
    <row r="35" spans="1:14" x14ac:dyDescent="0.35">
      <c r="A35" s="17">
        <v>43938</v>
      </c>
      <c r="B35">
        <f>AVERAGE(Tableau2[[#This Row],[AWB]:[IAM]])</f>
        <v>-1.2094898648808411E-2</v>
      </c>
      <c r="C35">
        <f t="shared" si="0"/>
        <v>0</v>
      </c>
      <c r="D35">
        <f t="shared" si="1"/>
        <v>0</v>
      </c>
      <c r="E35">
        <f t="shared" si="2"/>
        <v>0</v>
      </c>
      <c r="F35">
        <f t="shared" si="3"/>
        <v>1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0</v>
      </c>
      <c r="M35">
        <f t="shared" si="10"/>
        <v>0</v>
      </c>
      <c r="N35">
        <f t="shared" si="11"/>
        <v>0</v>
      </c>
    </row>
    <row r="36" spans="1:14" x14ac:dyDescent="0.35">
      <c r="A36" s="17">
        <v>43945</v>
      </c>
      <c r="B36">
        <f>AVERAGE(Tableau2[[#This Row],[AWB]:[IAM]])</f>
        <v>-1.9769120054601522E-2</v>
      </c>
      <c r="C36">
        <f t="shared" si="0"/>
        <v>0</v>
      </c>
      <c r="D36">
        <f t="shared" si="1"/>
        <v>0</v>
      </c>
      <c r="E36">
        <f t="shared" si="2"/>
        <v>0</v>
      </c>
      <c r="F36">
        <f t="shared" si="3"/>
        <v>1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  <c r="M36">
        <f t="shared" si="10"/>
        <v>0</v>
      </c>
      <c r="N36">
        <f t="shared" si="11"/>
        <v>0</v>
      </c>
    </row>
    <row r="37" spans="1:14" x14ac:dyDescent="0.35">
      <c r="A37" s="17">
        <v>43948</v>
      </c>
      <c r="B37">
        <f>AVERAGE(Tableau2[[#This Row],[AWB]:[IAM]])</f>
        <v>3.2795953357126558E-3</v>
      </c>
      <c r="C37">
        <f t="shared" si="0"/>
        <v>0</v>
      </c>
      <c r="D37">
        <f t="shared" si="1"/>
        <v>0</v>
      </c>
      <c r="E37">
        <f t="shared" si="2"/>
        <v>0</v>
      </c>
      <c r="F37">
        <f t="shared" si="3"/>
        <v>1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0</v>
      </c>
    </row>
    <row r="38" spans="1:14" x14ac:dyDescent="0.35">
      <c r="A38" s="17">
        <v>43950</v>
      </c>
      <c r="B38">
        <f>AVERAGE(Tableau2[[#This Row],[AWB]:[IAM]])</f>
        <v>2.2780579585377672E-2</v>
      </c>
      <c r="C38">
        <f t="shared" si="0"/>
        <v>0</v>
      </c>
      <c r="D38">
        <f t="shared" si="1"/>
        <v>0</v>
      </c>
      <c r="E38">
        <f t="shared" si="2"/>
        <v>0</v>
      </c>
      <c r="F38">
        <f t="shared" si="3"/>
        <v>1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0</v>
      </c>
    </row>
    <row r="39" spans="1:14" x14ac:dyDescent="0.35">
      <c r="A39" s="17">
        <v>43951</v>
      </c>
      <c r="B39">
        <f>AVERAGE(Tableau2[[#This Row],[AWB]:[IAM]])</f>
        <v>1.6264343292592146E-2</v>
      </c>
      <c r="C39">
        <f t="shared" si="0"/>
        <v>0</v>
      </c>
      <c r="D39">
        <f t="shared" si="1"/>
        <v>0</v>
      </c>
      <c r="E39">
        <f t="shared" si="2"/>
        <v>0</v>
      </c>
      <c r="F39">
        <f t="shared" si="3"/>
        <v>1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  <c r="N39">
        <f t="shared" si="11"/>
        <v>0</v>
      </c>
    </row>
    <row r="40" spans="1:14" x14ac:dyDescent="0.35">
      <c r="A40" s="17">
        <v>43977</v>
      </c>
      <c r="B40">
        <f>AVERAGE(Tableau2[[#This Row],[AWB]:[IAM]])</f>
        <v>8.3153418779102775E-2</v>
      </c>
      <c r="C40">
        <f t="shared" si="0"/>
        <v>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1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</row>
    <row r="41" spans="1:14" x14ac:dyDescent="0.35">
      <c r="A41" s="17">
        <v>43978</v>
      </c>
      <c r="B41">
        <f>AVERAGE(Tableau2[[#This Row],[AWB]:[IAM]])</f>
        <v>8.89627616606814E-3</v>
      </c>
      <c r="C41">
        <f t="shared" si="0"/>
        <v>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1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0</v>
      </c>
      <c r="N41">
        <f t="shared" si="11"/>
        <v>0</v>
      </c>
    </row>
    <row r="42" spans="1:14" x14ac:dyDescent="0.35">
      <c r="A42" s="17">
        <v>43984</v>
      </c>
      <c r="B42">
        <f>AVERAGE(Tableau2[[#This Row],[AWB]:[IAM]])</f>
        <v>3.7217075486220351E-2</v>
      </c>
      <c r="C42">
        <f t="shared" si="0"/>
        <v>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1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  <c r="N42">
        <f t="shared" si="11"/>
        <v>0</v>
      </c>
    </row>
    <row r="43" spans="1:14" x14ac:dyDescent="0.35">
      <c r="A43" s="17">
        <v>43993</v>
      </c>
      <c r="B43">
        <f>AVERAGE(Tableau2[[#This Row],[AWB]:[IAM]])</f>
        <v>-8.9036537015175642E-4</v>
      </c>
      <c r="C43">
        <f t="shared" si="0"/>
        <v>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1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0</v>
      </c>
    </row>
    <row r="44" spans="1:14" x14ac:dyDescent="0.35">
      <c r="A44" s="17">
        <v>43999</v>
      </c>
      <c r="B44">
        <f>AVERAGE(Tableau2[[#This Row],[AWB]:[IAM]])</f>
        <v>4.1498018310025329E-2</v>
      </c>
      <c r="C44">
        <f t="shared" si="0"/>
        <v>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1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</row>
    <row r="45" spans="1:14" x14ac:dyDescent="0.35">
      <c r="A45" s="17">
        <v>44000</v>
      </c>
      <c r="B45">
        <f>AVERAGE(Tableau2[[#This Row],[AWB]:[IAM]])</f>
        <v>-1.0421904968799994E-2</v>
      </c>
      <c r="C45">
        <f t="shared" si="0"/>
        <v>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1</v>
      </c>
      <c r="I45">
        <f t="shared" si="6"/>
        <v>0</v>
      </c>
      <c r="J45">
        <f t="shared" si="7"/>
        <v>0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0</v>
      </c>
    </row>
    <row r="46" spans="1:14" x14ac:dyDescent="0.35">
      <c r="A46" s="17">
        <v>44001</v>
      </c>
      <c r="B46">
        <f>AVERAGE(Tableau2[[#This Row],[AWB]:[IAM]])</f>
        <v>-4.3242882917298711E-3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1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0</v>
      </c>
      <c r="M46">
        <f t="shared" si="10"/>
        <v>0</v>
      </c>
      <c r="N46">
        <f t="shared" si="11"/>
        <v>0</v>
      </c>
    </row>
    <row r="47" spans="1:14" x14ac:dyDescent="0.35">
      <c r="A47" s="17">
        <v>44006</v>
      </c>
      <c r="B47">
        <f>AVERAGE(Tableau2[[#This Row],[AWB]:[IAM]])</f>
        <v>-5.3246906842566106E-3</v>
      </c>
      <c r="C47">
        <f t="shared" si="0"/>
        <v>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1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0</v>
      </c>
      <c r="N47">
        <f t="shared" si="11"/>
        <v>0</v>
      </c>
    </row>
    <row r="48" spans="1:14" x14ac:dyDescent="0.35">
      <c r="A48" s="17">
        <v>44070</v>
      </c>
      <c r="B48">
        <f>AVERAGE(Tableau2[[#This Row],[AWB]:[IAM]])</f>
        <v>-4.7581895574972242E-2</v>
      </c>
      <c r="C48">
        <f t="shared" si="0"/>
        <v>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1</v>
      </c>
      <c r="K48">
        <f t="shared" si="8"/>
        <v>0</v>
      </c>
      <c r="L48">
        <f t="shared" si="9"/>
        <v>0</v>
      </c>
      <c r="M48">
        <f t="shared" si="10"/>
        <v>0</v>
      </c>
      <c r="N48">
        <f t="shared" si="11"/>
        <v>0</v>
      </c>
    </row>
    <row r="49" spans="1:14" x14ac:dyDescent="0.35">
      <c r="A49" s="17">
        <v>44085</v>
      </c>
      <c r="B49">
        <f>AVERAGE(Tableau2[[#This Row],[AWB]:[IAM]])</f>
        <v>2.3351304972680675E-2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1</v>
      </c>
      <c r="L49">
        <f t="shared" si="9"/>
        <v>0</v>
      </c>
      <c r="M49">
        <f t="shared" si="10"/>
        <v>0</v>
      </c>
      <c r="N49">
        <f t="shared" si="11"/>
        <v>0</v>
      </c>
    </row>
    <row r="50" spans="1:14" x14ac:dyDescent="0.35">
      <c r="A50" s="17">
        <v>44091</v>
      </c>
      <c r="B50">
        <f>AVERAGE(Tableau2[[#This Row],[AWB]:[IAM]])</f>
        <v>-9.9634880711021532E-3</v>
      </c>
      <c r="C50">
        <f t="shared" si="0"/>
        <v>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1</v>
      </c>
      <c r="L50">
        <f t="shared" si="9"/>
        <v>0</v>
      </c>
      <c r="M50">
        <f t="shared" si="10"/>
        <v>0</v>
      </c>
      <c r="N50">
        <f t="shared" si="11"/>
        <v>0</v>
      </c>
    </row>
    <row r="51" spans="1:14" x14ac:dyDescent="0.35">
      <c r="A51" s="17">
        <v>44092</v>
      </c>
      <c r="B51">
        <f>AVERAGE(Tableau2[[#This Row],[AWB]:[IAM]])</f>
        <v>-1.4821469481341065E-3</v>
      </c>
      <c r="C51">
        <f t="shared" si="0"/>
        <v>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1</v>
      </c>
      <c r="L51">
        <f t="shared" si="9"/>
        <v>0</v>
      </c>
      <c r="M51">
        <f t="shared" si="10"/>
        <v>0</v>
      </c>
      <c r="N51">
        <f t="shared" si="11"/>
        <v>0</v>
      </c>
    </row>
    <row r="52" spans="1:14" x14ac:dyDescent="0.35">
      <c r="A52" s="17">
        <v>44098</v>
      </c>
      <c r="B52">
        <f>AVERAGE(Tableau2[[#This Row],[AWB]:[IAM]])</f>
        <v>-1.2159137427239071E-2</v>
      </c>
      <c r="C52">
        <f t="shared" si="0"/>
        <v>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1</v>
      </c>
      <c r="L52">
        <f t="shared" si="9"/>
        <v>0</v>
      </c>
      <c r="M52">
        <f t="shared" si="10"/>
        <v>0</v>
      </c>
      <c r="N52">
        <f t="shared" si="11"/>
        <v>0</v>
      </c>
    </row>
    <row r="53" spans="1:14" x14ac:dyDescent="0.35">
      <c r="A53" s="17">
        <v>44116</v>
      </c>
      <c r="B53">
        <f>AVERAGE(Tableau2[[#This Row],[AWB]:[IAM]])</f>
        <v>8.1275251290813429E-3</v>
      </c>
      <c r="C53">
        <f t="shared" si="0"/>
        <v>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1</v>
      </c>
      <c r="M53">
        <f t="shared" si="10"/>
        <v>0</v>
      </c>
      <c r="N53">
        <f t="shared" si="11"/>
        <v>0</v>
      </c>
    </row>
    <row r="54" spans="1:14" x14ac:dyDescent="0.35">
      <c r="A54" s="17">
        <v>44117</v>
      </c>
      <c r="B54">
        <f>AVERAGE(Tableau2[[#This Row],[AWB]:[IAM]])</f>
        <v>5.9599877906306798E-3</v>
      </c>
      <c r="C54">
        <f t="shared" si="0"/>
        <v>0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1</v>
      </c>
      <c r="M54">
        <f t="shared" si="10"/>
        <v>0</v>
      </c>
      <c r="N54">
        <f t="shared" si="11"/>
        <v>0</v>
      </c>
    </row>
    <row r="55" spans="1:14" x14ac:dyDescent="0.35">
      <c r="A55" s="17">
        <v>44118</v>
      </c>
      <c r="B55">
        <f>AVERAGE(Tableau2[[#This Row],[AWB]:[IAM]])</f>
        <v>1.2113496595432741E-2</v>
      </c>
      <c r="C55">
        <f t="shared" si="0"/>
        <v>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1</v>
      </c>
      <c r="M55">
        <f t="shared" si="10"/>
        <v>0</v>
      </c>
      <c r="N55">
        <f t="shared" si="11"/>
        <v>0</v>
      </c>
    </row>
    <row r="56" spans="1:14" x14ac:dyDescent="0.35">
      <c r="A56" s="17">
        <v>44120</v>
      </c>
      <c r="B56">
        <f>AVERAGE(Tableau2[[#This Row],[AWB]:[IAM]])</f>
        <v>-3.5782428494867012E-3</v>
      </c>
      <c r="C56">
        <f t="shared" si="0"/>
        <v>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1</v>
      </c>
      <c r="M56">
        <f t="shared" si="10"/>
        <v>0</v>
      </c>
      <c r="N56">
        <f t="shared" si="11"/>
        <v>0</v>
      </c>
    </row>
    <row r="57" spans="1:14" x14ac:dyDescent="0.35">
      <c r="A57" s="17">
        <v>44123</v>
      </c>
      <c r="B57">
        <f>AVERAGE(Tableau2[[#This Row],[AWB]:[IAM]])</f>
        <v>-2.858127973899565E-3</v>
      </c>
      <c r="C57">
        <f t="shared" si="0"/>
        <v>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1</v>
      </c>
      <c r="M57">
        <f t="shared" si="10"/>
        <v>0</v>
      </c>
      <c r="N57">
        <f t="shared" si="11"/>
        <v>0</v>
      </c>
    </row>
    <row r="58" spans="1:14" x14ac:dyDescent="0.35">
      <c r="A58" s="17">
        <v>44131</v>
      </c>
      <c r="B58">
        <f>AVERAGE(Tableau2[[#This Row],[AWB]:[IAM]])</f>
        <v>1.733259678926679E-2</v>
      </c>
      <c r="C58">
        <f t="shared" si="0"/>
        <v>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1</v>
      </c>
      <c r="M58">
        <f t="shared" si="10"/>
        <v>0</v>
      </c>
      <c r="N58">
        <f t="shared" si="11"/>
        <v>0</v>
      </c>
    </row>
    <row r="59" spans="1:14" x14ac:dyDescent="0.35">
      <c r="A59" s="17">
        <v>44137</v>
      </c>
      <c r="B59">
        <f>AVERAGE(Tableau2[[#This Row],[AWB]:[IAM]])</f>
        <v>-1.0553217838256591E-2</v>
      </c>
      <c r="C59">
        <f t="shared" si="0"/>
        <v>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1</v>
      </c>
      <c r="N59">
        <f t="shared" si="11"/>
        <v>0</v>
      </c>
    </row>
    <row r="60" spans="1:14" x14ac:dyDescent="0.35">
      <c r="A60" s="17">
        <v>44144</v>
      </c>
      <c r="B60">
        <f>AVERAGE(Tableau2[[#This Row],[AWB]:[IAM]])</f>
        <v>1.9784783584212651E-2</v>
      </c>
      <c r="C60">
        <f t="shared" si="0"/>
        <v>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  <c r="L60">
        <f t="shared" si="9"/>
        <v>0</v>
      </c>
      <c r="M60">
        <f t="shared" si="10"/>
        <v>1</v>
      </c>
      <c r="N60">
        <f t="shared" si="11"/>
        <v>0</v>
      </c>
    </row>
    <row r="61" spans="1:14" x14ac:dyDescent="0.35">
      <c r="A61" s="17">
        <v>44145</v>
      </c>
      <c r="B61">
        <f>AVERAGE(Tableau2[[#This Row],[AWB]:[IAM]])</f>
        <v>3.1447397965486978E-3</v>
      </c>
      <c r="C61">
        <f t="shared" si="0"/>
        <v>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1</v>
      </c>
      <c r="N61">
        <f t="shared" si="11"/>
        <v>0</v>
      </c>
    </row>
    <row r="62" spans="1:14" x14ac:dyDescent="0.35">
      <c r="A62" s="17">
        <v>44159</v>
      </c>
      <c r="B62">
        <f>AVERAGE(Tableau2[[#This Row],[AWB]:[IAM]])</f>
        <v>4.816490015322359E-2</v>
      </c>
      <c r="C62">
        <f t="shared" si="0"/>
        <v>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1</v>
      </c>
      <c r="N62">
        <f t="shared" si="11"/>
        <v>0</v>
      </c>
    </row>
    <row r="63" spans="1:14" x14ac:dyDescent="0.35">
      <c r="A63" s="17">
        <v>44161</v>
      </c>
      <c r="B63">
        <f>AVERAGE(Tableau2[[#This Row],[AWB]:[IAM]])</f>
        <v>-1.4480741174581842E-3</v>
      </c>
      <c r="C63">
        <f t="shared" si="0"/>
        <v>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1</v>
      </c>
      <c r="N63">
        <f t="shared" si="11"/>
        <v>0</v>
      </c>
    </row>
    <row r="64" spans="1:14" x14ac:dyDescent="0.35">
      <c r="A64" s="17">
        <v>44162</v>
      </c>
      <c r="B64">
        <f>AVERAGE(Tableau2[[#This Row],[AWB]:[IAM]])</f>
        <v>-1.3159807133570291E-2</v>
      </c>
      <c r="C64">
        <f t="shared" si="0"/>
        <v>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f t="shared" si="10"/>
        <v>1</v>
      </c>
      <c r="N64">
        <f t="shared" si="11"/>
        <v>0</v>
      </c>
    </row>
    <row r="65" spans="1:14" x14ac:dyDescent="0.35">
      <c r="A65" s="17">
        <v>44168</v>
      </c>
      <c r="B65">
        <f>AVERAGE(Tableau2[[#This Row],[AWB]:[IAM]])</f>
        <v>3.5705138766709841E-3</v>
      </c>
      <c r="C65">
        <f t="shared" si="0"/>
        <v>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1</v>
      </c>
    </row>
    <row r="66" spans="1:14" x14ac:dyDescent="0.35">
      <c r="A66" s="17">
        <v>44169</v>
      </c>
      <c r="B66">
        <f>AVERAGE(Tableau2[[#This Row],[AWB]:[IAM]])</f>
        <v>-4.1044577050079103E-3</v>
      </c>
      <c r="C66">
        <f t="shared" ref="C66:C129" si="12">IF(MONTH(A66)=1,1,0)</f>
        <v>0</v>
      </c>
      <c r="D66">
        <f t="shared" ref="D66:D129" si="13">IF(MONTH(A66)=2,1,0)</f>
        <v>0</v>
      </c>
      <c r="E66">
        <f t="shared" ref="E66:E129" si="14">IF(MONTH(A66)=3,1,0)</f>
        <v>0</v>
      </c>
      <c r="F66">
        <f t="shared" ref="F66:F129" si="15">IF(MONTH(A66)=4,1,0)</f>
        <v>0</v>
      </c>
      <c r="G66">
        <f t="shared" ref="G66:G129" si="16">IF(MONTH(A66)=5,1,0)</f>
        <v>0</v>
      </c>
      <c r="H66">
        <f t="shared" ref="H66:H129" si="17">IF(MONTH(A66)=6,1,0)</f>
        <v>0</v>
      </c>
      <c r="I66">
        <f t="shared" ref="I66:I129" si="18">IF(MONTH(A66)=7,1,0)</f>
        <v>0</v>
      </c>
      <c r="J66">
        <f t="shared" ref="J66:J129" si="19">IF(MONTH(A66)=8,1,0)</f>
        <v>0</v>
      </c>
      <c r="K66">
        <f t="shared" ref="K66:K129" si="20">IF(MONTH(A66)=9,1,0)</f>
        <v>0</v>
      </c>
      <c r="L66">
        <f t="shared" ref="L66:L129" si="21">IF(MONTH(A66)=10,1,0)</f>
        <v>0</v>
      </c>
      <c r="M66">
        <f t="shared" ref="M66:M129" si="22">IF(MONTH(A66)=11,1,0)</f>
        <v>0</v>
      </c>
      <c r="N66">
        <f t="shared" ref="N66:N129" si="23">IF(MONTH(A66)=12,1,0)</f>
        <v>1</v>
      </c>
    </row>
    <row r="67" spans="1:14" x14ac:dyDescent="0.35">
      <c r="A67" s="17">
        <v>44174</v>
      </c>
      <c r="B67">
        <f>AVERAGE(Tableau2[[#This Row],[AWB]:[IAM]])</f>
        <v>1.6906706523223528E-2</v>
      </c>
      <c r="C67">
        <f t="shared" si="12"/>
        <v>0</v>
      </c>
      <c r="D67">
        <f t="shared" si="13"/>
        <v>0</v>
      </c>
      <c r="E67">
        <f t="shared" si="14"/>
        <v>0</v>
      </c>
      <c r="F67">
        <f t="shared" si="15"/>
        <v>0</v>
      </c>
      <c r="G67">
        <f t="shared" si="16"/>
        <v>0</v>
      </c>
      <c r="H67">
        <f t="shared" si="17"/>
        <v>0</v>
      </c>
      <c r="I67">
        <f t="shared" si="18"/>
        <v>0</v>
      </c>
      <c r="J67">
        <f t="shared" si="19"/>
        <v>0</v>
      </c>
      <c r="K67">
        <f t="shared" si="20"/>
        <v>0</v>
      </c>
      <c r="L67">
        <f t="shared" si="21"/>
        <v>0</v>
      </c>
      <c r="M67">
        <f t="shared" si="22"/>
        <v>0</v>
      </c>
      <c r="N67">
        <f t="shared" si="23"/>
        <v>1</v>
      </c>
    </row>
    <row r="68" spans="1:14" x14ac:dyDescent="0.35">
      <c r="A68" s="17">
        <v>44175</v>
      </c>
      <c r="B68">
        <f>AVERAGE(Tableau2[[#This Row],[AWB]:[IAM]])</f>
        <v>3.9826185258016915E-3</v>
      </c>
      <c r="C68">
        <f t="shared" si="12"/>
        <v>0</v>
      </c>
      <c r="D68">
        <f t="shared" si="13"/>
        <v>0</v>
      </c>
      <c r="E68">
        <f t="shared" si="14"/>
        <v>0</v>
      </c>
      <c r="F68">
        <f t="shared" si="15"/>
        <v>0</v>
      </c>
      <c r="G68">
        <f t="shared" si="16"/>
        <v>0</v>
      </c>
      <c r="H68">
        <f t="shared" si="17"/>
        <v>0</v>
      </c>
      <c r="I68">
        <f t="shared" si="18"/>
        <v>0</v>
      </c>
      <c r="J68">
        <f t="shared" si="19"/>
        <v>0</v>
      </c>
      <c r="K68">
        <f t="shared" si="20"/>
        <v>0</v>
      </c>
      <c r="L68">
        <f t="shared" si="21"/>
        <v>0</v>
      </c>
      <c r="M68">
        <f t="shared" si="22"/>
        <v>0</v>
      </c>
      <c r="N68">
        <f t="shared" si="23"/>
        <v>1</v>
      </c>
    </row>
    <row r="69" spans="1:14" x14ac:dyDescent="0.35">
      <c r="A69" s="17">
        <v>44176</v>
      </c>
      <c r="B69">
        <f>AVERAGE(Tableau2[[#This Row],[AWB]:[IAM]])</f>
        <v>2.3047534812899E-2</v>
      </c>
      <c r="C69">
        <f t="shared" si="12"/>
        <v>0</v>
      </c>
      <c r="D69">
        <f t="shared" si="13"/>
        <v>0</v>
      </c>
      <c r="E69">
        <f t="shared" si="14"/>
        <v>0</v>
      </c>
      <c r="F69">
        <f t="shared" si="15"/>
        <v>0</v>
      </c>
      <c r="G69">
        <f t="shared" si="16"/>
        <v>0</v>
      </c>
      <c r="H69">
        <f t="shared" si="17"/>
        <v>0</v>
      </c>
      <c r="I69">
        <f t="shared" si="18"/>
        <v>0</v>
      </c>
      <c r="J69">
        <f t="shared" si="19"/>
        <v>0</v>
      </c>
      <c r="K69">
        <f t="shared" si="20"/>
        <v>0</v>
      </c>
      <c r="L69">
        <f t="shared" si="21"/>
        <v>0</v>
      </c>
      <c r="M69">
        <f t="shared" si="22"/>
        <v>0</v>
      </c>
      <c r="N69">
        <f t="shared" si="23"/>
        <v>1</v>
      </c>
    </row>
    <row r="70" spans="1:14" x14ac:dyDescent="0.35">
      <c r="A70" s="17">
        <v>44180</v>
      </c>
      <c r="B70">
        <f>AVERAGE(Tableau2[[#This Row],[AWB]:[IAM]])</f>
        <v>-3.6143681821551453E-3</v>
      </c>
      <c r="C70">
        <f t="shared" si="12"/>
        <v>0</v>
      </c>
      <c r="D70">
        <f t="shared" si="13"/>
        <v>0</v>
      </c>
      <c r="E70">
        <f t="shared" si="14"/>
        <v>0</v>
      </c>
      <c r="F70">
        <f t="shared" si="15"/>
        <v>0</v>
      </c>
      <c r="G70">
        <f t="shared" si="16"/>
        <v>0</v>
      </c>
      <c r="H70">
        <f t="shared" si="17"/>
        <v>0</v>
      </c>
      <c r="I70">
        <f t="shared" si="18"/>
        <v>0</v>
      </c>
      <c r="J70">
        <f t="shared" si="19"/>
        <v>0</v>
      </c>
      <c r="K70">
        <f t="shared" si="20"/>
        <v>0</v>
      </c>
      <c r="L70">
        <f t="shared" si="21"/>
        <v>0</v>
      </c>
      <c r="M70">
        <f t="shared" si="22"/>
        <v>0</v>
      </c>
      <c r="N70">
        <f t="shared" si="23"/>
        <v>1</v>
      </c>
    </row>
    <row r="71" spans="1:14" x14ac:dyDescent="0.35">
      <c r="A71" s="17">
        <v>44182</v>
      </c>
      <c r="B71">
        <f>AVERAGE(Tableau2[[#This Row],[AWB]:[IAM]])</f>
        <v>1.4347733829759684E-2</v>
      </c>
      <c r="C71">
        <f t="shared" si="12"/>
        <v>0</v>
      </c>
      <c r="D71">
        <f t="shared" si="13"/>
        <v>0</v>
      </c>
      <c r="E71">
        <f t="shared" si="14"/>
        <v>0</v>
      </c>
      <c r="F71">
        <f t="shared" si="15"/>
        <v>0</v>
      </c>
      <c r="G71">
        <f t="shared" si="16"/>
        <v>0</v>
      </c>
      <c r="H71">
        <f t="shared" si="17"/>
        <v>0</v>
      </c>
      <c r="I71">
        <f t="shared" si="18"/>
        <v>0</v>
      </c>
      <c r="J71">
        <f t="shared" si="19"/>
        <v>0</v>
      </c>
      <c r="K71">
        <f t="shared" si="20"/>
        <v>0</v>
      </c>
      <c r="L71">
        <f t="shared" si="21"/>
        <v>0</v>
      </c>
      <c r="M71">
        <f t="shared" si="22"/>
        <v>0</v>
      </c>
      <c r="N71">
        <f t="shared" si="23"/>
        <v>1</v>
      </c>
    </row>
    <row r="72" spans="1:14" x14ac:dyDescent="0.35">
      <c r="A72" s="17">
        <v>44183</v>
      </c>
      <c r="B72">
        <f>AVERAGE(Tableau2[[#This Row],[AWB]:[IAM]])</f>
        <v>-6.4934456842522543E-3</v>
      </c>
      <c r="C72">
        <f t="shared" si="12"/>
        <v>0</v>
      </c>
      <c r="D72">
        <f t="shared" si="13"/>
        <v>0</v>
      </c>
      <c r="E72">
        <f t="shared" si="14"/>
        <v>0</v>
      </c>
      <c r="F72">
        <f t="shared" si="15"/>
        <v>0</v>
      </c>
      <c r="G72">
        <f t="shared" si="16"/>
        <v>0</v>
      </c>
      <c r="H72">
        <f t="shared" si="17"/>
        <v>0</v>
      </c>
      <c r="I72">
        <f t="shared" si="18"/>
        <v>0</v>
      </c>
      <c r="J72">
        <f t="shared" si="19"/>
        <v>0</v>
      </c>
      <c r="K72">
        <f t="shared" si="20"/>
        <v>0</v>
      </c>
      <c r="L72">
        <f t="shared" si="21"/>
        <v>0</v>
      </c>
      <c r="M72">
        <f t="shared" si="22"/>
        <v>0</v>
      </c>
      <c r="N72">
        <f t="shared" si="23"/>
        <v>1</v>
      </c>
    </row>
    <row r="73" spans="1:14" x14ac:dyDescent="0.35">
      <c r="A73" s="17">
        <v>44186</v>
      </c>
      <c r="B73">
        <f>AVERAGE(Tableau2[[#This Row],[AWB]:[IAM]])</f>
        <v>-2.9527938753633576E-2</v>
      </c>
      <c r="C73">
        <f t="shared" si="12"/>
        <v>0</v>
      </c>
      <c r="D73">
        <f t="shared" si="13"/>
        <v>0</v>
      </c>
      <c r="E73">
        <f t="shared" si="14"/>
        <v>0</v>
      </c>
      <c r="F73">
        <f t="shared" si="15"/>
        <v>0</v>
      </c>
      <c r="G73">
        <f t="shared" si="16"/>
        <v>0</v>
      </c>
      <c r="H73">
        <f t="shared" si="17"/>
        <v>0</v>
      </c>
      <c r="I73">
        <f t="shared" si="18"/>
        <v>0</v>
      </c>
      <c r="J73">
        <f t="shared" si="19"/>
        <v>0</v>
      </c>
      <c r="K73">
        <f t="shared" si="20"/>
        <v>0</v>
      </c>
      <c r="L73">
        <f t="shared" si="21"/>
        <v>0</v>
      </c>
      <c r="M73">
        <f t="shared" si="22"/>
        <v>0</v>
      </c>
      <c r="N73">
        <f t="shared" si="23"/>
        <v>1</v>
      </c>
    </row>
    <row r="74" spans="1:14" x14ac:dyDescent="0.35">
      <c r="A74" s="17">
        <v>44187</v>
      </c>
      <c r="B74">
        <f>AVERAGE(Tableau2[[#This Row],[AWB]:[IAM]])</f>
        <v>1.7778077577083808E-2</v>
      </c>
      <c r="C74">
        <f t="shared" si="12"/>
        <v>0</v>
      </c>
      <c r="D74">
        <f t="shared" si="13"/>
        <v>0</v>
      </c>
      <c r="E74">
        <f t="shared" si="14"/>
        <v>0</v>
      </c>
      <c r="F74">
        <f t="shared" si="15"/>
        <v>0</v>
      </c>
      <c r="G74">
        <f t="shared" si="16"/>
        <v>0</v>
      </c>
      <c r="H74">
        <f t="shared" si="17"/>
        <v>0</v>
      </c>
      <c r="I74">
        <f t="shared" si="18"/>
        <v>0</v>
      </c>
      <c r="J74">
        <f t="shared" si="19"/>
        <v>0</v>
      </c>
      <c r="K74">
        <f t="shared" si="20"/>
        <v>0</v>
      </c>
      <c r="L74">
        <f t="shared" si="21"/>
        <v>0</v>
      </c>
      <c r="M74">
        <f t="shared" si="22"/>
        <v>0</v>
      </c>
      <c r="N74">
        <f t="shared" si="23"/>
        <v>1</v>
      </c>
    </row>
    <row r="75" spans="1:14" x14ac:dyDescent="0.35">
      <c r="A75" s="17">
        <v>44189</v>
      </c>
      <c r="B75">
        <f>AVERAGE(Tableau2[[#This Row],[AWB]:[IAM]])</f>
        <v>3.57960907664788E-3</v>
      </c>
      <c r="C75">
        <f t="shared" si="12"/>
        <v>0</v>
      </c>
      <c r="D75">
        <f t="shared" si="13"/>
        <v>0</v>
      </c>
      <c r="E75">
        <f t="shared" si="14"/>
        <v>0</v>
      </c>
      <c r="F75">
        <f t="shared" si="15"/>
        <v>0</v>
      </c>
      <c r="G75">
        <f t="shared" si="16"/>
        <v>0</v>
      </c>
      <c r="H75">
        <f t="shared" si="17"/>
        <v>0</v>
      </c>
      <c r="I75">
        <f t="shared" si="18"/>
        <v>0</v>
      </c>
      <c r="J75">
        <f t="shared" si="19"/>
        <v>0</v>
      </c>
      <c r="K75">
        <f t="shared" si="20"/>
        <v>0</v>
      </c>
      <c r="L75">
        <f t="shared" si="21"/>
        <v>0</v>
      </c>
      <c r="M75">
        <f t="shared" si="22"/>
        <v>0</v>
      </c>
      <c r="N75">
        <f t="shared" si="23"/>
        <v>1</v>
      </c>
    </row>
    <row r="76" spans="1:14" x14ac:dyDescent="0.35">
      <c r="A76" s="17">
        <v>44193</v>
      </c>
      <c r="B76">
        <f>AVERAGE(Tableau2[[#This Row],[AWB]:[IAM]])</f>
        <v>-1.243870919523196E-2</v>
      </c>
      <c r="C76">
        <f t="shared" si="12"/>
        <v>0</v>
      </c>
      <c r="D76">
        <f t="shared" si="13"/>
        <v>0</v>
      </c>
      <c r="E76">
        <f t="shared" si="14"/>
        <v>0</v>
      </c>
      <c r="F76">
        <f t="shared" si="15"/>
        <v>0</v>
      </c>
      <c r="G76">
        <f t="shared" si="16"/>
        <v>0</v>
      </c>
      <c r="H76">
        <f t="shared" si="17"/>
        <v>0</v>
      </c>
      <c r="I76">
        <f t="shared" si="18"/>
        <v>0</v>
      </c>
      <c r="J76">
        <f t="shared" si="19"/>
        <v>0</v>
      </c>
      <c r="K76">
        <f t="shared" si="20"/>
        <v>0</v>
      </c>
      <c r="L76">
        <f t="shared" si="21"/>
        <v>0</v>
      </c>
      <c r="M76">
        <f t="shared" si="22"/>
        <v>0</v>
      </c>
      <c r="N76">
        <f t="shared" si="23"/>
        <v>1</v>
      </c>
    </row>
    <row r="77" spans="1:14" x14ac:dyDescent="0.35">
      <c r="A77" s="17">
        <v>44194</v>
      </c>
      <c r="B77">
        <f>AVERAGE(Tableau2[[#This Row],[AWB]:[IAM]])</f>
        <v>-4.9381831498906794E-3</v>
      </c>
      <c r="C77">
        <f t="shared" si="12"/>
        <v>0</v>
      </c>
      <c r="D77">
        <f t="shared" si="13"/>
        <v>0</v>
      </c>
      <c r="E77">
        <f t="shared" si="14"/>
        <v>0</v>
      </c>
      <c r="F77">
        <f t="shared" si="15"/>
        <v>0</v>
      </c>
      <c r="G77">
        <f t="shared" si="16"/>
        <v>0</v>
      </c>
      <c r="H77">
        <f t="shared" si="17"/>
        <v>0</v>
      </c>
      <c r="I77">
        <f t="shared" si="18"/>
        <v>0</v>
      </c>
      <c r="J77">
        <f t="shared" si="19"/>
        <v>0</v>
      </c>
      <c r="K77">
        <f t="shared" si="20"/>
        <v>0</v>
      </c>
      <c r="L77">
        <f t="shared" si="21"/>
        <v>0</v>
      </c>
      <c r="M77">
        <f t="shared" si="22"/>
        <v>0</v>
      </c>
      <c r="N77">
        <f t="shared" si="23"/>
        <v>1</v>
      </c>
    </row>
    <row r="78" spans="1:14" x14ac:dyDescent="0.35">
      <c r="A78" s="17">
        <v>44209</v>
      </c>
      <c r="B78">
        <f>AVERAGE(Tableau2[[#This Row],[AWB]:[IAM]])</f>
        <v>9.9326194211652001E-3</v>
      </c>
      <c r="C78">
        <f t="shared" si="12"/>
        <v>1</v>
      </c>
      <c r="D78">
        <f t="shared" si="13"/>
        <v>0</v>
      </c>
      <c r="E78">
        <f t="shared" si="14"/>
        <v>0</v>
      </c>
      <c r="F78">
        <f t="shared" si="15"/>
        <v>0</v>
      </c>
      <c r="G78">
        <f t="shared" si="16"/>
        <v>0</v>
      </c>
      <c r="H78">
        <f t="shared" si="17"/>
        <v>0</v>
      </c>
      <c r="I78">
        <f t="shared" si="18"/>
        <v>0</v>
      </c>
      <c r="J78">
        <f t="shared" si="19"/>
        <v>0</v>
      </c>
      <c r="K78">
        <f t="shared" si="20"/>
        <v>0</v>
      </c>
      <c r="L78">
        <f t="shared" si="21"/>
        <v>0</v>
      </c>
      <c r="M78">
        <f t="shared" si="22"/>
        <v>0</v>
      </c>
      <c r="N78">
        <f t="shared" si="23"/>
        <v>0</v>
      </c>
    </row>
    <row r="79" spans="1:14" x14ac:dyDescent="0.35">
      <c r="A79" s="17">
        <v>44211</v>
      </c>
      <c r="B79">
        <f>AVERAGE(Tableau2[[#This Row],[AWB]:[IAM]])</f>
        <v>1.2698571660312978E-2</v>
      </c>
      <c r="C79">
        <f t="shared" si="12"/>
        <v>1</v>
      </c>
      <c r="D79">
        <f t="shared" si="13"/>
        <v>0</v>
      </c>
      <c r="E79">
        <f t="shared" si="14"/>
        <v>0</v>
      </c>
      <c r="F79">
        <f t="shared" si="15"/>
        <v>0</v>
      </c>
      <c r="G79">
        <f t="shared" si="16"/>
        <v>0</v>
      </c>
      <c r="H79">
        <f t="shared" si="17"/>
        <v>0</v>
      </c>
      <c r="I79">
        <f t="shared" si="18"/>
        <v>0</v>
      </c>
      <c r="J79">
        <f t="shared" si="19"/>
        <v>0</v>
      </c>
      <c r="K79">
        <f t="shared" si="20"/>
        <v>0</v>
      </c>
      <c r="L79">
        <f t="shared" si="21"/>
        <v>0</v>
      </c>
      <c r="M79">
        <f t="shared" si="22"/>
        <v>0</v>
      </c>
      <c r="N79">
        <f t="shared" si="23"/>
        <v>0</v>
      </c>
    </row>
    <row r="80" spans="1:14" x14ac:dyDescent="0.35">
      <c r="A80" s="17">
        <v>44217</v>
      </c>
      <c r="B80">
        <f>AVERAGE(Tableau2[[#This Row],[AWB]:[IAM]])</f>
        <v>7.1679530136200551E-3</v>
      </c>
      <c r="C80">
        <f t="shared" si="12"/>
        <v>1</v>
      </c>
      <c r="D80">
        <f t="shared" si="13"/>
        <v>0</v>
      </c>
      <c r="E80">
        <f t="shared" si="14"/>
        <v>0</v>
      </c>
      <c r="F80">
        <f t="shared" si="15"/>
        <v>0</v>
      </c>
      <c r="G80">
        <f t="shared" si="16"/>
        <v>0</v>
      </c>
      <c r="H80">
        <f t="shared" si="17"/>
        <v>0</v>
      </c>
      <c r="I80">
        <f t="shared" si="18"/>
        <v>0</v>
      </c>
      <c r="J80">
        <f t="shared" si="19"/>
        <v>0</v>
      </c>
      <c r="K80">
        <f t="shared" si="20"/>
        <v>0</v>
      </c>
      <c r="L80">
        <f t="shared" si="21"/>
        <v>0</v>
      </c>
      <c r="M80">
        <f t="shared" si="22"/>
        <v>0</v>
      </c>
      <c r="N80">
        <f t="shared" si="23"/>
        <v>0</v>
      </c>
    </row>
    <row r="81" spans="1:14" x14ac:dyDescent="0.35">
      <c r="A81" s="17">
        <v>44218</v>
      </c>
      <c r="B81">
        <f>AVERAGE(Tableau2[[#This Row],[AWB]:[IAM]])</f>
        <v>-2.2411788530609916E-3</v>
      </c>
      <c r="C81">
        <f t="shared" si="12"/>
        <v>1</v>
      </c>
      <c r="D81">
        <f t="shared" si="13"/>
        <v>0</v>
      </c>
      <c r="E81">
        <f t="shared" si="14"/>
        <v>0</v>
      </c>
      <c r="F81">
        <f t="shared" si="15"/>
        <v>0</v>
      </c>
      <c r="G81">
        <f t="shared" si="16"/>
        <v>0</v>
      </c>
      <c r="H81">
        <f t="shared" si="17"/>
        <v>0</v>
      </c>
      <c r="I81">
        <f t="shared" si="18"/>
        <v>0</v>
      </c>
      <c r="J81">
        <f t="shared" si="19"/>
        <v>0</v>
      </c>
      <c r="K81">
        <f t="shared" si="20"/>
        <v>0</v>
      </c>
      <c r="L81">
        <f t="shared" si="21"/>
        <v>0</v>
      </c>
      <c r="M81">
        <f t="shared" si="22"/>
        <v>0</v>
      </c>
      <c r="N81">
        <f t="shared" si="23"/>
        <v>0</v>
      </c>
    </row>
    <row r="82" spans="1:14" x14ac:dyDescent="0.35">
      <c r="A82" s="17">
        <v>44225</v>
      </c>
      <c r="B82">
        <f>AVERAGE(Tableau2[[#This Row],[AWB]:[IAM]])</f>
        <v>1.4859985998876701E-2</v>
      </c>
      <c r="C82">
        <f t="shared" si="12"/>
        <v>1</v>
      </c>
      <c r="D82">
        <f t="shared" si="13"/>
        <v>0</v>
      </c>
      <c r="E82">
        <f t="shared" si="14"/>
        <v>0</v>
      </c>
      <c r="F82">
        <f t="shared" si="15"/>
        <v>0</v>
      </c>
      <c r="G82">
        <f t="shared" si="16"/>
        <v>0</v>
      </c>
      <c r="H82">
        <f t="shared" si="17"/>
        <v>0</v>
      </c>
      <c r="I82">
        <f t="shared" si="18"/>
        <v>0</v>
      </c>
      <c r="J82">
        <f t="shared" si="19"/>
        <v>0</v>
      </c>
      <c r="K82">
        <f t="shared" si="20"/>
        <v>0</v>
      </c>
      <c r="L82">
        <f t="shared" si="21"/>
        <v>0</v>
      </c>
      <c r="M82">
        <f t="shared" si="22"/>
        <v>0</v>
      </c>
      <c r="N82">
        <f t="shared" si="23"/>
        <v>0</v>
      </c>
    </row>
    <row r="83" spans="1:14" x14ac:dyDescent="0.35">
      <c r="A83" s="17">
        <v>44230</v>
      </c>
      <c r="B83">
        <f>AVERAGE(Tableau2[[#This Row],[AWB]:[IAM]])</f>
        <v>1.1499129653852943E-2</v>
      </c>
      <c r="C83">
        <f t="shared" si="12"/>
        <v>0</v>
      </c>
      <c r="D83">
        <f t="shared" si="13"/>
        <v>1</v>
      </c>
      <c r="E83">
        <f t="shared" si="14"/>
        <v>0</v>
      </c>
      <c r="F83">
        <f t="shared" si="15"/>
        <v>0</v>
      </c>
      <c r="G83">
        <f t="shared" si="16"/>
        <v>0</v>
      </c>
      <c r="H83">
        <f t="shared" si="17"/>
        <v>0</v>
      </c>
      <c r="I83">
        <f t="shared" si="18"/>
        <v>0</v>
      </c>
      <c r="J83">
        <f t="shared" si="19"/>
        <v>0</v>
      </c>
      <c r="K83">
        <f t="shared" si="20"/>
        <v>0</v>
      </c>
      <c r="L83">
        <f t="shared" si="21"/>
        <v>0</v>
      </c>
      <c r="M83">
        <f t="shared" si="22"/>
        <v>0</v>
      </c>
      <c r="N83">
        <f t="shared" si="23"/>
        <v>0</v>
      </c>
    </row>
    <row r="84" spans="1:14" x14ac:dyDescent="0.35">
      <c r="A84" s="17">
        <v>44232</v>
      </c>
      <c r="B84">
        <f>AVERAGE(Tableau2[[#This Row],[AWB]:[IAM]])</f>
        <v>3.4596017377485503E-3</v>
      </c>
      <c r="C84">
        <f t="shared" si="12"/>
        <v>0</v>
      </c>
      <c r="D84">
        <f t="shared" si="13"/>
        <v>1</v>
      </c>
      <c r="E84">
        <f t="shared" si="14"/>
        <v>0</v>
      </c>
      <c r="F84">
        <f t="shared" si="15"/>
        <v>0</v>
      </c>
      <c r="G84">
        <f t="shared" si="16"/>
        <v>0</v>
      </c>
      <c r="H84">
        <f t="shared" si="17"/>
        <v>0</v>
      </c>
      <c r="I84">
        <f t="shared" si="18"/>
        <v>0</v>
      </c>
      <c r="J84">
        <f t="shared" si="19"/>
        <v>0</v>
      </c>
      <c r="K84">
        <f t="shared" si="20"/>
        <v>0</v>
      </c>
      <c r="L84">
        <f t="shared" si="21"/>
        <v>0</v>
      </c>
      <c r="M84">
        <f t="shared" si="22"/>
        <v>0</v>
      </c>
      <c r="N84">
        <f t="shared" si="23"/>
        <v>0</v>
      </c>
    </row>
    <row r="85" spans="1:14" x14ac:dyDescent="0.35">
      <c r="A85" s="17">
        <v>44235</v>
      </c>
      <c r="B85">
        <f>AVERAGE(Tableau2[[#This Row],[AWB]:[IAM]])</f>
        <v>-1.220411493063464E-3</v>
      </c>
      <c r="C85">
        <f t="shared" si="12"/>
        <v>0</v>
      </c>
      <c r="D85">
        <f t="shared" si="13"/>
        <v>1</v>
      </c>
      <c r="E85">
        <f t="shared" si="14"/>
        <v>0</v>
      </c>
      <c r="F85">
        <f t="shared" si="15"/>
        <v>0</v>
      </c>
      <c r="G85">
        <f t="shared" si="16"/>
        <v>0</v>
      </c>
      <c r="H85">
        <f t="shared" si="17"/>
        <v>0</v>
      </c>
      <c r="I85">
        <f t="shared" si="18"/>
        <v>0</v>
      </c>
      <c r="J85">
        <f t="shared" si="19"/>
        <v>0</v>
      </c>
      <c r="K85">
        <f t="shared" si="20"/>
        <v>0</v>
      </c>
      <c r="L85">
        <f t="shared" si="21"/>
        <v>0</v>
      </c>
      <c r="M85">
        <f t="shared" si="22"/>
        <v>0</v>
      </c>
      <c r="N85">
        <f t="shared" si="23"/>
        <v>0</v>
      </c>
    </row>
    <row r="86" spans="1:14" x14ac:dyDescent="0.35">
      <c r="A86" s="17">
        <v>44238</v>
      </c>
      <c r="B86">
        <f>AVERAGE(Tableau2[[#This Row],[AWB]:[IAM]])</f>
        <v>-8.7151669309331031E-3</v>
      </c>
      <c r="C86">
        <f t="shared" si="12"/>
        <v>0</v>
      </c>
      <c r="D86">
        <f t="shared" si="13"/>
        <v>1</v>
      </c>
      <c r="E86">
        <f t="shared" si="14"/>
        <v>0</v>
      </c>
      <c r="F86">
        <f t="shared" si="15"/>
        <v>0</v>
      </c>
      <c r="G86">
        <f t="shared" si="16"/>
        <v>0</v>
      </c>
      <c r="H86">
        <f t="shared" si="17"/>
        <v>0</v>
      </c>
      <c r="I86">
        <f t="shared" si="18"/>
        <v>0</v>
      </c>
      <c r="J86">
        <f t="shared" si="19"/>
        <v>0</v>
      </c>
      <c r="K86">
        <f t="shared" si="20"/>
        <v>0</v>
      </c>
      <c r="L86">
        <f t="shared" si="21"/>
        <v>0</v>
      </c>
      <c r="M86">
        <f t="shared" si="22"/>
        <v>0</v>
      </c>
      <c r="N86">
        <f t="shared" si="23"/>
        <v>0</v>
      </c>
    </row>
    <row r="87" spans="1:14" x14ac:dyDescent="0.35">
      <c r="A87" s="17">
        <v>44249</v>
      </c>
      <c r="B87">
        <f>AVERAGE(Tableau2[[#This Row],[AWB]:[IAM]])</f>
        <v>-1.6438890004304083E-2</v>
      </c>
      <c r="C87">
        <f t="shared" si="12"/>
        <v>0</v>
      </c>
      <c r="D87">
        <f t="shared" si="13"/>
        <v>1</v>
      </c>
      <c r="E87">
        <f t="shared" si="14"/>
        <v>0</v>
      </c>
      <c r="F87">
        <f t="shared" si="15"/>
        <v>0</v>
      </c>
      <c r="G87">
        <f t="shared" si="16"/>
        <v>0</v>
      </c>
      <c r="H87">
        <f t="shared" si="17"/>
        <v>0</v>
      </c>
      <c r="I87">
        <f t="shared" si="18"/>
        <v>0</v>
      </c>
      <c r="J87">
        <f t="shared" si="19"/>
        <v>0</v>
      </c>
      <c r="K87">
        <f t="shared" si="20"/>
        <v>0</v>
      </c>
      <c r="L87">
        <f t="shared" si="21"/>
        <v>0</v>
      </c>
      <c r="M87">
        <f t="shared" si="22"/>
        <v>0</v>
      </c>
      <c r="N87">
        <f t="shared" si="23"/>
        <v>0</v>
      </c>
    </row>
    <row r="88" spans="1:14" x14ac:dyDescent="0.35">
      <c r="A88" s="17">
        <v>44253</v>
      </c>
      <c r="B88">
        <f>AVERAGE(Tableau2[[#This Row],[AWB]:[IAM]])</f>
        <v>-1.2711761045443496E-2</v>
      </c>
      <c r="C88">
        <f t="shared" si="12"/>
        <v>0</v>
      </c>
      <c r="D88">
        <f t="shared" si="13"/>
        <v>1</v>
      </c>
      <c r="E88">
        <f t="shared" si="14"/>
        <v>0</v>
      </c>
      <c r="F88">
        <f t="shared" si="15"/>
        <v>0</v>
      </c>
      <c r="G88">
        <f t="shared" si="16"/>
        <v>0</v>
      </c>
      <c r="H88">
        <f t="shared" si="17"/>
        <v>0</v>
      </c>
      <c r="I88">
        <f t="shared" si="18"/>
        <v>0</v>
      </c>
      <c r="J88">
        <f t="shared" si="19"/>
        <v>0</v>
      </c>
      <c r="K88">
        <f t="shared" si="20"/>
        <v>0</v>
      </c>
      <c r="L88">
        <f t="shared" si="21"/>
        <v>0</v>
      </c>
      <c r="M88">
        <f t="shared" si="22"/>
        <v>0</v>
      </c>
      <c r="N88">
        <f t="shared" si="23"/>
        <v>0</v>
      </c>
    </row>
    <row r="89" spans="1:14" x14ac:dyDescent="0.35">
      <c r="A89" s="17">
        <v>44267</v>
      </c>
      <c r="B89">
        <f>AVERAGE(Tableau2[[#This Row],[AWB]:[IAM]])</f>
        <v>-3.6517054867306015E-3</v>
      </c>
      <c r="C89">
        <f t="shared" si="12"/>
        <v>0</v>
      </c>
      <c r="D89">
        <f t="shared" si="13"/>
        <v>0</v>
      </c>
      <c r="E89">
        <f t="shared" si="14"/>
        <v>1</v>
      </c>
      <c r="F89">
        <f t="shared" si="15"/>
        <v>0</v>
      </c>
      <c r="G89">
        <f t="shared" si="16"/>
        <v>0</v>
      </c>
      <c r="H89">
        <f t="shared" si="17"/>
        <v>0</v>
      </c>
      <c r="I89">
        <f t="shared" si="18"/>
        <v>0</v>
      </c>
      <c r="J89">
        <f t="shared" si="19"/>
        <v>0</v>
      </c>
      <c r="K89">
        <f t="shared" si="20"/>
        <v>0</v>
      </c>
      <c r="L89">
        <f t="shared" si="21"/>
        <v>0</v>
      </c>
      <c r="M89">
        <f t="shared" si="22"/>
        <v>0</v>
      </c>
      <c r="N89">
        <f t="shared" si="23"/>
        <v>0</v>
      </c>
    </row>
    <row r="90" spans="1:14" x14ac:dyDescent="0.35">
      <c r="A90" s="17">
        <v>44273</v>
      </c>
      <c r="B90">
        <f>AVERAGE(Tableau2[[#This Row],[AWB]:[IAM]])</f>
        <v>9.8450684510566749E-3</v>
      </c>
      <c r="C90">
        <f t="shared" si="12"/>
        <v>0</v>
      </c>
      <c r="D90">
        <f t="shared" si="13"/>
        <v>0</v>
      </c>
      <c r="E90">
        <f t="shared" si="14"/>
        <v>1</v>
      </c>
      <c r="F90">
        <f t="shared" si="15"/>
        <v>0</v>
      </c>
      <c r="G90">
        <f t="shared" si="16"/>
        <v>0</v>
      </c>
      <c r="H90">
        <f t="shared" si="17"/>
        <v>0</v>
      </c>
      <c r="I90">
        <f t="shared" si="18"/>
        <v>0</v>
      </c>
      <c r="J90">
        <f t="shared" si="19"/>
        <v>0</v>
      </c>
      <c r="K90">
        <f t="shared" si="20"/>
        <v>0</v>
      </c>
      <c r="L90">
        <f t="shared" si="21"/>
        <v>0</v>
      </c>
      <c r="M90">
        <f t="shared" si="22"/>
        <v>0</v>
      </c>
      <c r="N90">
        <f t="shared" si="23"/>
        <v>0</v>
      </c>
    </row>
    <row r="91" spans="1:14" x14ac:dyDescent="0.35">
      <c r="A91" s="17">
        <v>44277</v>
      </c>
      <c r="B91">
        <f>AVERAGE(Tableau2[[#This Row],[AWB]:[IAM]])</f>
        <v>-2.2268152365082284E-3</v>
      </c>
      <c r="C91">
        <f t="shared" si="12"/>
        <v>0</v>
      </c>
      <c r="D91">
        <f t="shared" si="13"/>
        <v>0</v>
      </c>
      <c r="E91">
        <f t="shared" si="14"/>
        <v>1</v>
      </c>
      <c r="F91">
        <f t="shared" si="15"/>
        <v>0</v>
      </c>
      <c r="G91">
        <f t="shared" si="16"/>
        <v>0</v>
      </c>
      <c r="H91">
        <f t="shared" si="17"/>
        <v>0</v>
      </c>
      <c r="I91">
        <f t="shared" si="18"/>
        <v>0</v>
      </c>
      <c r="J91">
        <f t="shared" si="19"/>
        <v>0</v>
      </c>
      <c r="K91">
        <f t="shared" si="20"/>
        <v>0</v>
      </c>
      <c r="L91">
        <f t="shared" si="21"/>
        <v>0</v>
      </c>
      <c r="M91">
        <f t="shared" si="22"/>
        <v>0</v>
      </c>
      <c r="N91">
        <f t="shared" si="23"/>
        <v>0</v>
      </c>
    </row>
    <row r="92" spans="1:14" x14ac:dyDescent="0.35">
      <c r="A92" s="17">
        <v>44281</v>
      </c>
      <c r="B92">
        <f>AVERAGE(Tableau2[[#This Row],[AWB]:[IAM]])</f>
        <v>3.6749397296261792E-3</v>
      </c>
      <c r="C92">
        <f t="shared" si="12"/>
        <v>0</v>
      </c>
      <c r="D92">
        <f t="shared" si="13"/>
        <v>0</v>
      </c>
      <c r="E92">
        <f t="shared" si="14"/>
        <v>1</v>
      </c>
      <c r="F92">
        <f t="shared" si="15"/>
        <v>0</v>
      </c>
      <c r="G92">
        <f t="shared" si="16"/>
        <v>0</v>
      </c>
      <c r="H92">
        <f t="shared" si="17"/>
        <v>0</v>
      </c>
      <c r="I92">
        <f t="shared" si="18"/>
        <v>0</v>
      </c>
      <c r="J92">
        <f t="shared" si="19"/>
        <v>0</v>
      </c>
      <c r="K92">
        <f t="shared" si="20"/>
        <v>0</v>
      </c>
      <c r="L92">
        <f t="shared" si="21"/>
        <v>0</v>
      </c>
      <c r="M92">
        <f t="shared" si="22"/>
        <v>0</v>
      </c>
      <c r="N92">
        <f t="shared" si="23"/>
        <v>0</v>
      </c>
    </row>
    <row r="93" spans="1:14" x14ac:dyDescent="0.35">
      <c r="A93" s="17">
        <v>44308</v>
      </c>
      <c r="B93">
        <f>AVERAGE(Tableau2[[#This Row],[AWB]:[IAM]])</f>
        <v>2.0839141850956058E-2</v>
      </c>
      <c r="C93">
        <f t="shared" si="12"/>
        <v>0</v>
      </c>
      <c r="D93">
        <f t="shared" si="13"/>
        <v>0</v>
      </c>
      <c r="E93">
        <f t="shared" si="14"/>
        <v>0</v>
      </c>
      <c r="F93">
        <f t="shared" si="15"/>
        <v>1</v>
      </c>
      <c r="G93">
        <f t="shared" si="16"/>
        <v>0</v>
      </c>
      <c r="H93">
        <f t="shared" si="17"/>
        <v>0</v>
      </c>
      <c r="I93">
        <f t="shared" si="18"/>
        <v>0</v>
      </c>
      <c r="J93">
        <f t="shared" si="19"/>
        <v>0</v>
      </c>
      <c r="K93">
        <f t="shared" si="20"/>
        <v>0</v>
      </c>
      <c r="L93">
        <f t="shared" si="21"/>
        <v>0</v>
      </c>
      <c r="M93">
        <f t="shared" si="22"/>
        <v>0</v>
      </c>
      <c r="N93">
        <f t="shared" si="23"/>
        <v>0</v>
      </c>
    </row>
    <row r="94" spans="1:14" x14ac:dyDescent="0.35">
      <c r="A94" s="17">
        <v>44309</v>
      </c>
      <c r="B94">
        <f>AVERAGE(Tableau2[[#This Row],[AWB]:[IAM]])</f>
        <v>1.4935884415459128E-3</v>
      </c>
      <c r="C94">
        <f t="shared" si="12"/>
        <v>0</v>
      </c>
      <c r="D94">
        <f t="shared" si="13"/>
        <v>0</v>
      </c>
      <c r="E94">
        <f t="shared" si="14"/>
        <v>0</v>
      </c>
      <c r="F94">
        <f t="shared" si="15"/>
        <v>1</v>
      </c>
      <c r="G94">
        <f t="shared" si="16"/>
        <v>0</v>
      </c>
      <c r="H94">
        <f t="shared" si="17"/>
        <v>0</v>
      </c>
      <c r="I94">
        <f t="shared" si="18"/>
        <v>0</v>
      </c>
      <c r="J94">
        <f t="shared" si="19"/>
        <v>0</v>
      </c>
      <c r="K94">
        <f t="shared" si="20"/>
        <v>0</v>
      </c>
      <c r="L94">
        <f t="shared" si="21"/>
        <v>0</v>
      </c>
      <c r="M94">
        <f t="shared" si="22"/>
        <v>0</v>
      </c>
      <c r="N94">
        <f t="shared" si="23"/>
        <v>0</v>
      </c>
    </row>
    <row r="95" spans="1:14" x14ac:dyDescent="0.35">
      <c r="A95" s="17">
        <v>44316</v>
      </c>
      <c r="B95">
        <f>AVERAGE(Tableau2[[#This Row],[AWB]:[IAM]])</f>
        <v>3.2539370579416781E-3</v>
      </c>
      <c r="C95">
        <f t="shared" si="12"/>
        <v>0</v>
      </c>
      <c r="D95">
        <f t="shared" si="13"/>
        <v>0</v>
      </c>
      <c r="E95">
        <f t="shared" si="14"/>
        <v>0</v>
      </c>
      <c r="F95">
        <f t="shared" si="15"/>
        <v>1</v>
      </c>
      <c r="G95">
        <f t="shared" si="16"/>
        <v>0</v>
      </c>
      <c r="H95">
        <f t="shared" si="17"/>
        <v>0</v>
      </c>
      <c r="I95">
        <f t="shared" si="18"/>
        <v>0</v>
      </c>
      <c r="J95">
        <f t="shared" si="19"/>
        <v>0</v>
      </c>
      <c r="K95">
        <f t="shared" si="20"/>
        <v>0</v>
      </c>
      <c r="L95">
        <f t="shared" si="21"/>
        <v>0</v>
      </c>
      <c r="M95">
        <f t="shared" si="22"/>
        <v>0</v>
      </c>
      <c r="N95">
        <f t="shared" si="23"/>
        <v>0</v>
      </c>
    </row>
    <row r="96" spans="1:14" x14ac:dyDescent="0.35">
      <c r="A96" s="17">
        <v>44319</v>
      </c>
      <c r="B96">
        <f>AVERAGE(Tableau2[[#This Row],[AWB]:[IAM]])</f>
        <v>4.0050538015272636E-3</v>
      </c>
      <c r="C96">
        <f t="shared" si="12"/>
        <v>0</v>
      </c>
      <c r="D96">
        <f t="shared" si="13"/>
        <v>0</v>
      </c>
      <c r="E96">
        <f t="shared" si="14"/>
        <v>0</v>
      </c>
      <c r="F96">
        <f t="shared" si="15"/>
        <v>0</v>
      </c>
      <c r="G96">
        <f t="shared" si="16"/>
        <v>1</v>
      </c>
      <c r="H96">
        <f t="shared" si="17"/>
        <v>0</v>
      </c>
      <c r="I96">
        <f t="shared" si="18"/>
        <v>0</v>
      </c>
      <c r="J96">
        <f t="shared" si="19"/>
        <v>0</v>
      </c>
      <c r="K96">
        <f t="shared" si="20"/>
        <v>0</v>
      </c>
      <c r="L96">
        <f t="shared" si="21"/>
        <v>0</v>
      </c>
      <c r="M96">
        <f t="shared" si="22"/>
        <v>0</v>
      </c>
      <c r="N96">
        <f t="shared" si="23"/>
        <v>0</v>
      </c>
    </row>
    <row r="97" spans="1:14" x14ac:dyDescent="0.35">
      <c r="A97" s="17">
        <v>44320</v>
      </c>
      <c r="B97">
        <f>AVERAGE(Tableau2[[#This Row],[AWB]:[IAM]])</f>
        <v>7.7254829536844098E-3</v>
      </c>
      <c r="C97">
        <f t="shared" si="12"/>
        <v>0</v>
      </c>
      <c r="D97">
        <f t="shared" si="13"/>
        <v>0</v>
      </c>
      <c r="E97">
        <f t="shared" si="14"/>
        <v>0</v>
      </c>
      <c r="F97">
        <f t="shared" si="15"/>
        <v>0</v>
      </c>
      <c r="G97">
        <f t="shared" si="16"/>
        <v>1</v>
      </c>
      <c r="H97">
        <f t="shared" si="17"/>
        <v>0</v>
      </c>
      <c r="I97">
        <f t="shared" si="18"/>
        <v>0</v>
      </c>
      <c r="J97">
        <f t="shared" si="19"/>
        <v>0</v>
      </c>
      <c r="K97">
        <f t="shared" si="20"/>
        <v>0</v>
      </c>
      <c r="L97">
        <f t="shared" si="21"/>
        <v>0</v>
      </c>
      <c r="M97">
        <f t="shared" si="22"/>
        <v>0</v>
      </c>
      <c r="N97">
        <f t="shared" si="23"/>
        <v>0</v>
      </c>
    </row>
    <row r="98" spans="1:14" x14ac:dyDescent="0.35">
      <c r="A98" s="17">
        <v>44322</v>
      </c>
      <c r="B98">
        <f>AVERAGE(Tableau2[[#This Row],[AWB]:[IAM]])</f>
        <v>6.0039962672518645E-4</v>
      </c>
      <c r="C98">
        <f t="shared" si="12"/>
        <v>0</v>
      </c>
      <c r="D98">
        <f t="shared" si="13"/>
        <v>0</v>
      </c>
      <c r="E98">
        <f t="shared" si="14"/>
        <v>0</v>
      </c>
      <c r="F98">
        <f t="shared" si="15"/>
        <v>0</v>
      </c>
      <c r="G98">
        <f t="shared" si="16"/>
        <v>1</v>
      </c>
      <c r="H98">
        <f t="shared" si="17"/>
        <v>0</v>
      </c>
      <c r="I98">
        <f t="shared" si="18"/>
        <v>0</v>
      </c>
      <c r="J98">
        <f t="shared" si="19"/>
        <v>0</v>
      </c>
      <c r="K98">
        <f t="shared" si="20"/>
        <v>0</v>
      </c>
      <c r="L98">
        <f t="shared" si="21"/>
        <v>0</v>
      </c>
      <c r="M98">
        <f t="shared" si="22"/>
        <v>0</v>
      </c>
      <c r="N98">
        <f t="shared" si="23"/>
        <v>0</v>
      </c>
    </row>
    <row r="99" spans="1:14" x14ac:dyDescent="0.35">
      <c r="A99" s="17">
        <v>44323</v>
      </c>
      <c r="B99">
        <f>AVERAGE(Tableau2[[#This Row],[AWB]:[IAM]])</f>
        <v>-4.6384608242707369E-5</v>
      </c>
      <c r="C99">
        <f t="shared" si="12"/>
        <v>0</v>
      </c>
      <c r="D99">
        <f t="shared" si="13"/>
        <v>0</v>
      </c>
      <c r="E99">
        <f t="shared" si="14"/>
        <v>0</v>
      </c>
      <c r="F99">
        <f t="shared" si="15"/>
        <v>0</v>
      </c>
      <c r="G99">
        <f t="shared" si="16"/>
        <v>1</v>
      </c>
      <c r="H99">
        <f t="shared" si="17"/>
        <v>0</v>
      </c>
      <c r="I99">
        <f t="shared" si="18"/>
        <v>0</v>
      </c>
      <c r="J99">
        <f t="shared" si="19"/>
        <v>0</v>
      </c>
      <c r="K99">
        <f t="shared" si="20"/>
        <v>0</v>
      </c>
      <c r="L99">
        <f t="shared" si="21"/>
        <v>0</v>
      </c>
      <c r="M99">
        <f t="shared" si="22"/>
        <v>0</v>
      </c>
      <c r="N99">
        <f t="shared" si="23"/>
        <v>0</v>
      </c>
    </row>
    <row r="100" spans="1:14" x14ac:dyDescent="0.35">
      <c r="A100" s="17">
        <v>44326</v>
      </c>
      <c r="B100">
        <f>AVERAGE(Tableau2[[#This Row],[AWB]:[IAM]])</f>
        <v>4.8632687482908811E-3</v>
      </c>
      <c r="C100">
        <f t="shared" si="12"/>
        <v>0</v>
      </c>
      <c r="D100">
        <f t="shared" si="13"/>
        <v>0</v>
      </c>
      <c r="E100">
        <f t="shared" si="14"/>
        <v>0</v>
      </c>
      <c r="F100">
        <f t="shared" si="15"/>
        <v>0</v>
      </c>
      <c r="G100">
        <f t="shared" si="16"/>
        <v>1</v>
      </c>
      <c r="H100">
        <f t="shared" si="17"/>
        <v>0</v>
      </c>
      <c r="I100">
        <f t="shared" si="18"/>
        <v>0</v>
      </c>
      <c r="J100">
        <f t="shared" si="19"/>
        <v>0</v>
      </c>
      <c r="K100">
        <f t="shared" si="20"/>
        <v>0</v>
      </c>
      <c r="L100">
        <f t="shared" si="21"/>
        <v>0</v>
      </c>
      <c r="M100">
        <f t="shared" si="22"/>
        <v>0</v>
      </c>
      <c r="N100">
        <f t="shared" si="23"/>
        <v>0</v>
      </c>
    </row>
    <row r="101" spans="1:14" x14ac:dyDescent="0.35">
      <c r="A101" s="17">
        <v>44328</v>
      </c>
      <c r="B101">
        <f>AVERAGE(Tableau2[[#This Row],[AWB]:[IAM]])</f>
        <v>-3.0330423881305261E-3</v>
      </c>
      <c r="C101">
        <f t="shared" si="12"/>
        <v>0</v>
      </c>
      <c r="D101">
        <f t="shared" si="13"/>
        <v>0</v>
      </c>
      <c r="E101">
        <f t="shared" si="14"/>
        <v>0</v>
      </c>
      <c r="F101">
        <f t="shared" si="15"/>
        <v>0</v>
      </c>
      <c r="G101">
        <f t="shared" si="16"/>
        <v>1</v>
      </c>
      <c r="H101">
        <f t="shared" si="17"/>
        <v>0</v>
      </c>
      <c r="I101">
        <f t="shared" si="18"/>
        <v>0</v>
      </c>
      <c r="J101">
        <f t="shared" si="19"/>
        <v>0</v>
      </c>
      <c r="K101">
        <f t="shared" si="20"/>
        <v>0</v>
      </c>
      <c r="L101">
        <f t="shared" si="21"/>
        <v>0</v>
      </c>
      <c r="M101">
        <f t="shared" si="22"/>
        <v>0</v>
      </c>
      <c r="N101">
        <f t="shared" si="23"/>
        <v>0</v>
      </c>
    </row>
    <row r="102" spans="1:14" x14ac:dyDescent="0.35">
      <c r="A102" s="17">
        <v>44333</v>
      </c>
      <c r="B102">
        <f>AVERAGE(Tableau2[[#This Row],[AWB]:[IAM]])</f>
        <v>8.3241859362866086E-3</v>
      </c>
      <c r="C102">
        <f t="shared" si="12"/>
        <v>0</v>
      </c>
      <c r="D102">
        <f t="shared" si="13"/>
        <v>0</v>
      </c>
      <c r="E102">
        <f t="shared" si="14"/>
        <v>0</v>
      </c>
      <c r="F102">
        <f t="shared" si="15"/>
        <v>0</v>
      </c>
      <c r="G102">
        <f t="shared" si="16"/>
        <v>1</v>
      </c>
      <c r="H102">
        <f t="shared" si="17"/>
        <v>0</v>
      </c>
      <c r="I102">
        <f t="shared" si="18"/>
        <v>0</v>
      </c>
      <c r="J102">
        <f t="shared" si="19"/>
        <v>0</v>
      </c>
      <c r="K102">
        <f t="shared" si="20"/>
        <v>0</v>
      </c>
      <c r="L102">
        <f t="shared" si="21"/>
        <v>0</v>
      </c>
      <c r="M102">
        <f t="shared" si="22"/>
        <v>0</v>
      </c>
      <c r="N102">
        <f t="shared" si="23"/>
        <v>0</v>
      </c>
    </row>
    <row r="103" spans="1:14" x14ac:dyDescent="0.35">
      <c r="A103" s="17">
        <v>44335</v>
      </c>
      <c r="B103">
        <f>AVERAGE(Tableau2[[#This Row],[AWB]:[IAM]])</f>
        <v>3.6733709928215864E-4</v>
      </c>
      <c r="C103">
        <f t="shared" si="12"/>
        <v>0</v>
      </c>
      <c r="D103">
        <f t="shared" si="13"/>
        <v>0</v>
      </c>
      <c r="E103">
        <f t="shared" si="14"/>
        <v>0</v>
      </c>
      <c r="F103">
        <f t="shared" si="15"/>
        <v>0</v>
      </c>
      <c r="G103">
        <f t="shared" si="16"/>
        <v>1</v>
      </c>
      <c r="H103">
        <f t="shared" si="17"/>
        <v>0</v>
      </c>
      <c r="I103">
        <f t="shared" si="18"/>
        <v>0</v>
      </c>
      <c r="J103">
        <f t="shared" si="19"/>
        <v>0</v>
      </c>
      <c r="K103">
        <f t="shared" si="20"/>
        <v>0</v>
      </c>
      <c r="L103">
        <f t="shared" si="21"/>
        <v>0</v>
      </c>
      <c r="M103">
        <f t="shared" si="22"/>
        <v>0</v>
      </c>
      <c r="N103">
        <f t="shared" si="23"/>
        <v>0</v>
      </c>
    </row>
    <row r="104" spans="1:14" x14ac:dyDescent="0.35">
      <c r="A104" s="17">
        <v>44336</v>
      </c>
      <c r="B104">
        <f>AVERAGE(Tableau2[[#This Row],[AWB]:[IAM]])</f>
        <v>-9.131393755346948E-3</v>
      </c>
      <c r="C104">
        <f t="shared" si="12"/>
        <v>0</v>
      </c>
      <c r="D104">
        <f t="shared" si="13"/>
        <v>0</v>
      </c>
      <c r="E104">
        <f t="shared" si="14"/>
        <v>0</v>
      </c>
      <c r="F104">
        <f t="shared" si="15"/>
        <v>0</v>
      </c>
      <c r="G104">
        <f t="shared" si="16"/>
        <v>1</v>
      </c>
      <c r="H104">
        <f t="shared" si="17"/>
        <v>0</v>
      </c>
      <c r="I104">
        <f t="shared" si="18"/>
        <v>0</v>
      </c>
      <c r="J104">
        <f t="shared" si="19"/>
        <v>0</v>
      </c>
      <c r="K104">
        <f t="shared" si="20"/>
        <v>0</v>
      </c>
      <c r="L104">
        <f t="shared" si="21"/>
        <v>0</v>
      </c>
      <c r="M104">
        <f t="shared" si="22"/>
        <v>0</v>
      </c>
      <c r="N104">
        <f t="shared" si="23"/>
        <v>0</v>
      </c>
    </row>
    <row r="105" spans="1:14" x14ac:dyDescent="0.35">
      <c r="A105" s="17">
        <v>44337</v>
      </c>
      <c r="B105">
        <f>AVERAGE(Tableau2[[#This Row],[AWB]:[IAM]])</f>
        <v>8.4698152721731455E-3</v>
      </c>
      <c r="C105">
        <f t="shared" si="12"/>
        <v>0</v>
      </c>
      <c r="D105">
        <f t="shared" si="13"/>
        <v>0</v>
      </c>
      <c r="E105">
        <f t="shared" si="14"/>
        <v>0</v>
      </c>
      <c r="F105">
        <f t="shared" si="15"/>
        <v>0</v>
      </c>
      <c r="G105">
        <f t="shared" si="16"/>
        <v>1</v>
      </c>
      <c r="H105">
        <f t="shared" si="17"/>
        <v>0</v>
      </c>
      <c r="I105">
        <f t="shared" si="18"/>
        <v>0</v>
      </c>
      <c r="J105">
        <f t="shared" si="19"/>
        <v>0</v>
      </c>
      <c r="K105">
        <f t="shared" si="20"/>
        <v>0</v>
      </c>
      <c r="L105">
        <f t="shared" si="21"/>
        <v>0</v>
      </c>
      <c r="M105">
        <f t="shared" si="22"/>
        <v>0</v>
      </c>
      <c r="N105">
        <f t="shared" si="23"/>
        <v>0</v>
      </c>
    </row>
    <row r="106" spans="1:14" x14ac:dyDescent="0.35">
      <c r="A106" s="17">
        <v>44340</v>
      </c>
      <c r="B106">
        <f>AVERAGE(Tableau2[[#This Row],[AWB]:[IAM]])</f>
        <v>4.0433367401406196E-3</v>
      </c>
      <c r="C106">
        <f t="shared" si="12"/>
        <v>0</v>
      </c>
      <c r="D106">
        <f t="shared" si="13"/>
        <v>0</v>
      </c>
      <c r="E106">
        <f t="shared" si="14"/>
        <v>0</v>
      </c>
      <c r="F106">
        <f t="shared" si="15"/>
        <v>0</v>
      </c>
      <c r="G106">
        <f t="shared" si="16"/>
        <v>1</v>
      </c>
      <c r="H106">
        <f t="shared" si="17"/>
        <v>0</v>
      </c>
      <c r="I106">
        <f t="shared" si="18"/>
        <v>0</v>
      </c>
      <c r="J106">
        <f t="shared" si="19"/>
        <v>0</v>
      </c>
      <c r="K106">
        <f t="shared" si="20"/>
        <v>0</v>
      </c>
      <c r="L106">
        <f t="shared" si="21"/>
        <v>0</v>
      </c>
      <c r="M106">
        <f t="shared" si="22"/>
        <v>0</v>
      </c>
      <c r="N106">
        <f t="shared" si="23"/>
        <v>0</v>
      </c>
    </row>
    <row r="107" spans="1:14" x14ac:dyDescent="0.35">
      <c r="A107" s="17">
        <v>44348</v>
      </c>
      <c r="B107">
        <f>AVERAGE(Tableau2[[#This Row],[AWB]:[IAM]])</f>
        <v>1.5393696646509419E-2</v>
      </c>
      <c r="C107">
        <f t="shared" si="12"/>
        <v>0</v>
      </c>
      <c r="D107">
        <f t="shared" si="13"/>
        <v>0</v>
      </c>
      <c r="E107">
        <f t="shared" si="14"/>
        <v>0</v>
      </c>
      <c r="F107">
        <f t="shared" si="15"/>
        <v>0</v>
      </c>
      <c r="G107">
        <f t="shared" si="16"/>
        <v>0</v>
      </c>
      <c r="H107">
        <f t="shared" si="17"/>
        <v>1</v>
      </c>
      <c r="I107">
        <f t="shared" si="18"/>
        <v>0</v>
      </c>
      <c r="J107">
        <f t="shared" si="19"/>
        <v>0</v>
      </c>
      <c r="K107">
        <f t="shared" si="20"/>
        <v>0</v>
      </c>
      <c r="L107">
        <f t="shared" si="21"/>
        <v>0</v>
      </c>
      <c r="M107">
        <f t="shared" si="22"/>
        <v>0</v>
      </c>
      <c r="N107">
        <f t="shared" si="23"/>
        <v>0</v>
      </c>
    </row>
    <row r="108" spans="1:14" x14ac:dyDescent="0.35">
      <c r="A108" s="17">
        <v>44349</v>
      </c>
      <c r="B108">
        <f>AVERAGE(Tableau2[[#This Row],[AWB]:[IAM]])</f>
        <v>1.4879710826019795E-2</v>
      </c>
      <c r="C108">
        <f t="shared" si="12"/>
        <v>0</v>
      </c>
      <c r="D108">
        <f t="shared" si="13"/>
        <v>0</v>
      </c>
      <c r="E108">
        <f t="shared" si="14"/>
        <v>0</v>
      </c>
      <c r="F108">
        <f t="shared" si="15"/>
        <v>0</v>
      </c>
      <c r="G108">
        <f t="shared" si="16"/>
        <v>0</v>
      </c>
      <c r="H108">
        <f t="shared" si="17"/>
        <v>1</v>
      </c>
      <c r="I108">
        <f t="shared" si="18"/>
        <v>0</v>
      </c>
      <c r="J108">
        <f t="shared" si="19"/>
        <v>0</v>
      </c>
      <c r="K108">
        <f t="shared" si="20"/>
        <v>0</v>
      </c>
      <c r="L108">
        <f t="shared" si="21"/>
        <v>0</v>
      </c>
      <c r="M108">
        <f t="shared" si="22"/>
        <v>0</v>
      </c>
      <c r="N108">
        <f t="shared" si="23"/>
        <v>0</v>
      </c>
    </row>
    <row r="109" spans="1:14" x14ac:dyDescent="0.35">
      <c r="A109" s="17">
        <v>44350</v>
      </c>
      <c r="B109">
        <f>AVERAGE(Tableau2[[#This Row],[AWB]:[IAM]])</f>
        <v>1.3980461078337583E-2</v>
      </c>
      <c r="C109">
        <f t="shared" si="12"/>
        <v>0</v>
      </c>
      <c r="D109">
        <f t="shared" si="13"/>
        <v>0</v>
      </c>
      <c r="E109">
        <f t="shared" si="14"/>
        <v>0</v>
      </c>
      <c r="F109">
        <f t="shared" si="15"/>
        <v>0</v>
      </c>
      <c r="G109">
        <f t="shared" si="16"/>
        <v>0</v>
      </c>
      <c r="H109">
        <f t="shared" si="17"/>
        <v>1</v>
      </c>
      <c r="I109">
        <f t="shared" si="18"/>
        <v>0</v>
      </c>
      <c r="J109">
        <f t="shared" si="19"/>
        <v>0</v>
      </c>
      <c r="K109">
        <f t="shared" si="20"/>
        <v>0</v>
      </c>
      <c r="L109">
        <f t="shared" si="21"/>
        <v>0</v>
      </c>
      <c r="M109">
        <f t="shared" si="22"/>
        <v>0</v>
      </c>
      <c r="N109">
        <f t="shared" si="23"/>
        <v>0</v>
      </c>
    </row>
    <row r="110" spans="1:14" x14ac:dyDescent="0.35">
      <c r="A110" s="17">
        <v>44351</v>
      </c>
      <c r="B110">
        <f>AVERAGE(Tableau2[[#This Row],[AWB]:[IAM]])</f>
        <v>1.067228115180038E-3</v>
      </c>
      <c r="C110">
        <f t="shared" si="12"/>
        <v>0</v>
      </c>
      <c r="D110">
        <f t="shared" si="13"/>
        <v>0</v>
      </c>
      <c r="E110">
        <f t="shared" si="14"/>
        <v>0</v>
      </c>
      <c r="F110">
        <f t="shared" si="15"/>
        <v>0</v>
      </c>
      <c r="G110">
        <f t="shared" si="16"/>
        <v>0</v>
      </c>
      <c r="H110">
        <f t="shared" si="17"/>
        <v>1</v>
      </c>
      <c r="I110">
        <f t="shared" si="18"/>
        <v>0</v>
      </c>
      <c r="J110">
        <f t="shared" si="19"/>
        <v>0</v>
      </c>
      <c r="K110">
        <f t="shared" si="20"/>
        <v>0</v>
      </c>
      <c r="L110">
        <f t="shared" si="21"/>
        <v>0</v>
      </c>
      <c r="M110">
        <f t="shared" si="22"/>
        <v>0</v>
      </c>
      <c r="N110">
        <f t="shared" si="23"/>
        <v>0</v>
      </c>
    </row>
    <row r="111" spans="1:14" x14ac:dyDescent="0.35">
      <c r="A111" s="17">
        <v>44354</v>
      </c>
      <c r="B111">
        <f>AVERAGE(Tableau2[[#This Row],[AWB]:[IAM]])</f>
        <v>4.8847051520698797E-3</v>
      </c>
      <c r="C111">
        <f t="shared" si="12"/>
        <v>0</v>
      </c>
      <c r="D111">
        <f t="shared" si="13"/>
        <v>0</v>
      </c>
      <c r="E111">
        <f t="shared" si="14"/>
        <v>0</v>
      </c>
      <c r="F111">
        <f t="shared" si="15"/>
        <v>0</v>
      </c>
      <c r="G111">
        <f t="shared" si="16"/>
        <v>0</v>
      </c>
      <c r="H111">
        <f t="shared" si="17"/>
        <v>1</v>
      </c>
      <c r="I111">
        <f t="shared" si="18"/>
        <v>0</v>
      </c>
      <c r="J111">
        <f t="shared" si="19"/>
        <v>0</v>
      </c>
      <c r="K111">
        <f t="shared" si="20"/>
        <v>0</v>
      </c>
      <c r="L111">
        <f t="shared" si="21"/>
        <v>0</v>
      </c>
      <c r="M111">
        <f t="shared" si="22"/>
        <v>0</v>
      </c>
      <c r="N111">
        <f t="shared" si="23"/>
        <v>0</v>
      </c>
    </row>
    <row r="112" spans="1:14" x14ac:dyDescent="0.35">
      <c r="A112" s="17">
        <v>44355</v>
      </c>
      <c r="B112">
        <f>AVERAGE(Tableau2[[#This Row],[AWB]:[IAM]])</f>
        <v>5.9169893221660691E-3</v>
      </c>
      <c r="C112">
        <f t="shared" si="12"/>
        <v>0</v>
      </c>
      <c r="D112">
        <f t="shared" si="13"/>
        <v>0</v>
      </c>
      <c r="E112">
        <f t="shared" si="14"/>
        <v>0</v>
      </c>
      <c r="F112">
        <f t="shared" si="15"/>
        <v>0</v>
      </c>
      <c r="G112">
        <f t="shared" si="16"/>
        <v>0</v>
      </c>
      <c r="H112">
        <f t="shared" si="17"/>
        <v>1</v>
      </c>
      <c r="I112">
        <f t="shared" si="18"/>
        <v>0</v>
      </c>
      <c r="J112">
        <f t="shared" si="19"/>
        <v>0</v>
      </c>
      <c r="K112">
        <f t="shared" si="20"/>
        <v>0</v>
      </c>
      <c r="L112">
        <f t="shared" si="21"/>
        <v>0</v>
      </c>
      <c r="M112">
        <f t="shared" si="22"/>
        <v>0</v>
      </c>
      <c r="N112">
        <f t="shared" si="23"/>
        <v>0</v>
      </c>
    </row>
    <row r="113" spans="1:14" x14ac:dyDescent="0.35">
      <c r="A113" s="17">
        <v>44356</v>
      </c>
      <c r="B113">
        <f>AVERAGE(Tableau2[[#This Row],[AWB]:[IAM]])</f>
        <v>3.7071957263892477E-3</v>
      </c>
      <c r="C113">
        <f t="shared" si="12"/>
        <v>0</v>
      </c>
      <c r="D113">
        <f t="shared" si="13"/>
        <v>0</v>
      </c>
      <c r="E113">
        <f t="shared" si="14"/>
        <v>0</v>
      </c>
      <c r="F113">
        <f t="shared" si="15"/>
        <v>0</v>
      </c>
      <c r="G113">
        <f t="shared" si="16"/>
        <v>0</v>
      </c>
      <c r="H113">
        <f t="shared" si="17"/>
        <v>1</v>
      </c>
      <c r="I113">
        <f t="shared" si="18"/>
        <v>0</v>
      </c>
      <c r="J113">
        <f t="shared" si="19"/>
        <v>0</v>
      </c>
      <c r="K113">
        <f t="shared" si="20"/>
        <v>0</v>
      </c>
      <c r="L113">
        <f t="shared" si="21"/>
        <v>0</v>
      </c>
      <c r="M113">
        <f t="shared" si="22"/>
        <v>0</v>
      </c>
      <c r="N113">
        <f t="shared" si="23"/>
        <v>0</v>
      </c>
    </row>
    <row r="114" spans="1:14" x14ac:dyDescent="0.35">
      <c r="A114" s="17">
        <v>44357</v>
      </c>
      <c r="B114">
        <f>AVERAGE(Tableau2[[#This Row],[AWB]:[IAM]])</f>
        <v>-1.8748242827729073E-3</v>
      </c>
      <c r="C114">
        <f t="shared" si="12"/>
        <v>0</v>
      </c>
      <c r="D114">
        <f t="shared" si="13"/>
        <v>0</v>
      </c>
      <c r="E114">
        <f t="shared" si="14"/>
        <v>0</v>
      </c>
      <c r="F114">
        <f t="shared" si="15"/>
        <v>0</v>
      </c>
      <c r="G114">
        <f t="shared" si="16"/>
        <v>0</v>
      </c>
      <c r="H114">
        <f t="shared" si="17"/>
        <v>1</v>
      </c>
      <c r="I114">
        <f t="shared" si="18"/>
        <v>0</v>
      </c>
      <c r="J114">
        <f t="shared" si="19"/>
        <v>0</v>
      </c>
      <c r="K114">
        <f t="shared" si="20"/>
        <v>0</v>
      </c>
      <c r="L114">
        <f t="shared" si="21"/>
        <v>0</v>
      </c>
      <c r="M114">
        <f t="shared" si="22"/>
        <v>0</v>
      </c>
      <c r="N114">
        <f t="shared" si="23"/>
        <v>0</v>
      </c>
    </row>
    <row r="115" spans="1:14" x14ac:dyDescent="0.35">
      <c r="A115" s="17">
        <v>44358</v>
      </c>
      <c r="B115">
        <f>AVERAGE(Tableau2[[#This Row],[AWB]:[IAM]])</f>
        <v>1.4219827882048331E-2</v>
      </c>
      <c r="C115">
        <f t="shared" si="12"/>
        <v>0</v>
      </c>
      <c r="D115">
        <f t="shared" si="13"/>
        <v>0</v>
      </c>
      <c r="E115">
        <f t="shared" si="14"/>
        <v>0</v>
      </c>
      <c r="F115">
        <f t="shared" si="15"/>
        <v>0</v>
      </c>
      <c r="G115">
        <f t="shared" si="16"/>
        <v>0</v>
      </c>
      <c r="H115">
        <f t="shared" si="17"/>
        <v>1</v>
      </c>
      <c r="I115">
        <f t="shared" si="18"/>
        <v>0</v>
      </c>
      <c r="J115">
        <f t="shared" si="19"/>
        <v>0</v>
      </c>
      <c r="K115">
        <f t="shared" si="20"/>
        <v>0</v>
      </c>
      <c r="L115">
        <f t="shared" si="21"/>
        <v>0</v>
      </c>
      <c r="M115">
        <f t="shared" si="22"/>
        <v>0</v>
      </c>
      <c r="N115">
        <f t="shared" si="23"/>
        <v>0</v>
      </c>
    </row>
    <row r="116" spans="1:14" x14ac:dyDescent="0.35">
      <c r="A116" s="17">
        <v>44361</v>
      </c>
      <c r="B116">
        <f>AVERAGE(Tableau2[[#This Row],[AWB]:[IAM]])</f>
        <v>1.421562404338046E-2</v>
      </c>
      <c r="C116">
        <f t="shared" si="12"/>
        <v>0</v>
      </c>
      <c r="D116">
        <f t="shared" si="13"/>
        <v>0</v>
      </c>
      <c r="E116">
        <f t="shared" si="14"/>
        <v>0</v>
      </c>
      <c r="F116">
        <f t="shared" si="15"/>
        <v>0</v>
      </c>
      <c r="G116">
        <f t="shared" si="16"/>
        <v>0</v>
      </c>
      <c r="H116">
        <f t="shared" si="17"/>
        <v>1</v>
      </c>
      <c r="I116">
        <f t="shared" si="18"/>
        <v>0</v>
      </c>
      <c r="J116">
        <f t="shared" si="19"/>
        <v>0</v>
      </c>
      <c r="K116">
        <f t="shared" si="20"/>
        <v>0</v>
      </c>
      <c r="L116">
        <f t="shared" si="21"/>
        <v>0</v>
      </c>
      <c r="M116">
        <f t="shared" si="22"/>
        <v>0</v>
      </c>
      <c r="N116">
        <f t="shared" si="23"/>
        <v>0</v>
      </c>
    </row>
    <row r="117" spans="1:14" x14ac:dyDescent="0.35">
      <c r="A117" s="17">
        <v>44362</v>
      </c>
      <c r="B117">
        <f>AVERAGE(Tableau2[[#This Row],[AWB]:[IAM]])</f>
        <v>2.7655922840277539E-3</v>
      </c>
      <c r="C117">
        <f t="shared" si="12"/>
        <v>0</v>
      </c>
      <c r="D117">
        <f t="shared" si="13"/>
        <v>0</v>
      </c>
      <c r="E117">
        <f t="shared" si="14"/>
        <v>0</v>
      </c>
      <c r="F117">
        <f t="shared" si="15"/>
        <v>0</v>
      </c>
      <c r="G117">
        <f t="shared" si="16"/>
        <v>0</v>
      </c>
      <c r="H117">
        <f t="shared" si="17"/>
        <v>1</v>
      </c>
      <c r="I117">
        <f t="shared" si="18"/>
        <v>0</v>
      </c>
      <c r="J117">
        <f t="shared" si="19"/>
        <v>0</v>
      </c>
      <c r="K117">
        <f t="shared" si="20"/>
        <v>0</v>
      </c>
      <c r="L117">
        <f t="shared" si="21"/>
        <v>0</v>
      </c>
      <c r="M117">
        <f t="shared" si="22"/>
        <v>0</v>
      </c>
      <c r="N117">
        <f t="shared" si="23"/>
        <v>0</v>
      </c>
    </row>
    <row r="118" spans="1:14" x14ac:dyDescent="0.35">
      <c r="A118" s="17">
        <v>44363</v>
      </c>
      <c r="B118">
        <f>AVERAGE(Tableau2[[#This Row],[AWB]:[IAM]])</f>
        <v>-8.6109369452202558E-3</v>
      </c>
      <c r="C118">
        <f t="shared" si="12"/>
        <v>0</v>
      </c>
      <c r="D118">
        <f t="shared" si="13"/>
        <v>0</v>
      </c>
      <c r="E118">
        <f t="shared" si="14"/>
        <v>0</v>
      </c>
      <c r="F118">
        <f t="shared" si="15"/>
        <v>0</v>
      </c>
      <c r="G118">
        <f t="shared" si="16"/>
        <v>0</v>
      </c>
      <c r="H118">
        <f t="shared" si="17"/>
        <v>1</v>
      </c>
      <c r="I118">
        <f t="shared" si="18"/>
        <v>0</v>
      </c>
      <c r="J118">
        <f t="shared" si="19"/>
        <v>0</v>
      </c>
      <c r="K118">
        <f t="shared" si="20"/>
        <v>0</v>
      </c>
      <c r="L118">
        <f t="shared" si="21"/>
        <v>0</v>
      </c>
      <c r="M118">
        <f t="shared" si="22"/>
        <v>0</v>
      </c>
      <c r="N118">
        <f t="shared" si="23"/>
        <v>0</v>
      </c>
    </row>
    <row r="119" spans="1:14" x14ac:dyDescent="0.35">
      <c r="A119" s="17">
        <v>44364</v>
      </c>
      <c r="B119">
        <f>AVERAGE(Tableau2[[#This Row],[AWB]:[IAM]])</f>
        <v>-5.2479169624102227E-3</v>
      </c>
      <c r="C119">
        <f t="shared" si="12"/>
        <v>0</v>
      </c>
      <c r="D119">
        <f t="shared" si="13"/>
        <v>0</v>
      </c>
      <c r="E119">
        <f t="shared" si="14"/>
        <v>0</v>
      </c>
      <c r="F119">
        <f t="shared" si="15"/>
        <v>0</v>
      </c>
      <c r="G119">
        <f t="shared" si="16"/>
        <v>0</v>
      </c>
      <c r="H119">
        <f t="shared" si="17"/>
        <v>1</v>
      </c>
      <c r="I119">
        <f t="shared" si="18"/>
        <v>0</v>
      </c>
      <c r="J119">
        <f t="shared" si="19"/>
        <v>0</v>
      </c>
      <c r="K119">
        <f t="shared" si="20"/>
        <v>0</v>
      </c>
      <c r="L119">
        <f t="shared" si="21"/>
        <v>0</v>
      </c>
      <c r="M119">
        <f t="shared" si="22"/>
        <v>0</v>
      </c>
      <c r="N119">
        <f t="shared" si="23"/>
        <v>0</v>
      </c>
    </row>
    <row r="120" spans="1:14" x14ac:dyDescent="0.35">
      <c r="A120" s="17">
        <v>44369</v>
      </c>
      <c r="B120">
        <f>AVERAGE(Tableau2[[#This Row],[AWB]:[IAM]])</f>
        <v>1.5157126421580076E-2</v>
      </c>
      <c r="C120">
        <f t="shared" si="12"/>
        <v>0</v>
      </c>
      <c r="D120">
        <f t="shared" si="13"/>
        <v>0</v>
      </c>
      <c r="E120">
        <f t="shared" si="14"/>
        <v>0</v>
      </c>
      <c r="F120">
        <f t="shared" si="15"/>
        <v>0</v>
      </c>
      <c r="G120">
        <f t="shared" si="16"/>
        <v>0</v>
      </c>
      <c r="H120">
        <f t="shared" si="17"/>
        <v>1</v>
      </c>
      <c r="I120">
        <f t="shared" si="18"/>
        <v>0</v>
      </c>
      <c r="J120">
        <f t="shared" si="19"/>
        <v>0</v>
      </c>
      <c r="K120">
        <f t="shared" si="20"/>
        <v>0</v>
      </c>
      <c r="L120">
        <f t="shared" si="21"/>
        <v>0</v>
      </c>
      <c r="M120">
        <f t="shared" si="22"/>
        <v>0</v>
      </c>
      <c r="N120">
        <f t="shared" si="23"/>
        <v>0</v>
      </c>
    </row>
    <row r="121" spans="1:14" x14ac:dyDescent="0.35">
      <c r="A121" s="17">
        <v>44371</v>
      </c>
      <c r="B121">
        <f>AVERAGE(Tableau2[[#This Row],[AWB]:[IAM]])</f>
        <v>6.3907330896832986E-4</v>
      </c>
      <c r="C121">
        <f t="shared" si="12"/>
        <v>0</v>
      </c>
      <c r="D121">
        <f t="shared" si="13"/>
        <v>0</v>
      </c>
      <c r="E121">
        <f t="shared" si="14"/>
        <v>0</v>
      </c>
      <c r="F121">
        <f t="shared" si="15"/>
        <v>0</v>
      </c>
      <c r="G121">
        <f t="shared" si="16"/>
        <v>0</v>
      </c>
      <c r="H121">
        <f t="shared" si="17"/>
        <v>1</v>
      </c>
      <c r="I121">
        <f t="shared" si="18"/>
        <v>0</v>
      </c>
      <c r="J121">
        <f t="shared" si="19"/>
        <v>0</v>
      </c>
      <c r="K121">
        <f t="shared" si="20"/>
        <v>0</v>
      </c>
      <c r="L121">
        <f t="shared" si="21"/>
        <v>0</v>
      </c>
      <c r="M121">
        <f t="shared" si="22"/>
        <v>0</v>
      </c>
      <c r="N121">
        <f t="shared" si="23"/>
        <v>0</v>
      </c>
    </row>
    <row r="122" spans="1:14" x14ac:dyDescent="0.35">
      <c r="A122" s="17">
        <v>44372</v>
      </c>
      <c r="B122">
        <f>AVERAGE(Tableau2[[#This Row],[AWB]:[IAM]])</f>
        <v>-8.7853772896502591E-3</v>
      </c>
      <c r="C122">
        <f t="shared" si="12"/>
        <v>0</v>
      </c>
      <c r="D122">
        <f t="shared" si="13"/>
        <v>0</v>
      </c>
      <c r="E122">
        <f t="shared" si="14"/>
        <v>0</v>
      </c>
      <c r="F122">
        <f t="shared" si="15"/>
        <v>0</v>
      </c>
      <c r="G122">
        <f t="shared" si="16"/>
        <v>0</v>
      </c>
      <c r="H122">
        <f t="shared" si="17"/>
        <v>1</v>
      </c>
      <c r="I122">
        <f t="shared" si="18"/>
        <v>0</v>
      </c>
      <c r="J122">
        <f t="shared" si="19"/>
        <v>0</v>
      </c>
      <c r="K122">
        <f t="shared" si="20"/>
        <v>0</v>
      </c>
      <c r="L122">
        <f t="shared" si="21"/>
        <v>0</v>
      </c>
      <c r="M122">
        <f t="shared" si="22"/>
        <v>0</v>
      </c>
      <c r="N122">
        <f t="shared" si="23"/>
        <v>0</v>
      </c>
    </row>
    <row r="123" spans="1:14" x14ac:dyDescent="0.35">
      <c r="A123" s="17">
        <v>44375</v>
      </c>
      <c r="B123">
        <f>AVERAGE(Tableau2[[#This Row],[AWB]:[IAM]])</f>
        <v>-1.2218435179353585E-3</v>
      </c>
      <c r="C123">
        <f t="shared" si="12"/>
        <v>0</v>
      </c>
      <c r="D123">
        <f t="shared" si="13"/>
        <v>0</v>
      </c>
      <c r="E123">
        <f t="shared" si="14"/>
        <v>0</v>
      </c>
      <c r="F123">
        <f t="shared" si="15"/>
        <v>0</v>
      </c>
      <c r="G123">
        <f t="shared" si="16"/>
        <v>0</v>
      </c>
      <c r="H123">
        <f t="shared" si="17"/>
        <v>1</v>
      </c>
      <c r="I123">
        <f t="shared" si="18"/>
        <v>0</v>
      </c>
      <c r="J123">
        <f t="shared" si="19"/>
        <v>0</v>
      </c>
      <c r="K123">
        <f t="shared" si="20"/>
        <v>0</v>
      </c>
      <c r="L123">
        <f t="shared" si="21"/>
        <v>0</v>
      </c>
      <c r="M123">
        <f t="shared" si="22"/>
        <v>0</v>
      </c>
      <c r="N123">
        <f t="shared" si="23"/>
        <v>0</v>
      </c>
    </row>
    <row r="124" spans="1:14" x14ac:dyDescent="0.35">
      <c r="A124" s="17">
        <v>44377</v>
      </c>
      <c r="B124">
        <f>AVERAGE(Tableau2[[#This Row],[AWB]:[IAM]])</f>
        <v>8.707272601089054E-4</v>
      </c>
      <c r="C124">
        <f t="shared" si="12"/>
        <v>0</v>
      </c>
      <c r="D124">
        <f t="shared" si="13"/>
        <v>0</v>
      </c>
      <c r="E124">
        <f t="shared" si="14"/>
        <v>0</v>
      </c>
      <c r="F124">
        <f t="shared" si="15"/>
        <v>0</v>
      </c>
      <c r="G124">
        <f t="shared" si="16"/>
        <v>0</v>
      </c>
      <c r="H124">
        <f t="shared" si="17"/>
        <v>1</v>
      </c>
      <c r="I124">
        <f t="shared" si="18"/>
        <v>0</v>
      </c>
      <c r="J124">
        <f t="shared" si="19"/>
        <v>0</v>
      </c>
      <c r="K124">
        <f t="shared" si="20"/>
        <v>0</v>
      </c>
      <c r="L124">
        <f t="shared" si="21"/>
        <v>0</v>
      </c>
      <c r="M124">
        <f t="shared" si="22"/>
        <v>0</v>
      </c>
      <c r="N124">
        <f t="shared" si="23"/>
        <v>0</v>
      </c>
    </row>
    <row r="125" spans="1:14" x14ac:dyDescent="0.35">
      <c r="A125" s="17">
        <v>44378</v>
      </c>
      <c r="B125">
        <f>AVERAGE(Tableau2[[#This Row],[AWB]:[IAM]])</f>
        <v>5.9258513154272574E-3</v>
      </c>
      <c r="C125">
        <f t="shared" si="12"/>
        <v>0</v>
      </c>
      <c r="D125">
        <f t="shared" si="13"/>
        <v>0</v>
      </c>
      <c r="E125">
        <f t="shared" si="14"/>
        <v>0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f t="shared" si="18"/>
        <v>1</v>
      </c>
      <c r="J125">
        <f t="shared" si="19"/>
        <v>0</v>
      </c>
      <c r="K125">
        <f t="shared" si="20"/>
        <v>0</v>
      </c>
      <c r="L125">
        <f t="shared" si="21"/>
        <v>0</v>
      </c>
      <c r="M125">
        <f t="shared" si="22"/>
        <v>0</v>
      </c>
      <c r="N125">
        <f t="shared" si="23"/>
        <v>0</v>
      </c>
    </row>
    <row r="126" spans="1:14" x14ac:dyDescent="0.35">
      <c r="A126" s="17">
        <v>44379</v>
      </c>
      <c r="B126">
        <f>AVERAGE(Tableau2[[#This Row],[AWB]:[IAM]])</f>
        <v>-6.2065279028627896E-3</v>
      </c>
      <c r="C126">
        <f t="shared" si="12"/>
        <v>0</v>
      </c>
      <c r="D126">
        <f t="shared" si="13"/>
        <v>0</v>
      </c>
      <c r="E126">
        <f t="shared" si="14"/>
        <v>0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f t="shared" si="18"/>
        <v>1</v>
      </c>
      <c r="J126">
        <f t="shared" si="19"/>
        <v>0</v>
      </c>
      <c r="K126">
        <f t="shared" si="20"/>
        <v>0</v>
      </c>
      <c r="L126">
        <f t="shared" si="21"/>
        <v>0</v>
      </c>
      <c r="M126">
        <f t="shared" si="22"/>
        <v>0</v>
      </c>
      <c r="N126">
        <f t="shared" si="23"/>
        <v>0</v>
      </c>
    </row>
    <row r="127" spans="1:14" x14ac:dyDescent="0.35">
      <c r="A127" s="17">
        <v>44382</v>
      </c>
      <c r="B127">
        <f>AVERAGE(Tableau2[[#This Row],[AWB]:[IAM]])</f>
        <v>-1.4809905953622181E-2</v>
      </c>
      <c r="C127">
        <f t="shared" si="12"/>
        <v>0</v>
      </c>
      <c r="D127">
        <f t="shared" si="13"/>
        <v>0</v>
      </c>
      <c r="E127">
        <f t="shared" si="14"/>
        <v>0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f t="shared" si="18"/>
        <v>1</v>
      </c>
      <c r="J127">
        <f t="shared" si="19"/>
        <v>0</v>
      </c>
      <c r="K127">
        <f t="shared" si="20"/>
        <v>0</v>
      </c>
      <c r="L127">
        <f t="shared" si="21"/>
        <v>0</v>
      </c>
      <c r="M127">
        <f t="shared" si="22"/>
        <v>0</v>
      </c>
      <c r="N127">
        <f t="shared" si="23"/>
        <v>0</v>
      </c>
    </row>
    <row r="128" spans="1:14" x14ac:dyDescent="0.35">
      <c r="A128" s="17">
        <v>44393</v>
      </c>
      <c r="B128">
        <f>AVERAGE(Tableau2[[#This Row],[AWB]:[IAM]])</f>
        <v>-7.2115578777472537E-3</v>
      </c>
      <c r="C128">
        <f t="shared" si="12"/>
        <v>0</v>
      </c>
      <c r="D128">
        <f t="shared" si="13"/>
        <v>0</v>
      </c>
      <c r="E128">
        <f t="shared" si="14"/>
        <v>0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f t="shared" si="18"/>
        <v>1</v>
      </c>
      <c r="J128">
        <f t="shared" si="19"/>
        <v>0</v>
      </c>
      <c r="K128">
        <f t="shared" si="20"/>
        <v>0</v>
      </c>
      <c r="L128">
        <f t="shared" si="21"/>
        <v>0</v>
      </c>
      <c r="M128">
        <f t="shared" si="22"/>
        <v>0</v>
      </c>
      <c r="N128">
        <f t="shared" si="23"/>
        <v>0</v>
      </c>
    </row>
    <row r="129" spans="1:14" x14ac:dyDescent="0.35">
      <c r="A129" s="17">
        <v>44404</v>
      </c>
      <c r="B129">
        <f>AVERAGE(Tableau2[[#This Row],[AWB]:[IAM]])</f>
        <v>-6.6423083936962331E-3</v>
      </c>
      <c r="C129">
        <f t="shared" si="12"/>
        <v>0</v>
      </c>
      <c r="D129">
        <f t="shared" si="13"/>
        <v>0</v>
      </c>
      <c r="E129">
        <f t="shared" si="14"/>
        <v>0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f t="shared" si="18"/>
        <v>1</v>
      </c>
      <c r="J129">
        <f t="shared" si="19"/>
        <v>0</v>
      </c>
      <c r="K129">
        <f t="shared" si="20"/>
        <v>0</v>
      </c>
      <c r="L129">
        <f t="shared" si="21"/>
        <v>0</v>
      </c>
      <c r="M129">
        <f t="shared" si="22"/>
        <v>0</v>
      </c>
      <c r="N129">
        <f t="shared" si="23"/>
        <v>0</v>
      </c>
    </row>
    <row r="130" spans="1:14" x14ac:dyDescent="0.35">
      <c r="A130" s="17">
        <v>44410</v>
      </c>
      <c r="B130">
        <f>AVERAGE(Tableau2[[#This Row],[AWB]:[IAM]])</f>
        <v>3.0672223073910121E-4</v>
      </c>
      <c r="C130">
        <f t="shared" ref="C130:C193" si="24">IF(MONTH(A130)=1,1,0)</f>
        <v>0</v>
      </c>
      <c r="D130">
        <f t="shared" ref="D130:D193" si="25">IF(MONTH(A130)=2,1,0)</f>
        <v>0</v>
      </c>
      <c r="E130">
        <f t="shared" ref="E130:E193" si="26">IF(MONTH(A130)=3,1,0)</f>
        <v>0</v>
      </c>
      <c r="F130">
        <f t="shared" ref="F130:F193" si="27">IF(MONTH(A130)=4,1,0)</f>
        <v>0</v>
      </c>
      <c r="G130">
        <f t="shared" ref="G130:G193" si="28">IF(MONTH(A130)=5,1,0)</f>
        <v>0</v>
      </c>
      <c r="H130">
        <f t="shared" ref="H130:H193" si="29">IF(MONTH(A130)=6,1,0)</f>
        <v>0</v>
      </c>
      <c r="I130">
        <f t="shared" ref="I130:I193" si="30">IF(MONTH(A130)=7,1,0)</f>
        <v>0</v>
      </c>
      <c r="J130">
        <f t="shared" ref="J130:J193" si="31">IF(MONTH(A130)=8,1,0)</f>
        <v>1</v>
      </c>
      <c r="K130">
        <f t="shared" ref="K130:K193" si="32">IF(MONTH(A130)=9,1,0)</f>
        <v>0</v>
      </c>
      <c r="L130">
        <f t="shared" ref="L130:L193" si="33">IF(MONTH(A130)=10,1,0)</f>
        <v>0</v>
      </c>
      <c r="M130">
        <f t="shared" ref="M130:M193" si="34">IF(MONTH(A130)=11,1,0)</f>
        <v>0</v>
      </c>
      <c r="N130">
        <f t="shared" ref="N130:N193" si="35">IF(MONTH(A130)=12,1,0)</f>
        <v>0</v>
      </c>
    </row>
    <row r="131" spans="1:14" x14ac:dyDescent="0.35">
      <c r="A131" s="17">
        <v>44412</v>
      </c>
      <c r="B131">
        <f>AVERAGE(Tableau2[[#This Row],[AWB]:[IAM]])</f>
        <v>1.4752181755590675E-2</v>
      </c>
      <c r="C131">
        <f t="shared" si="24"/>
        <v>0</v>
      </c>
      <c r="D131">
        <f t="shared" si="25"/>
        <v>0</v>
      </c>
      <c r="E131">
        <f t="shared" si="26"/>
        <v>0</v>
      </c>
      <c r="F131">
        <f t="shared" si="27"/>
        <v>0</v>
      </c>
      <c r="G131">
        <f t="shared" si="28"/>
        <v>0</v>
      </c>
      <c r="H131">
        <f t="shared" si="29"/>
        <v>0</v>
      </c>
      <c r="I131">
        <f t="shared" si="30"/>
        <v>0</v>
      </c>
      <c r="J131">
        <f t="shared" si="31"/>
        <v>1</v>
      </c>
      <c r="K131">
        <f t="shared" si="32"/>
        <v>0</v>
      </c>
      <c r="L131">
        <f t="shared" si="33"/>
        <v>0</v>
      </c>
      <c r="M131">
        <f t="shared" si="34"/>
        <v>0</v>
      </c>
      <c r="N131">
        <f t="shared" si="35"/>
        <v>0</v>
      </c>
    </row>
    <row r="132" spans="1:14" x14ac:dyDescent="0.35">
      <c r="A132" s="17">
        <v>44420</v>
      </c>
      <c r="B132">
        <f>AVERAGE(Tableau2[[#This Row],[AWB]:[IAM]])</f>
        <v>-3.7817015205211784E-3</v>
      </c>
      <c r="C132">
        <f t="shared" si="24"/>
        <v>0</v>
      </c>
      <c r="D132">
        <f t="shared" si="25"/>
        <v>0</v>
      </c>
      <c r="E132">
        <f t="shared" si="26"/>
        <v>0</v>
      </c>
      <c r="F132">
        <f t="shared" si="27"/>
        <v>0</v>
      </c>
      <c r="G132">
        <f t="shared" si="28"/>
        <v>0</v>
      </c>
      <c r="H132">
        <f t="shared" si="29"/>
        <v>0</v>
      </c>
      <c r="I132">
        <f t="shared" si="30"/>
        <v>0</v>
      </c>
      <c r="J132">
        <f t="shared" si="31"/>
        <v>1</v>
      </c>
      <c r="K132">
        <f t="shared" si="32"/>
        <v>0</v>
      </c>
      <c r="L132">
        <f t="shared" si="33"/>
        <v>0</v>
      </c>
      <c r="M132">
        <f t="shared" si="34"/>
        <v>0</v>
      </c>
      <c r="N132">
        <f t="shared" si="35"/>
        <v>0</v>
      </c>
    </row>
    <row r="133" spans="1:14" x14ac:dyDescent="0.35">
      <c r="A133" s="17">
        <v>44421</v>
      </c>
      <c r="B133">
        <f>AVERAGE(Tableau2[[#This Row],[AWB]:[IAM]])</f>
        <v>9.9423490034673285E-3</v>
      </c>
      <c r="C133">
        <f t="shared" si="24"/>
        <v>0</v>
      </c>
      <c r="D133">
        <f t="shared" si="25"/>
        <v>0</v>
      </c>
      <c r="E133">
        <f t="shared" si="26"/>
        <v>0</v>
      </c>
      <c r="F133">
        <f t="shared" si="27"/>
        <v>0</v>
      </c>
      <c r="G133">
        <f t="shared" si="28"/>
        <v>0</v>
      </c>
      <c r="H133">
        <f t="shared" si="29"/>
        <v>0</v>
      </c>
      <c r="I133">
        <f t="shared" si="30"/>
        <v>0</v>
      </c>
      <c r="J133">
        <f t="shared" si="31"/>
        <v>1</v>
      </c>
      <c r="K133">
        <f t="shared" si="32"/>
        <v>0</v>
      </c>
      <c r="L133">
        <f t="shared" si="33"/>
        <v>0</v>
      </c>
      <c r="M133">
        <f t="shared" si="34"/>
        <v>0</v>
      </c>
      <c r="N133">
        <f t="shared" si="35"/>
        <v>0</v>
      </c>
    </row>
    <row r="134" spans="1:14" x14ac:dyDescent="0.35">
      <c r="A134" s="17">
        <v>44431</v>
      </c>
      <c r="B134">
        <f>AVERAGE(Tableau2[[#This Row],[AWB]:[IAM]])</f>
        <v>2.1513050112642259E-2</v>
      </c>
      <c r="C134">
        <f t="shared" si="24"/>
        <v>0</v>
      </c>
      <c r="D134">
        <f t="shared" si="25"/>
        <v>0</v>
      </c>
      <c r="E134">
        <f t="shared" si="26"/>
        <v>0</v>
      </c>
      <c r="F134">
        <f t="shared" si="27"/>
        <v>0</v>
      </c>
      <c r="G134">
        <f t="shared" si="28"/>
        <v>0</v>
      </c>
      <c r="H134">
        <f t="shared" si="29"/>
        <v>0</v>
      </c>
      <c r="I134">
        <f t="shared" si="30"/>
        <v>0</v>
      </c>
      <c r="J134">
        <f t="shared" si="31"/>
        <v>1</v>
      </c>
      <c r="K134">
        <f t="shared" si="32"/>
        <v>0</v>
      </c>
      <c r="L134">
        <f t="shared" si="33"/>
        <v>0</v>
      </c>
      <c r="M134">
        <f t="shared" si="34"/>
        <v>0</v>
      </c>
      <c r="N134">
        <f t="shared" si="35"/>
        <v>0</v>
      </c>
    </row>
    <row r="135" spans="1:14" x14ac:dyDescent="0.35">
      <c r="A135" s="17">
        <v>44432</v>
      </c>
      <c r="B135">
        <f>AVERAGE(Tableau2[[#This Row],[AWB]:[IAM]])</f>
        <v>2.4088405473649626E-3</v>
      </c>
      <c r="C135">
        <f t="shared" si="24"/>
        <v>0</v>
      </c>
      <c r="D135">
        <f t="shared" si="25"/>
        <v>0</v>
      </c>
      <c r="E135">
        <f t="shared" si="26"/>
        <v>0</v>
      </c>
      <c r="F135">
        <f t="shared" si="27"/>
        <v>0</v>
      </c>
      <c r="G135">
        <f t="shared" si="28"/>
        <v>0</v>
      </c>
      <c r="H135">
        <f t="shared" si="29"/>
        <v>0</v>
      </c>
      <c r="I135">
        <f t="shared" si="30"/>
        <v>0</v>
      </c>
      <c r="J135">
        <f t="shared" si="31"/>
        <v>1</v>
      </c>
      <c r="K135">
        <f t="shared" si="32"/>
        <v>0</v>
      </c>
      <c r="L135">
        <f t="shared" si="33"/>
        <v>0</v>
      </c>
      <c r="M135">
        <f t="shared" si="34"/>
        <v>0</v>
      </c>
      <c r="N135">
        <f t="shared" si="35"/>
        <v>0</v>
      </c>
    </row>
    <row r="136" spans="1:14" x14ac:dyDescent="0.35">
      <c r="A136" s="17">
        <v>44434</v>
      </c>
      <c r="B136">
        <f>AVERAGE(Tableau2[[#This Row],[AWB]:[IAM]])</f>
        <v>-1.2616627282638459E-3</v>
      </c>
      <c r="C136">
        <f t="shared" si="24"/>
        <v>0</v>
      </c>
      <c r="D136">
        <f t="shared" si="25"/>
        <v>0</v>
      </c>
      <c r="E136">
        <f t="shared" si="26"/>
        <v>0</v>
      </c>
      <c r="F136">
        <f t="shared" si="27"/>
        <v>0</v>
      </c>
      <c r="G136">
        <f t="shared" si="28"/>
        <v>0</v>
      </c>
      <c r="H136">
        <f t="shared" si="29"/>
        <v>0</v>
      </c>
      <c r="I136">
        <f t="shared" si="30"/>
        <v>0</v>
      </c>
      <c r="J136">
        <f t="shared" si="31"/>
        <v>1</v>
      </c>
      <c r="K136">
        <f t="shared" si="32"/>
        <v>0</v>
      </c>
      <c r="L136">
        <f t="shared" si="33"/>
        <v>0</v>
      </c>
      <c r="M136">
        <f t="shared" si="34"/>
        <v>0</v>
      </c>
      <c r="N136">
        <f t="shared" si="35"/>
        <v>0</v>
      </c>
    </row>
    <row r="137" spans="1:14" x14ac:dyDescent="0.35">
      <c r="A137" s="17">
        <v>44435</v>
      </c>
      <c r="B137">
        <f>AVERAGE(Tableau2[[#This Row],[AWB]:[IAM]])</f>
        <v>4.8496531986790669E-3</v>
      </c>
      <c r="C137">
        <f t="shared" si="24"/>
        <v>0</v>
      </c>
      <c r="D137">
        <f t="shared" si="25"/>
        <v>0</v>
      </c>
      <c r="E137">
        <f t="shared" si="26"/>
        <v>0</v>
      </c>
      <c r="F137">
        <f t="shared" si="27"/>
        <v>0</v>
      </c>
      <c r="G137">
        <f t="shared" si="28"/>
        <v>0</v>
      </c>
      <c r="H137">
        <f t="shared" si="29"/>
        <v>0</v>
      </c>
      <c r="I137">
        <f t="shared" si="30"/>
        <v>0</v>
      </c>
      <c r="J137">
        <f t="shared" si="31"/>
        <v>1</v>
      </c>
      <c r="K137">
        <f t="shared" si="32"/>
        <v>0</v>
      </c>
      <c r="L137">
        <f t="shared" si="33"/>
        <v>0</v>
      </c>
      <c r="M137">
        <f t="shared" si="34"/>
        <v>0</v>
      </c>
      <c r="N137">
        <f t="shared" si="35"/>
        <v>0</v>
      </c>
    </row>
    <row r="138" spans="1:14" x14ac:dyDescent="0.35">
      <c r="A138" s="17">
        <v>44439</v>
      </c>
      <c r="B138">
        <f>AVERAGE(Tableau2[[#This Row],[AWB]:[IAM]])</f>
        <v>1.0031826844848408E-3</v>
      </c>
      <c r="C138">
        <f t="shared" si="24"/>
        <v>0</v>
      </c>
      <c r="D138">
        <f t="shared" si="25"/>
        <v>0</v>
      </c>
      <c r="E138">
        <f t="shared" si="26"/>
        <v>0</v>
      </c>
      <c r="F138">
        <f t="shared" si="27"/>
        <v>0</v>
      </c>
      <c r="G138">
        <f t="shared" si="28"/>
        <v>0</v>
      </c>
      <c r="H138">
        <f t="shared" si="29"/>
        <v>0</v>
      </c>
      <c r="I138">
        <f t="shared" si="30"/>
        <v>0</v>
      </c>
      <c r="J138">
        <f t="shared" si="31"/>
        <v>1</v>
      </c>
      <c r="K138">
        <f t="shared" si="32"/>
        <v>0</v>
      </c>
      <c r="L138">
        <f t="shared" si="33"/>
        <v>0</v>
      </c>
      <c r="M138">
        <f t="shared" si="34"/>
        <v>0</v>
      </c>
      <c r="N138">
        <f t="shared" si="35"/>
        <v>0</v>
      </c>
    </row>
    <row r="139" spans="1:14" x14ac:dyDescent="0.35">
      <c r="A139" s="17">
        <v>44447</v>
      </c>
      <c r="B139">
        <f>AVERAGE(Tableau2[[#This Row],[AWB]:[IAM]])</f>
        <v>8.9757789003853776E-3</v>
      </c>
      <c r="C139">
        <f t="shared" si="24"/>
        <v>0</v>
      </c>
      <c r="D139">
        <f t="shared" si="25"/>
        <v>0</v>
      </c>
      <c r="E139">
        <f t="shared" si="26"/>
        <v>0</v>
      </c>
      <c r="F139">
        <f t="shared" si="27"/>
        <v>0</v>
      </c>
      <c r="G139">
        <f t="shared" si="28"/>
        <v>0</v>
      </c>
      <c r="H139">
        <f t="shared" si="29"/>
        <v>0</v>
      </c>
      <c r="I139">
        <f t="shared" si="30"/>
        <v>0</v>
      </c>
      <c r="J139">
        <f t="shared" si="31"/>
        <v>0</v>
      </c>
      <c r="K139">
        <f t="shared" si="32"/>
        <v>1</v>
      </c>
      <c r="L139">
        <f t="shared" si="33"/>
        <v>0</v>
      </c>
      <c r="M139">
        <f t="shared" si="34"/>
        <v>0</v>
      </c>
      <c r="N139">
        <f t="shared" si="35"/>
        <v>0</v>
      </c>
    </row>
    <row r="140" spans="1:14" x14ac:dyDescent="0.35">
      <c r="A140" s="17">
        <v>44448</v>
      </c>
      <c r="B140">
        <f>AVERAGE(Tableau2[[#This Row],[AWB]:[IAM]])</f>
        <v>1.7598311753070837E-2</v>
      </c>
      <c r="C140">
        <f t="shared" si="24"/>
        <v>0</v>
      </c>
      <c r="D140">
        <f t="shared" si="25"/>
        <v>0</v>
      </c>
      <c r="E140">
        <f t="shared" si="26"/>
        <v>0</v>
      </c>
      <c r="F140">
        <f t="shared" si="27"/>
        <v>0</v>
      </c>
      <c r="G140">
        <f t="shared" si="28"/>
        <v>0</v>
      </c>
      <c r="H140">
        <f t="shared" si="29"/>
        <v>0</v>
      </c>
      <c r="I140">
        <f t="shared" si="30"/>
        <v>0</v>
      </c>
      <c r="J140">
        <f t="shared" si="31"/>
        <v>0</v>
      </c>
      <c r="K140">
        <f t="shared" si="32"/>
        <v>1</v>
      </c>
      <c r="L140">
        <f t="shared" si="33"/>
        <v>0</v>
      </c>
      <c r="M140">
        <f t="shared" si="34"/>
        <v>0</v>
      </c>
      <c r="N140">
        <f t="shared" si="35"/>
        <v>0</v>
      </c>
    </row>
    <row r="141" spans="1:14" x14ac:dyDescent="0.35">
      <c r="A141" s="17">
        <v>44455</v>
      </c>
      <c r="B141">
        <f>AVERAGE(Tableau2[[#This Row],[AWB]:[IAM]])</f>
        <v>-1.3093827095360734E-2</v>
      </c>
      <c r="C141">
        <f t="shared" si="24"/>
        <v>0</v>
      </c>
      <c r="D141">
        <f t="shared" si="25"/>
        <v>0</v>
      </c>
      <c r="E141">
        <f t="shared" si="26"/>
        <v>0</v>
      </c>
      <c r="F141">
        <f t="shared" si="27"/>
        <v>0</v>
      </c>
      <c r="G141">
        <f t="shared" si="28"/>
        <v>0</v>
      </c>
      <c r="H141">
        <f t="shared" si="29"/>
        <v>0</v>
      </c>
      <c r="I141">
        <f t="shared" si="30"/>
        <v>0</v>
      </c>
      <c r="J141">
        <f t="shared" si="31"/>
        <v>0</v>
      </c>
      <c r="K141">
        <f t="shared" si="32"/>
        <v>1</v>
      </c>
      <c r="L141">
        <f t="shared" si="33"/>
        <v>0</v>
      </c>
      <c r="M141">
        <f t="shared" si="34"/>
        <v>0</v>
      </c>
      <c r="N141">
        <f t="shared" si="35"/>
        <v>0</v>
      </c>
    </row>
    <row r="142" spans="1:14" x14ac:dyDescent="0.35">
      <c r="A142" s="17">
        <v>44456</v>
      </c>
      <c r="B142">
        <f>AVERAGE(Tableau2[[#This Row],[AWB]:[IAM]])</f>
        <v>5.9708472124402282E-3</v>
      </c>
      <c r="C142">
        <f t="shared" si="24"/>
        <v>0</v>
      </c>
      <c r="D142">
        <f t="shared" si="25"/>
        <v>0</v>
      </c>
      <c r="E142">
        <f t="shared" si="26"/>
        <v>0</v>
      </c>
      <c r="F142">
        <f t="shared" si="27"/>
        <v>0</v>
      </c>
      <c r="G142">
        <f t="shared" si="28"/>
        <v>0</v>
      </c>
      <c r="H142">
        <f t="shared" si="29"/>
        <v>0</v>
      </c>
      <c r="I142">
        <f t="shared" si="30"/>
        <v>0</v>
      </c>
      <c r="J142">
        <f t="shared" si="31"/>
        <v>0</v>
      </c>
      <c r="K142">
        <f t="shared" si="32"/>
        <v>1</v>
      </c>
      <c r="L142">
        <f t="shared" si="33"/>
        <v>0</v>
      </c>
      <c r="M142">
        <f t="shared" si="34"/>
        <v>0</v>
      </c>
      <c r="N142">
        <f t="shared" si="35"/>
        <v>0</v>
      </c>
    </row>
    <row r="143" spans="1:14" x14ac:dyDescent="0.35">
      <c r="A143" s="17">
        <v>44462</v>
      </c>
      <c r="B143">
        <f>AVERAGE(Tableau2[[#This Row],[AWB]:[IAM]])</f>
        <v>-1.4704893443300994E-4</v>
      </c>
      <c r="C143">
        <f t="shared" si="24"/>
        <v>0</v>
      </c>
      <c r="D143">
        <f t="shared" si="25"/>
        <v>0</v>
      </c>
      <c r="E143">
        <f t="shared" si="26"/>
        <v>0</v>
      </c>
      <c r="F143">
        <f t="shared" si="27"/>
        <v>0</v>
      </c>
      <c r="G143">
        <f t="shared" si="28"/>
        <v>0</v>
      </c>
      <c r="H143">
        <f t="shared" si="29"/>
        <v>0</v>
      </c>
      <c r="I143">
        <f t="shared" si="30"/>
        <v>0</v>
      </c>
      <c r="J143">
        <f t="shared" si="31"/>
        <v>0</v>
      </c>
      <c r="K143">
        <f t="shared" si="32"/>
        <v>1</v>
      </c>
      <c r="L143">
        <f t="shared" si="33"/>
        <v>0</v>
      </c>
      <c r="M143">
        <f t="shared" si="34"/>
        <v>0</v>
      </c>
      <c r="N143">
        <f t="shared" si="35"/>
        <v>0</v>
      </c>
    </row>
    <row r="144" spans="1:14" x14ac:dyDescent="0.35">
      <c r="A144" s="17">
        <v>44467</v>
      </c>
      <c r="B144">
        <f>AVERAGE(Tableau2[[#This Row],[AWB]:[IAM]])</f>
        <v>1.3119985972340918E-3</v>
      </c>
      <c r="C144">
        <f t="shared" si="24"/>
        <v>0</v>
      </c>
      <c r="D144">
        <f t="shared" si="25"/>
        <v>0</v>
      </c>
      <c r="E144">
        <f t="shared" si="26"/>
        <v>0</v>
      </c>
      <c r="F144">
        <f t="shared" si="27"/>
        <v>0</v>
      </c>
      <c r="G144">
        <f t="shared" si="28"/>
        <v>0</v>
      </c>
      <c r="H144">
        <f t="shared" si="29"/>
        <v>0</v>
      </c>
      <c r="I144">
        <f t="shared" si="30"/>
        <v>0</v>
      </c>
      <c r="J144">
        <f t="shared" si="31"/>
        <v>0</v>
      </c>
      <c r="K144">
        <f t="shared" si="32"/>
        <v>1</v>
      </c>
      <c r="L144">
        <f t="shared" si="33"/>
        <v>0</v>
      </c>
      <c r="M144">
        <f t="shared" si="34"/>
        <v>0</v>
      </c>
      <c r="N144">
        <f t="shared" si="35"/>
        <v>0</v>
      </c>
    </row>
    <row r="145" spans="1:14" x14ac:dyDescent="0.35">
      <c r="A145" s="17">
        <v>44470</v>
      </c>
      <c r="B145">
        <f>AVERAGE(Tableau2[[#This Row],[AWB]:[IAM]])</f>
        <v>-1.9029423436536833E-3</v>
      </c>
      <c r="C145">
        <f t="shared" si="24"/>
        <v>0</v>
      </c>
      <c r="D145">
        <f t="shared" si="25"/>
        <v>0</v>
      </c>
      <c r="E145">
        <f t="shared" si="26"/>
        <v>0</v>
      </c>
      <c r="F145">
        <f t="shared" si="27"/>
        <v>0</v>
      </c>
      <c r="G145">
        <f t="shared" si="28"/>
        <v>0</v>
      </c>
      <c r="H145">
        <f t="shared" si="29"/>
        <v>0</v>
      </c>
      <c r="I145">
        <f t="shared" si="30"/>
        <v>0</v>
      </c>
      <c r="J145">
        <f t="shared" si="31"/>
        <v>0</v>
      </c>
      <c r="K145">
        <f t="shared" si="32"/>
        <v>0</v>
      </c>
      <c r="L145">
        <f t="shared" si="33"/>
        <v>1</v>
      </c>
      <c r="M145">
        <f t="shared" si="34"/>
        <v>0</v>
      </c>
      <c r="N145">
        <f t="shared" si="35"/>
        <v>0</v>
      </c>
    </row>
    <row r="146" spans="1:14" x14ac:dyDescent="0.35">
      <c r="A146" s="17">
        <v>44474</v>
      </c>
      <c r="B146">
        <f>AVERAGE(Tableau2[[#This Row],[AWB]:[IAM]])</f>
        <v>-7.1320083950923074E-3</v>
      </c>
      <c r="C146">
        <f t="shared" si="24"/>
        <v>0</v>
      </c>
      <c r="D146">
        <f t="shared" si="25"/>
        <v>0</v>
      </c>
      <c r="E146">
        <f t="shared" si="26"/>
        <v>0</v>
      </c>
      <c r="F146">
        <f t="shared" si="27"/>
        <v>0</v>
      </c>
      <c r="G146">
        <f t="shared" si="28"/>
        <v>0</v>
      </c>
      <c r="H146">
        <f t="shared" si="29"/>
        <v>0</v>
      </c>
      <c r="I146">
        <f t="shared" si="30"/>
        <v>0</v>
      </c>
      <c r="J146">
        <f t="shared" si="31"/>
        <v>0</v>
      </c>
      <c r="K146">
        <f t="shared" si="32"/>
        <v>0</v>
      </c>
      <c r="L146">
        <f t="shared" si="33"/>
        <v>1</v>
      </c>
      <c r="M146">
        <f t="shared" si="34"/>
        <v>0</v>
      </c>
      <c r="N146">
        <f t="shared" si="35"/>
        <v>0</v>
      </c>
    </row>
    <row r="147" spans="1:14" x14ac:dyDescent="0.35">
      <c r="A147" s="17">
        <v>44477</v>
      </c>
      <c r="B147">
        <f>AVERAGE(Tableau2[[#This Row],[AWB]:[IAM]])</f>
        <v>2.101598850659496E-2</v>
      </c>
      <c r="C147">
        <f t="shared" si="24"/>
        <v>0</v>
      </c>
      <c r="D147">
        <f t="shared" si="25"/>
        <v>0</v>
      </c>
      <c r="E147">
        <f t="shared" si="26"/>
        <v>0</v>
      </c>
      <c r="F147">
        <f t="shared" si="27"/>
        <v>0</v>
      </c>
      <c r="G147">
        <f t="shared" si="28"/>
        <v>0</v>
      </c>
      <c r="H147">
        <f t="shared" si="29"/>
        <v>0</v>
      </c>
      <c r="I147">
        <f t="shared" si="30"/>
        <v>0</v>
      </c>
      <c r="J147">
        <f t="shared" si="31"/>
        <v>0</v>
      </c>
      <c r="K147">
        <f t="shared" si="32"/>
        <v>0</v>
      </c>
      <c r="L147">
        <f t="shared" si="33"/>
        <v>1</v>
      </c>
      <c r="M147">
        <f t="shared" si="34"/>
        <v>0</v>
      </c>
      <c r="N147">
        <f t="shared" si="35"/>
        <v>0</v>
      </c>
    </row>
    <row r="148" spans="1:14" x14ac:dyDescent="0.35">
      <c r="A148" s="17">
        <v>44480</v>
      </c>
      <c r="B148">
        <f>AVERAGE(Tableau2[[#This Row],[AWB]:[IAM]])</f>
        <v>-4.4521207724142744E-3</v>
      </c>
      <c r="C148">
        <f t="shared" si="24"/>
        <v>0</v>
      </c>
      <c r="D148">
        <f t="shared" si="25"/>
        <v>0</v>
      </c>
      <c r="E148">
        <f t="shared" si="26"/>
        <v>0</v>
      </c>
      <c r="F148">
        <f t="shared" si="27"/>
        <v>0</v>
      </c>
      <c r="G148">
        <f t="shared" si="28"/>
        <v>0</v>
      </c>
      <c r="H148">
        <f t="shared" si="29"/>
        <v>0</v>
      </c>
      <c r="I148">
        <f t="shared" si="30"/>
        <v>0</v>
      </c>
      <c r="J148">
        <f t="shared" si="31"/>
        <v>0</v>
      </c>
      <c r="K148">
        <f t="shared" si="32"/>
        <v>0</v>
      </c>
      <c r="L148">
        <f t="shared" si="33"/>
        <v>1</v>
      </c>
      <c r="M148">
        <f t="shared" si="34"/>
        <v>0</v>
      </c>
      <c r="N148">
        <f t="shared" si="35"/>
        <v>0</v>
      </c>
    </row>
    <row r="149" spans="1:14" x14ac:dyDescent="0.35">
      <c r="A149" s="17">
        <v>44482</v>
      </c>
      <c r="B149">
        <f>AVERAGE(Tableau2[[#This Row],[AWB]:[IAM]])</f>
        <v>1.3453913772802097E-3</v>
      </c>
      <c r="C149">
        <f t="shared" si="24"/>
        <v>0</v>
      </c>
      <c r="D149">
        <f t="shared" si="25"/>
        <v>0</v>
      </c>
      <c r="E149">
        <f t="shared" si="26"/>
        <v>0</v>
      </c>
      <c r="F149">
        <f t="shared" si="27"/>
        <v>0</v>
      </c>
      <c r="G149">
        <f t="shared" si="28"/>
        <v>0</v>
      </c>
      <c r="H149">
        <f t="shared" si="29"/>
        <v>0</v>
      </c>
      <c r="I149">
        <f t="shared" si="30"/>
        <v>0</v>
      </c>
      <c r="J149">
        <f t="shared" si="31"/>
        <v>0</v>
      </c>
      <c r="K149">
        <f t="shared" si="32"/>
        <v>0</v>
      </c>
      <c r="L149">
        <f t="shared" si="33"/>
        <v>1</v>
      </c>
      <c r="M149">
        <f t="shared" si="34"/>
        <v>0</v>
      </c>
      <c r="N149">
        <f t="shared" si="35"/>
        <v>0</v>
      </c>
    </row>
    <row r="150" spans="1:14" x14ac:dyDescent="0.35">
      <c r="A150" s="17">
        <v>44483</v>
      </c>
      <c r="B150">
        <f>AVERAGE(Tableau2[[#This Row],[AWB]:[IAM]])</f>
        <v>1.2340622768713839E-3</v>
      </c>
      <c r="C150">
        <f t="shared" si="24"/>
        <v>0</v>
      </c>
      <c r="D150">
        <f t="shared" si="25"/>
        <v>0</v>
      </c>
      <c r="E150">
        <f t="shared" si="26"/>
        <v>0</v>
      </c>
      <c r="F150">
        <f t="shared" si="27"/>
        <v>0</v>
      </c>
      <c r="G150">
        <f t="shared" si="28"/>
        <v>0</v>
      </c>
      <c r="H150">
        <f t="shared" si="29"/>
        <v>0</v>
      </c>
      <c r="I150">
        <f t="shared" si="30"/>
        <v>0</v>
      </c>
      <c r="J150">
        <f t="shared" si="31"/>
        <v>0</v>
      </c>
      <c r="K150">
        <f t="shared" si="32"/>
        <v>0</v>
      </c>
      <c r="L150">
        <f t="shared" si="33"/>
        <v>1</v>
      </c>
      <c r="M150">
        <f t="shared" si="34"/>
        <v>0</v>
      </c>
      <c r="N150">
        <f t="shared" si="35"/>
        <v>0</v>
      </c>
    </row>
    <row r="151" spans="1:14" x14ac:dyDescent="0.35">
      <c r="A151" s="17">
        <v>44484</v>
      </c>
      <c r="B151">
        <f>AVERAGE(Tableau2[[#This Row],[AWB]:[IAM]])</f>
        <v>7.7632727481381563E-3</v>
      </c>
      <c r="C151">
        <f t="shared" si="24"/>
        <v>0</v>
      </c>
      <c r="D151">
        <f t="shared" si="25"/>
        <v>0</v>
      </c>
      <c r="E151">
        <f t="shared" si="26"/>
        <v>0</v>
      </c>
      <c r="F151">
        <f t="shared" si="27"/>
        <v>0</v>
      </c>
      <c r="G151">
        <f t="shared" si="28"/>
        <v>0</v>
      </c>
      <c r="H151">
        <f t="shared" si="29"/>
        <v>0</v>
      </c>
      <c r="I151">
        <f t="shared" si="30"/>
        <v>0</v>
      </c>
      <c r="J151">
        <f t="shared" si="31"/>
        <v>0</v>
      </c>
      <c r="K151">
        <f t="shared" si="32"/>
        <v>0</v>
      </c>
      <c r="L151">
        <f t="shared" si="33"/>
        <v>1</v>
      </c>
      <c r="M151">
        <f t="shared" si="34"/>
        <v>0</v>
      </c>
      <c r="N151">
        <f t="shared" si="35"/>
        <v>0</v>
      </c>
    </row>
    <row r="152" spans="1:14" x14ac:dyDescent="0.35">
      <c r="A152" s="17">
        <v>44487</v>
      </c>
      <c r="B152">
        <f>AVERAGE(Tableau2[[#This Row],[AWB]:[IAM]])</f>
        <v>2.1526356989631373E-3</v>
      </c>
      <c r="C152">
        <f t="shared" si="24"/>
        <v>0</v>
      </c>
      <c r="D152">
        <f t="shared" si="25"/>
        <v>0</v>
      </c>
      <c r="E152">
        <f t="shared" si="26"/>
        <v>0</v>
      </c>
      <c r="F152">
        <f t="shared" si="27"/>
        <v>0</v>
      </c>
      <c r="G152">
        <f t="shared" si="28"/>
        <v>0</v>
      </c>
      <c r="H152">
        <f t="shared" si="29"/>
        <v>0</v>
      </c>
      <c r="I152">
        <f t="shared" si="30"/>
        <v>0</v>
      </c>
      <c r="J152">
        <f t="shared" si="31"/>
        <v>0</v>
      </c>
      <c r="K152">
        <f t="shared" si="32"/>
        <v>0</v>
      </c>
      <c r="L152">
        <f t="shared" si="33"/>
        <v>1</v>
      </c>
      <c r="M152">
        <f t="shared" si="34"/>
        <v>0</v>
      </c>
      <c r="N152">
        <f t="shared" si="35"/>
        <v>0</v>
      </c>
    </row>
    <row r="153" spans="1:14" x14ac:dyDescent="0.35">
      <c r="A153" s="17">
        <v>44494</v>
      </c>
      <c r="B153">
        <f>AVERAGE(Tableau2[[#This Row],[AWB]:[IAM]])</f>
        <v>1.1269965568225331E-3</v>
      </c>
      <c r="C153">
        <f t="shared" si="24"/>
        <v>0</v>
      </c>
      <c r="D153">
        <f t="shared" si="25"/>
        <v>0</v>
      </c>
      <c r="E153">
        <f t="shared" si="26"/>
        <v>0</v>
      </c>
      <c r="F153">
        <f t="shared" si="27"/>
        <v>0</v>
      </c>
      <c r="G153">
        <f t="shared" si="28"/>
        <v>0</v>
      </c>
      <c r="H153">
        <f t="shared" si="29"/>
        <v>0</v>
      </c>
      <c r="I153">
        <f t="shared" si="30"/>
        <v>0</v>
      </c>
      <c r="J153">
        <f t="shared" si="31"/>
        <v>0</v>
      </c>
      <c r="K153">
        <f t="shared" si="32"/>
        <v>0</v>
      </c>
      <c r="L153">
        <f t="shared" si="33"/>
        <v>1</v>
      </c>
      <c r="M153">
        <f t="shared" si="34"/>
        <v>0</v>
      </c>
      <c r="N153">
        <f t="shared" si="35"/>
        <v>0</v>
      </c>
    </row>
    <row r="154" spans="1:14" x14ac:dyDescent="0.35">
      <c r="A154" s="17">
        <v>44495</v>
      </c>
      <c r="B154">
        <f>AVERAGE(Tableau2[[#This Row],[AWB]:[IAM]])</f>
        <v>7.8119156760024667E-3</v>
      </c>
      <c r="C154">
        <f t="shared" si="24"/>
        <v>0</v>
      </c>
      <c r="D154">
        <f t="shared" si="25"/>
        <v>0</v>
      </c>
      <c r="E154">
        <f t="shared" si="26"/>
        <v>0</v>
      </c>
      <c r="F154">
        <f t="shared" si="27"/>
        <v>0</v>
      </c>
      <c r="G154">
        <f t="shared" si="28"/>
        <v>0</v>
      </c>
      <c r="H154">
        <f t="shared" si="29"/>
        <v>0</v>
      </c>
      <c r="I154">
        <f t="shared" si="30"/>
        <v>0</v>
      </c>
      <c r="J154">
        <f t="shared" si="31"/>
        <v>0</v>
      </c>
      <c r="K154">
        <f t="shared" si="32"/>
        <v>0</v>
      </c>
      <c r="L154">
        <f t="shared" si="33"/>
        <v>1</v>
      </c>
      <c r="M154">
        <f t="shared" si="34"/>
        <v>0</v>
      </c>
      <c r="N154">
        <f t="shared" si="35"/>
        <v>0</v>
      </c>
    </row>
    <row r="155" spans="1:14" x14ac:dyDescent="0.35">
      <c r="A155" s="17">
        <v>44496</v>
      </c>
      <c r="B155">
        <f>AVERAGE(Tableau2[[#This Row],[AWB]:[IAM]])</f>
        <v>7.2113696853603427E-3</v>
      </c>
      <c r="C155">
        <f t="shared" si="24"/>
        <v>0</v>
      </c>
      <c r="D155">
        <f t="shared" si="25"/>
        <v>0</v>
      </c>
      <c r="E155">
        <f t="shared" si="26"/>
        <v>0</v>
      </c>
      <c r="F155">
        <f t="shared" si="27"/>
        <v>0</v>
      </c>
      <c r="G155">
        <f t="shared" si="28"/>
        <v>0</v>
      </c>
      <c r="H155">
        <f t="shared" si="29"/>
        <v>0</v>
      </c>
      <c r="I155">
        <f t="shared" si="30"/>
        <v>0</v>
      </c>
      <c r="J155">
        <f t="shared" si="31"/>
        <v>0</v>
      </c>
      <c r="K155">
        <f t="shared" si="32"/>
        <v>0</v>
      </c>
      <c r="L155">
        <f t="shared" si="33"/>
        <v>1</v>
      </c>
      <c r="M155">
        <f t="shared" si="34"/>
        <v>0</v>
      </c>
      <c r="N155">
        <f t="shared" si="35"/>
        <v>0</v>
      </c>
    </row>
    <row r="156" spans="1:14" x14ac:dyDescent="0.35">
      <c r="A156" s="17">
        <v>44497</v>
      </c>
      <c r="B156">
        <f>AVERAGE(Tableau2[[#This Row],[AWB]:[IAM]])</f>
        <v>1.9654972726615271E-3</v>
      </c>
      <c r="C156">
        <f t="shared" si="24"/>
        <v>0</v>
      </c>
      <c r="D156">
        <f t="shared" si="25"/>
        <v>0</v>
      </c>
      <c r="E156">
        <f t="shared" si="26"/>
        <v>0</v>
      </c>
      <c r="F156">
        <f t="shared" si="27"/>
        <v>0</v>
      </c>
      <c r="G156">
        <f t="shared" si="28"/>
        <v>0</v>
      </c>
      <c r="H156">
        <f t="shared" si="29"/>
        <v>0</v>
      </c>
      <c r="I156">
        <f t="shared" si="30"/>
        <v>0</v>
      </c>
      <c r="J156">
        <f t="shared" si="31"/>
        <v>0</v>
      </c>
      <c r="K156">
        <f t="shared" si="32"/>
        <v>0</v>
      </c>
      <c r="L156">
        <f t="shared" si="33"/>
        <v>1</v>
      </c>
      <c r="M156">
        <f t="shared" si="34"/>
        <v>0</v>
      </c>
      <c r="N156">
        <f t="shared" si="35"/>
        <v>0</v>
      </c>
    </row>
    <row r="157" spans="1:14" x14ac:dyDescent="0.35">
      <c r="A157" s="17">
        <v>44498</v>
      </c>
      <c r="B157">
        <f>AVERAGE(Tableau2[[#This Row],[AWB]:[IAM]])</f>
        <v>-1.2504955201743707E-3</v>
      </c>
      <c r="C157">
        <f t="shared" si="24"/>
        <v>0</v>
      </c>
      <c r="D157">
        <f t="shared" si="25"/>
        <v>0</v>
      </c>
      <c r="E157">
        <f t="shared" si="26"/>
        <v>0</v>
      </c>
      <c r="F157">
        <f t="shared" si="27"/>
        <v>0</v>
      </c>
      <c r="G157">
        <f t="shared" si="28"/>
        <v>0</v>
      </c>
      <c r="H157">
        <f t="shared" si="29"/>
        <v>0</v>
      </c>
      <c r="I157">
        <f t="shared" si="30"/>
        <v>0</v>
      </c>
      <c r="J157">
        <f t="shared" si="31"/>
        <v>0</v>
      </c>
      <c r="K157">
        <f t="shared" si="32"/>
        <v>0</v>
      </c>
      <c r="L157">
        <f t="shared" si="33"/>
        <v>1</v>
      </c>
      <c r="M157">
        <f t="shared" si="34"/>
        <v>0</v>
      </c>
      <c r="N157">
        <f t="shared" si="35"/>
        <v>0</v>
      </c>
    </row>
    <row r="158" spans="1:14" x14ac:dyDescent="0.35">
      <c r="A158" s="17">
        <v>44502</v>
      </c>
      <c r="B158">
        <f>AVERAGE(Tableau2[[#This Row],[AWB]:[IAM]])</f>
        <v>-8.8926784247749294E-4</v>
      </c>
      <c r="C158">
        <f t="shared" si="24"/>
        <v>0</v>
      </c>
      <c r="D158">
        <f t="shared" si="25"/>
        <v>0</v>
      </c>
      <c r="E158">
        <f t="shared" si="26"/>
        <v>0</v>
      </c>
      <c r="F158">
        <f t="shared" si="27"/>
        <v>0</v>
      </c>
      <c r="G158">
        <f t="shared" si="28"/>
        <v>0</v>
      </c>
      <c r="H158">
        <f t="shared" si="29"/>
        <v>0</v>
      </c>
      <c r="I158">
        <f t="shared" si="30"/>
        <v>0</v>
      </c>
      <c r="J158">
        <f t="shared" si="31"/>
        <v>0</v>
      </c>
      <c r="K158">
        <f t="shared" si="32"/>
        <v>0</v>
      </c>
      <c r="L158">
        <f t="shared" si="33"/>
        <v>0</v>
      </c>
      <c r="M158">
        <f t="shared" si="34"/>
        <v>1</v>
      </c>
      <c r="N158">
        <f t="shared" si="35"/>
        <v>0</v>
      </c>
    </row>
    <row r="159" spans="1:14" x14ac:dyDescent="0.35">
      <c r="A159" s="17">
        <v>44505</v>
      </c>
      <c r="B159">
        <f>AVERAGE(Tableau2[[#This Row],[AWB]:[IAM]])</f>
        <v>-1.9633684683251908E-2</v>
      </c>
      <c r="C159">
        <f t="shared" si="24"/>
        <v>0</v>
      </c>
      <c r="D159">
        <f t="shared" si="25"/>
        <v>0</v>
      </c>
      <c r="E159">
        <f t="shared" si="26"/>
        <v>0</v>
      </c>
      <c r="F159">
        <f t="shared" si="27"/>
        <v>0</v>
      </c>
      <c r="G159">
        <f t="shared" si="28"/>
        <v>0</v>
      </c>
      <c r="H159">
        <f t="shared" si="29"/>
        <v>0</v>
      </c>
      <c r="I159">
        <f t="shared" si="30"/>
        <v>0</v>
      </c>
      <c r="J159">
        <f t="shared" si="31"/>
        <v>0</v>
      </c>
      <c r="K159">
        <f t="shared" si="32"/>
        <v>0</v>
      </c>
      <c r="L159">
        <f t="shared" si="33"/>
        <v>0</v>
      </c>
      <c r="M159">
        <f t="shared" si="34"/>
        <v>1</v>
      </c>
      <c r="N159">
        <f t="shared" si="35"/>
        <v>0</v>
      </c>
    </row>
    <row r="160" spans="1:14" x14ac:dyDescent="0.35">
      <c r="A160" s="17">
        <v>44510</v>
      </c>
      <c r="B160">
        <f>AVERAGE(Tableau2[[#This Row],[AWB]:[IAM]])</f>
        <v>-4.539254288517894E-3</v>
      </c>
      <c r="C160">
        <f t="shared" si="24"/>
        <v>0</v>
      </c>
      <c r="D160">
        <f t="shared" si="25"/>
        <v>0</v>
      </c>
      <c r="E160">
        <f t="shared" si="26"/>
        <v>0</v>
      </c>
      <c r="F160">
        <f t="shared" si="27"/>
        <v>0</v>
      </c>
      <c r="G160">
        <f t="shared" si="28"/>
        <v>0</v>
      </c>
      <c r="H160">
        <f t="shared" si="29"/>
        <v>0</v>
      </c>
      <c r="I160">
        <f t="shared" si="30"/>
        <v>0</v>
      </c>
      <c r="J160">
        <f t="shared" si="31"/>
        <v>0</v>
      </c>
      <c r="K160">
        <f t="shared" si="32"/>
        <v>0</v>
      </c>
      <c r="L160">
        <f t="shared" si="33"/>
        <v>0</v>
      </c>
      <c r="M160">
        <f t="shared" si="34"/>
        <v>1</v>
      </c>
      <c r="N160">
        <f t="shared" si="35"/>
        <v>0</v>
      </c>
    </row>
    <row r="161" spans="1:14" x14ac:dyDescent="0.35">
      <c r="A161" s="17">
        <v>44512</v>
      </c>
      <c r="B161">
        <f>AVERAGE(Tableau2[[#This Row],[AWB]:[IAM]])</f>
        <v>9.5762772179750055E-5</v>
      </c>
      <c r="C161">
        <f t="shared" si="24"/>
        <v>0</v>
      </c>
      <c r="D161">
        <f t="shared" si="25"/>
        <v>0</v>
      </c>
      <c r="E161">
        <f t="shared" si="26"/>
        <v>0</v>
      </c>
      <c r="F161">
        <f t="shared" si="27"/>
        <v>0</v>
      </c>
      <c r="G161">
        <f t="shared" si="28"/>
        <v>0</v>
      </c>
      <c r="H161">
        <f t="shared" si="29"/>
        <v>0</v>
      </c>
      <c r="I161">
        <f t="shared" si="30"/>
        <v>0</v>
      </c>
      <c r="J161">
        <f t="shared" si="31"/>
        <v>0</v>
      </c>
      <c r="K161">
        <f t="shared" si="32"/>
        <v>0</v>
      </c>
      <c r="L161">
        <f t="shared" si="33"/>
        <v>0</v>
      </c>
      <c r="M161">
        <f t="shared" si="34"/>
        <v>1</v>
      </c>
      <c r="N161">
        <f t="shared" si="35"/>
        <v>0</v>
      </c>
    </row>
    <row r="162" spans="1:14" x14ac:dyDescent="0.35">
      <c r="A162" s="17">
        <v>44517</v>
      </c>
      <c r="B162">
        <f>AVERAGE(Tableau2[[#This Row],[AWB]:[IAM]])</f>
        <v>8.8337034420247033E-3</v>
      </c>
      <c r="C162">
        <f t="shared" si="24"/>
        <v>0</v>
      </c>
      <c r="D162">
        <f t="shared" si="25"/>
        <v>0</v>
      </c>
      <c r="E162">
        <f t="shared" si="26"/>
        <v>0</v>
      </c>
      <c r="F162">
        <f t="shared" si="27"/>
        <v>0</v>
      </c>
      <c r="G162">
        <f t="shared" si="28"/>
        <v>0</v>
      </c>
      <c r="H162">
        <f t="shared" si="29"/>
        <v>0</v>
      </c>
      <c r="I162">
        <f t="shared" si="30"/>
        <v>0</v>
      </c>
      <c r="J162">
        <f t="shared" si="31"/>
        <v>0</v>
      </c>
      <c r="K162">
        <f t="shared" si="32"/>
        <v>0</v>
      </c>
      <c r="L162">
        <f t="shared" si="33"/>
        <v>0</v>
      </c>
      <c r="M162">
        <f t="shared" si="34"/>
        <v>1</v>
      </c>
      <c r="N162">
        <f t="shared" si="35"/>
        <v>0</v>
      </c>
    </row>
    <row r="163" spans="1:14" x14ac:dyDescent="0.35">
      <c r="A163" s="17">
        <v>44526</v>
      </c>
      <c r="B163">
        <f>AVERAGE(Tableau2[[#This Row],[AWB]:[IAM]])</f>
        <v>-1.2773038536699914E-2</v>
      </c>
      <c r="C163">
        <f t="shared" si="24"/>
        <v>0</v>
      </c>
      <c r="D163">
        <f t="shared" si="25"/>
        <v>0</v>
      </c>
      <c r="E163">
        <f t="shared" si="26"/>
        <v>0</v>
      </c>
      <c r="F163">
        <f t="shared" si="27"/>
        <v>0</v>
      </c>
      <c r="G163">
        <f t="shared" si="28"/>
        <v>0</v>
      </c>
      <c r="H163">
        <f t="shared" si="29"/>
        <v>0</v>
      </c>
      <c r="I163">
        <f t="shared" si="30"/>
        <v>0</v>
      </c>
      <c r="J163">
        <f t="shared" si="31"/>
        <v>0</v>
      </c>
      <c r="K163">
        <f t="shared" si="32"/>
        <v>0</v>
      </c>
      <c r="L163">
        <f t="shared" si="33"/>
        <v>0</v>
      </c>
      <c r="M163">
        <f t="shared" si="34"/>
        <v>1</v>
      </c>
      <c r="N163">
        <f t="shared" si="35"/>
        <v>0</v>
      </c>
    </row>
    <row r="164" spans="1:14" x14ac:dyDescent="0.35">
      <c r="A164" s="17">
        <v>44530</v>
      </c>
      <c r="B164">
        <f>AVERAGE(Tableau2[[#This Row],[AWB]:[IAM]])</f>
        <v>-1.0779110113504796E-2</v>
      </c>
      <c r="C164">
        <f t="shared" si="24"/>
        <v>0</v>
      </c>
      <c r="D164">
        <f t="shared" si="25"/>
        <v>0</v>
      </c>
      <c r="E164">
        <f t="shared" si="26"/>
        <v>0</v>
      </c>
      <c r="F164">
        <f t="shared" si="27"/>
        <v>0</v>
      </c>
      <c r="G164">
        <f t="shared" si="28"/>
        <v>0</v>
      </c>
      <c r="H164">
        <f t="shared" si="29"/>
        <v>0</v>
      </c>
      <c r="I164">
        <f t="shared" si="30"/>
        <v>0</v>
      </c>
      <c r="J164">
        <f t="shared" si="31"/>
        <v>0</v>
      </c>
      <c r="K164">
        <f t="shared" si="32"/>
        <v>0</v>
      </c>
      <c r="L164">
        <f t="shared" si="33"/>
        <v>0</v>
      </c>
      <c r="M164">
        <f t="shared" si="34"/>
        <v>1</v>
      </c>
      <c r="N164">
        <f t="shared" si="35"/>
        <v>0</v>
      </c>
    </row>
    <row r="165" spans="1:14" x14ac:dyDescent="0.35">
      <c r="A165" s="17">
        <v>44532</v>
      </c>
      <c r="B165">
        <f>AVERAGE(Tableau2[[#This Row],[AWB]:[IAM]])</f>
        <v>6.3775968146077121E-3</v>
      </c>
      <c r="C165">
        <f t="shared" si="24"/>
        <v>0</v>
      </c>
      <c r="D165">
        <f t="shared" si="25"/>
        <v>0</v>
      </c>
      <c r="E165">
        <f t="shared" si="26"/>
        <v>0</v>
      </c>
      <c r="F165">
        <f t="shared" si="27"/>
        <v>0</v>
      </c>
      <c r="G165">
        <f t="shared" si="28"/>
        <v>0</v>
      </c>
      <c r="H165">
        <f t="shared" si="29"/>
        <v>0</v>
      </c>
      <c r="I165">
        <f t="shared" si="30"/>
        <v>0</v>
      </c>
      <c r="J165">
        <f t="shared" si="31"/>
        <v>0</v>
      </c>
      <c r="K165">
        <f t="shared" si="32"/>
        <v>0</v>
      </c>
      <c r="L165">
        <f t="shared" si="33"/>
        <v>0</v>
      </c>
      <c r="M165">
        <f t="shared" si="34"/>
        <v>0</v>
      </c>
      <c r="N165">
        <f t="shared" si="35"/>
        <v>1</v>
      </c>
    </row>
    <row r="166" spans="1:14" x14ac:dyDescent="0.35">
      <c r="A166" s="17">
        <v>44533</v>
      </c>
      <c r="B166">
        <f>AVERAGE(Tableau2[[#This Row],[AWB]:[IAM]])</f>
        <v>-3.4888574875599513E-3</v>
      </c>
      <c r="C166">
        <f t="shared" si="24"/>
        <v>0</v>
      </c>
      <c r="D166">
        <f t="shared" si="25"/>
        <v>0</v>
      </c>
      <c r="E166">
        <f t="shared" si="26"/>
        <v>0</v>
      </c>
      <c r="F166">
        <f t="shared" si="27"/>
        <v>0</v>
      </c>
      <c r="G166">
        <f t="shared" si="28"/>
        <v>0</v>
      </c>
      <c r="H166">
        <f t="shared" si="29"/>
        <v>0</v>
      </c>
      <c r="I166">
        <f t="shared" si="30"/>
        <v>0</v>
      </c>
      <c r="J166">
        <f t="shared" si="31"/>
        <v>0</v>
      </c>
      <c r="K166">
        <f t="shared" si="32"/>
        <v>0</v>
      </c>
      <c r="L166">
        <f t="shared" si="33"/>
        <v>0</v>
      </c>
      <c r="M166">
        <f t="shared" si="34"/>
        <v>0</v>
      </c>
      <c r="N166">
        <f t="shared" si="35"/>
        <v>1</v>
      </c>
    </row>
    <row r="167" spans="1:14" x14ac:dyDescent="0.35">
      <c r="A167" s="17">
        <v>44536</v>
      </c>
      <c r="B167">
        <f>AVERAGE(Tableau2[[#This Row],[AWB]:[IAM]])</f>
        <v>4.0248771606753069E-3</v>
      </c>
      <c r="C167">
        <f t="shared" si="24"/>
        <v>0</v>
      </c>
      <c r="D167">
        <f t="shared" si="25"/>
        <v>0</v>
      </c>
      <c r="E167">
        <f t="shared" si="26"/>
        <v>0</v>
      </c>
      <c r="F167">
        <f t="shared" si="27"/>
        <v>0</v>
      </c>
      <c r="G167">
        <f t="shared" si="28"/>
        <v>0</v>
      </c>
      <c r="H167">
        <f t="shared" si="29"/>
        <v>0</v>
      </c>
      <c r="I167">
        <f t="shared" si="30"/>
        <v>0</v>
      </c>
      <c r="J167">
        <f t="shared" si="31"/>
        <v>0</v>
      </c>
      <c r="K167">
        <f t="shared" si="32"/>
        <v>0</v>
      </c>
      <c r="L167">
        <f t="shared" si="33"/>
        <v>0</v>
      </c>
      <c r="M167">
        <f t="shared" si="34"/>
        <v>0</v>
      </c>
      <c r="N167">
        <f t="shared" si="35"/>
        <v>1</v>
      </c>
    </row>
    <row r="168" spans="1:14" x14ac:dyDescent="0.35">
      <c r="A168" s="17">
        <v>44539</v>
      </c>
      <c r="B168">
        <f>AVERAGE(Tableau2[[#This Row],[AWB]:[IAM]])</f>
        <v>1.0378196135878667E-2</v>
      </c>
      <c r="C168">
        <f t="shared" si="24"/>
        <v>0</v>
      </c>
      <c r="D168">
        <f t="shared" si="25"/>
        <v>0</v>
      </c>
      <c r="E168">
        <f t="shared" si="26"/>
        <v>0</v>
      </c>
      <c r="F168">
        <f t="shared" si="27"/>
        <v>0</v>
      </c>
      <c r="G168">
        <f t="shared" si="28"/>
        <v>0</v>
      </c>
      <c r="H168">
        <f t="shared" si="29"/>
        <v>0</v>
      </c>
      <c r="I168">
        <f t="shared" si="30"/>
        <v>0</v>
      </c>
      <c r="J168">
        <f t="shared" si="31"/>
        <v>0</v>
      </c>
      <c r="K168">
        <f t="shared" si="32"/>
        <v>0</v>
      </c>
      <c r="L168">
        <f t="shared" si="33"/>
        <v>0</v>
      </c>
      <c r="M168">
        <f t="shared" si="34"/>
        <v>0</v>
      </c>
      <c r="N168">
        <f t="shared" si="35"/>
        <v>1</v>
      </c>
    </row>
    <row r="169" spans="1:14" x14ac:dyDescent="0.35">
      <c r="A169" s="17">
        <v>44540</v>
      </c>
      <c r="B169">
        <f>AVERAGE(Tableau2[[#This Row],[AWB]:[IAM]])</f>
        <v>3.479821639565458E-3</v>
      </c>
      <c r="C169">
        <f t="shared" si="24"/>
        <v>0</v>
      </c>
      <c r="D169">
        <f t="shared" si="25"/>
        <v>0</v>
      </c>
      <c r="E169">
        <f t="shared" si="26"/>
        <v>0</v>
      </c>
      <c r="F169">
        <f t="shared" si="27"/>
        <v>0</v>
      </c>
      <c r="G169">
        <f t="shared" si="28"/>
        <v>0</v>
      </c>
      <c r="H169">
        <f t="shared" si="29"/>
        <v>0</v>
      </c>
      <c r="I169">
        <f t="shared" si="30"/>
        <v>0</v>
      </c>
      <c r="J169">
        <f t="shared" si="31"/>
        <v>0</v>
      </c>
      <c r="K169">
        <f t="shared" si="32"/>
        <v>0</v>
      </c>
      <c r="L169">
        <f t="shared" si="33"/>
        <v>0</v>
      </c>
      <c r="M169">
        <f t="shared" si="34"/>
        <v>0</v>
      </c>
      <c r="N169">
        <f t="shared" si="35"/>
        <v>1</v>
      </c>
    </row>
    <row r="170" spans="1:14" x14ac:dyDescent="0.35">
      <c r="A170" s="17">
        <v>44554</v>
      </c>
      <c r="B170">
        <f>AVERAGE(Tableau2[[#This Row],[AWB]:[IAM]])</f>
        <v>-7.9196984461753425E-3</v>
      </c>
      <c r="C170">
        <f t="shared" si="24"/>
        <v>0</v>
      </c>
      <c r="D170">
        <f t="shared" si="25"/>
        <v>0</v>
      </c>
      <c r="E170">
        <f t="shared" si="26"/>
        <v>0</v>
      </c>
      <c r="F170">
        <f t="shared" si="27"/>
        <v>0</v>
      </c>
      <c r="G170">
        <f t="shared" si="28"/>
        <v>0</v>
      </c>
      <c r="H170">
        <f t="shared" si="29"/>
        <v>0</v>
      </c>
      <c r="I170">
        <f t="shared" si="30"/>
        <v>0</v>
      </c>
      <c r="J170">
        <f t="shared" si="31"/>
        <v>0</v>
      </c>
      <c r="K170">
        <f t="shared" si="32"/>
        <v>0</v>
      </c>
      <c r="L170">
        <f t="shared" si="33"/>
        <v>0</v>
      </c>
      <c r="M170">
        <f t="shared" si="34"/>
        <v>0</v>
      </c>
      <c r="N170">
        <f t="shared" si="35"/>
        <v>1</v>
      </c>
    </row>
    <row r="171" spans="1:14" x14ac:dyDescent="0.35">
      <c r="A171" s="17">
        <v>44558</v>
      </c>
      <c r="B171">
        <f>AVERAGE(Tableau2[[#This Row],[AWB]:[IAM]])</f>
        <v>-2.8023953821213888E-3</v>
      </c>
      <c r="C171">
        <f t="shared" si="24"/>
        <v>0</v>
      </c>
      <c r="D171">
        <f t="shared" si="25"/>
        <v>0</v>
      </c>
      <c r="E171">
        <f t="shared" si="26"/>
        <v>0</v>
      </c>
      <c r="F171">
        <f t="shared" si="27"/>
        <v>0</v>
      </c>
      <c r="G171">
        <f t="shared" si="28"/>
        <v>0</v>
      </c>
      <c r="H171">
        <f t="shared" si="29"/>
        <v>0</v>
      </c>
      <c r="I171">
        <f t="shared" si="30"/>
        <v>0</v>
      </c>
      <c r="J171">
        <f t="shared" si="31"/>
        <v>0</v>
      </c>
      <c r="K171">
        <f t="shared" si="32"/>
        <v>0</v>
      </c>
      <c r="L171">
        <f t="shared" si="33"/>
        <v>0</v>
      </c>
      <c r="M171">
        <f t="shared" si="34"/>
        <v>0</v>
      </c>
      <c r="N171">
        <f t="shared" si="35"/>
        <v>1</v>
      </c>
    </row>
    <row r="172" spans="1:14" x14ac:dyDescent="0.35">
      <c r="A172" s="17">
        <v>44559</v>
      </c>
      <c r="B172">
        <f>AVERAGE(Tableau2[[#This Row],[AWB]:[IAM]])</f>
        <v>8.3564043650241979E-3</v>
      </c>
      <c r="C172">
        <f t="shared" si="24"/>
        <v>0</v>
      </c>
      <c r="D172">
        <f t="shared" si="25"/>
        <v>0</v>
      </c>
      <c r="E172">
        <f t="shared" si="26"/>
        <v>0</v>
      </c>
      <c r="F172">
        <f t="shared" si="27"/>
        <v>0</v>
      </c>
      <c r="G172">
        <f t="shared" si="28"/>
        <v>0</v>
      </c>
      <c r="H172">
        <f t="shared" si="29"/>
        <v>0</v>
      </c>
      <c r="I172">
        <f t="shared" si="30"/>
        <v>0</v>
      </c>
      <c r="J172">
        <f t="shared" si="31"/>
        <v>0</v>
      </c>
      <c r="K172">
        <f t="shared" si="32"/>
        <v>0</v>
      </c>
      <c r="L172">
        <f t="shared" si="33"/>
        <v>0</v>
      </c>
      <c r="M172">
        <f t="shared" si="34"/>
        <v>0</v>
      </c>
      <c r="N172">
        <f t="shared" si="35"/>
        <v>1</v>
      </c>
    </row>
    <row r="173" spans="1:14" x14ac:dyDescent="0.35">
      <c r="A173" s="17">
        <v>44560</v>
      </c>
      <c r="B173">
        <f>AVERAGE(Tableau2[[#This Row],[AWB]:[IAM]])</f>
        <v>-6.2353447974555223E-4</v>
      </c>
      <c r="C173">
        <f t="shared" si="24"/>
        <v>0</v>
      </c>
      <c r="D173">
        <f t="shared" si="25"/>
        <v>0</v>
      </c>
      <c r="E173">
        <f t="shared" si="26"/>
        <v>0</v>
      </c>
      <c r="F173">
        <f t="shared" si="27"/>
        <v>0</v>
      </c>
      <c r="G173">
        <f t="shared" si="28"/>
        <v>0</v>
      </c>
      <c r="H173">
        <f t="shared" si="29"/>
        <v>0</v>
      </c>
      <c r="I173">
        <f t="shared" si="30"/>
        <v>0</v>
      </c>
      <c r="J173">
        <f t="shared" si="31"/>
        <v>0</v>
      </c>
      <c r="K173">
        <f t="shared" si="32"/>
        <v>0</v>
      </c>
      <c r="L173">
        <f t="shared" si="33"/>
        <v>0</v>
      </c>
      <c r="M173">
        <f t="shared" si="34"/>
        <v>0</v>
      </c>
      <c r="N173">
        <f t="shared" si="35"/>
        <v>1</v>
      </c>
    </row>
    <row r="174" spans="1:14" x14ac:dyDescent="0.35">
      <c r="A174" s="17">
        <v>44561</v>
      </c>
      <c r="B174">
        <f>AVERAGE(Tableau2[[#This Row],[AWB]:[IAM]])</f>
        <v>-9.5852957274148009E-3</v>
      </c>
      <c r="C174">
        <f t="shared" si="24"/>
        <v>0</v>
      </c>
      <c r="D174">
        <f t="shared" si="25"/>
        <v>0</v>
      </c>
      <c r="E174">
        <f t="shared" si="26"/>
        <v>0</v>
      </c>
      <c r="F174">
        <f t="shared" si="27"/>
        <v>0</v>
      </c>
      <c r="G174">
        <f t="shared" si="28"/>
        <v>0</v>
      </c>
      <c r="H174">
        <f t="shared" si="29"/>
        <v>0</v>
      </c>
      <c r="I174">
        <f t="shared" si="30"/>
        <v>0</v>
      </c>
      <c r="J174">
        <f t="shared" si="31"/>
        <v>0</v>
      </c>
      <c r="K174">
        <f t="shared" si="32"/>
        <v>0</v>
      </c>
      <c r="L174">
        <f t="shared" si="33"/>
        <v>0</v>
      </c>
      <c r="M174">
        <f t="shared" si="34"/>
        <v>0</v>
      </c>
      <c r="N174">
        <f t="shared" si="35"/>
        <v>1</v>
      </c>
    </row>
    <row r="175" spans="1:14" x14ac:dyDescent="0.35">
      <c r="A175" s="17">
        <v>44568</v>
      </c>
      <c r="B175">
        <f>AVERAGE(Tableau2[[#This Row],[AWB]:[IAM]])</f>
        <v>2.2883675246439014E-2</v>
      </c>
      <c r="C175">
        <f t="shared" si="24"/>
        <v>1</v>
      </c>
      <c r="D175">
        <f t="shared" si="25"/>
        <v>0</v>
      </c>
      <c r="E175">
        <f t="shared" si="26"/>
        <v>0</v>
      </c>
      <c r="F175">
        <f t="shared" si="27"/>
        <v>0</v>
      </c>
      <c r="G175">
        <f t="shared" si="28"/>
        <v>0</v>
      </c>
      <c r="H175">
        <f t="shared" si="29"/>
        <v>0</v>
      </c>
      <c r="I175">
        <f t="shared" si="30"/>
        <v>0</v>
      </c>
      <c r="J175">
        <f t="shared" si="31"/>
        <v>0</v>
      </c>
      <c r="K175">
        <f t="shared" si="32"/>
        <v>0</v>
      </c>
      <c r="L175">
        <f t="shared" si="33"/>
        <v>0</v>
      </c>
      <c r="M175">
        <f t="shared" si="34"/>
        <v>0</v>
      </c>
      <c r="N175">
        <f t="shared" si="35"/>
        <v>0</v>
      </c>
    </row>
    <row r="176" spans="1:14" x14ac:dyDescent="0.35">
      <c r="A176" s="17">
        <v>44574</v>
      </c>
      <c r="B176">
        <f>AVERAGE(Tableau2[[#This Row],[AWB]:[IAM]])</f>
        <v>1.2501595353505566E-2</v>
      </c>
      <c r="C176">
        <f t="shared" si="24"/>
        <v>1</v>
      </c>
      <c r="D176">
        <f t="shared" si="25"/>
        <v>0</v>
      </c>
      <c r="E176">
        <f t="shared" si="26"/>
        <v>0</v>
      </c>
      <c r="F176">
        <f t="shared" si="27"/>
        <v>0</v>
      </c>
      <c r="G176">
        <f t="shared" si="28"/>
        <v>0</v>
      </c>
      <c r="H176">
        <f t="shared" si="29"/>
        <v>0</v>
      </c>
      <c r="I176">
        <f t="shared" si="30"/>
        <v>0</v>
      </c>
      <c r="J176">
        <f t="shared" si="31"/>
        <v>0</v>
      </c>
      <c r="K176">
        <f t="shared" si="32"/>
        <v>0</v>
      </c>
      <c r="L176">
        <f t="shared" si="33"/>
        <v>0</v>
      </c>
      <c r="M176">
        <f t="shared" si="34"/>
        <v>0</v>
      </c>
      <c r="N176">
        <f t="shared" si="35"/>
        <v>0</v>
      </c>
    </row>
    <row r="177" spans="1:14" x14ac:dyDescent="0.35">
      <c r="A177" s="17">
        <v>44575</v>
      </c>
      <c r="B177">
        <f>AVERAGE(Tableau2[[#This Row],[AWB]:[IAM]])</f>
        <v>1.2225186392622631E-2</v>
      </c>
      <c r="C177">
        <f t="shared" si="24"/>
        <v>1</v>
      </c>
      <c r="D177">
        <f t="shared" si="25"/>
        <v>0</v>
      </c>
      <c r="E177">
        <f t="shared" si="26"/>
        <v>0</v>
      </c>
      <c r="F177">
        <f t="shared" si="27"/>
        <v>0</v>
      </c>
      <c r="G177">
        <f t="shared" si="28"/>
        <v>0</v>
      </c>
      <c r="H177">
        <f t="shared" si="29"/>
        <v>0</v>
      </c>
      <c r="I177">
        <f t="shared" si="30"/>
        <v>0</v>
      </c>
      <c r="J177">
        <f t="shared" si="31"/>
        <v>0</v>
      </c>
      <c r="K177">
        <f t="shared" si="32"/>
        <v>0</v>
      </c>
      <c r="L177">
        <f t="shared" si="33"/>
        <v>0</v>
      </c>
      <c r="M177">
        <f t="shared" si="34"/>
        <v>0</v>
      </c>
      <c r="N177">
        <f t="shared" si="35"/>
        <v>0</v>
      </c>
    </row>
    <row r="178" spans="1:14" x14ac:dyDescent="0.35">
      <c r="A178" s="17">
        <v>44578</v>
      </c>
      <c r="B178">
        <f>AVERAGE(Tableau2[[#This Row],[AWB]:[IAM]])</f>
        <v>-5.7258484558194995E-4</v>
      </c>
      <c r="C178">
        <f t="shared" si="24"/>
        <v>1</v>
      </c>
      <c r="D178">
        <f t="shared" si="25"/>
        <v>0</v>
      </c>
      <c r="E178">
        <f t="shared" si="26"/>
        <v>0</v>
      </c>
      <c r="F178">
        <f t="shared" si="27"/>
        <v>0</v>
      </c>
      <c r="G178">
        <f t="shared" si="28"/>
        <v>0</v>
      </c>
      <c r="H178">
        <f t="shared" si="29"/>
        <v>0</v>
      </c>
      <c r="I178">
        <f t="shared" si="30"/>
        <v>0</v>
      </c>
      <c r="J178">
        <f t="shared" si="31"/>
        <v>0</v>
      </c>
      <c r="K178">
        <f t="shared" si="32"/>
        <v>0</v>
      </c>
      <c r="L178">
        <f t="shared" si="33"/>
        <v>0</v>
      </c>
      <c r="M178">
        <f t="shared" si="34"/>
        <v>0</v>
      </c>
      <c r="N178">
        <f t="shared" si="35"/>
        <v>0</v>
      </c>
    </row>
    <row r="179" spans="1:14" x14ac:dyDescent="0.35">
      <c r="A179" s="17">
        <v>44579</v>
      </c>
      <c r="B179">
        <f>AVERAGE(Tableau2[[#This Row],[AWB]:[IAM]])</f>
        <v>5.3009816244223608E-3</v>
      </c>
      <c r="C179">
        <f t="shared" si="24"/>
        <v>1</v>
      </c>
      <c r="D179">
        <f t="shared" si="25"/>
        <v>0</v>
      </c>
      <c r="E179">
        <f t="shared" si="26"/>
        <v>0</v>
      </c>
      <c r="F179">
        <f t="shared" si="27"/>
        <v>0</v>
      </c>
      <c r="G179">
        <f t="shared" si="28"/>
        <v>0</v>
      </c>
      <c r="H179">
        <f t="shared" si="29"/>
        <v>0</v>
      </c>
      <c r="I179">
        <f t="shared" si="30"/>
        <v>0</v>
      </c>
      <c r="J179">
        <f t="shared" si="31"/>
        <v>0</v>
      </c>
      <c r="K179">
        <f t="shared" si="32"/>
        <v>0</v>
      </c>
      <c r="L179">
        <f t="shared" si="33"/>
        <v>0</v>
      </c>
      <c r="M179">
        <f t="shared" si="34"/>
        <v>0</v>
      </c>
      <c r="N179">
        <f t="shared" si="35"/>
        <v>0</v>
      </c>
    </row>
    <row r="180" spans="1:14" x14ac:dyDescent="0.35">
      <c r="A180" s="17">
        <v>44582</v>
      </c>
      <c r="B180">
        <f>AVERAGE(Tableau2[[#This Row],[AWB]:[IAM]])</f>
        <v>3.0270648988115654E-3</v>
      </c>
      <c r="C180">
        <f t="shared" si="24"/>
        <v>1</v>
      </c>
      <c r="D180">
        <f t="shared" si="25"/>
        <v>0</v>
      </c>
      <c r="E180">
        <f t="shared" si="26"/>
        <v>0</v>
      </c>
      <c r="F180">
        <f t="shared" si="27"/>
        <v>0</v>
      </c>
      <c r="G180">
        <f t="shared" si="28"/>
        <v>0</v>
      </c>
      <c r="H180">
        <f t="shared" si="29"/>
        <v>0</v>
      </c>
      <c r="I180">
        <f t="shared" si="30"/>
        <v>0</v>
      </c>
      <c r="J180">
        <f t="shared" si="31"/>
        <v>0</v>
      </c>
      <c r="K180">
        <f t="shared" si="32"/>
        <v>0</v>
      </c>
      <c r="L180">
        <f t="shared" si="33"/>
        <v>0</v>
      </c>
      <c r="M180">
        <f t="shared" si="34"/>
        <v>0</v>
      </c>
      <c r="N180">
        <f t="shared" si="35"/>
        <v>0</v>
      </c>
    </row>
    <row r="181" spans="1:14" x14ac:dyDescent="0.35">
      <c r="A181" s="17">
        <v>44585</v>
      </c>
      <c r="B181">
        <f>AVERAGE(Tableau2[[#This Row],[AWB]:[IAM]])</f>
        <v>-7.388735539117142E-3</v>
      </c>
      <c r="C181">
        <f t="shared" si="24"/>
        <v>1</v>
      </c>
      <c r="D181">
        <f t="shared" si="25"/>
        <v>0</v>
      </c>
      <c r="E181">
        <f t="shared" si="26"/>
        <v>0</v>
      </c>
      <c r="F181">
        <f t="shared" si="27"/>
        <v>0</v>
      </c>
      <c r="G181">
        <f t="shared" si="28"/>
        <v>0</v>
      </c>
      <c r="H181">
        <f t="shared" si="29"/>
        <v>0</v>
      </c>
      <c r="I181">
        <f t="shared" si="30"/>
        <v>0</v>
      </c>
      <c r="J181">
        <f t="shared" si="31"/>
        <v>0</v>
      </c>
      <c r="K181">
        <f t="shared" si="32"/>
        <v>0</v>
      </c>
      <c r="L181">
        <f t="shared" si="33"/>
        <v>0</v>
      </c>
      <c r="M181">
        <f t="shared" si="34"/>
        <v>0</v>
      </c>
      <c r="N181">
        <f t="shared" si="35"/>
        <v>0</v>
      </c>
    </row>
    <row r="182" spans="1:14" x14ac:dyDescent="0.35">
      <c r="A182" s="17">
        <v>44586</v>
      </c>
      <c r="B182">
        <f>AVERAGE(Tableau2[[#This Row],[AWB]:[IAM]])</f>
        <v>-4.897466245875161E-3</v>
      </c>
      <c r="C182">
        <f t="shared" si="24"/>
        <v>1</v>
      </c>
      <c r="D182">
        <f t="shared" si="25"/>
        <v>0</v>
      </c>
      <c r="E182">
        <f t="shared" si="26"/>
        <v>0</v>
      </c>
      <c r="F182">
        <f t="shared" si="27"/>
        <v>0</v>
      </c>
      <c r="G182">
        <f t="shared" si="28"/>
        <v>0</v>
      </c>
      <c r="H182">
        <f t="shared" si="29"/>
        <v>0</v>
      </c>
      <c r="I182">
        <f t="shared" si="30"/>
        <v>0</v>
      </c>
      <c r="J182">
        <f t="shared" si="31"/>
        <v>0</v>
      </c>
      <c r="K182">
        <f t="shared" si="32"/>
        <v>0</v>
      </c>
      <c r="L182">
        <f t="shared" si="33"/>
        <v>0</v>
      </c>
      <c r="M182">
        <f t="shared" si="34"/>
        <v>0</v>
      </c>
      <c r="N182">
        <f t="shared" si="35"/>
        <v>0</v>
      </c>
    </row>
    <row r="183" spans="1:14" x14ac:dyDescent="0.35">
      <c r="A183" s="17">
        <v>44587</v>
      </c>
      <c r="B183">
        <f>AVERAGE(Tableau2[[#This Row],[AWB]:[IAM]])</f>
        <v>5.0364209889480985E-3</v>
      </c>
      <c r="C183">
        <f t="shared" si="24"/>
        <v>1</v>
      </c>
      <c r="D183">
        <f t="shared" si="25"/>
        <v>0</v>
      </c>
      <c r="E183">
        <f t="shared" si="26"/>
        <v>0</v>
      </c>
      <c r="F183">
        <f t="shared" si="27"/>
        <v>0</v>
      </c>
      <c r="G183">
        <f t="shared" si="28"/>
        <v>0</v>
      </c>
      <c r="H183">
        <f t="shared" si="29"/>
        <v>0</v>
      </c>
      <c r="I183">
        <f t="shared" si="30"/>
        <v>0</v>
      </c>
      <c r="J183">
        <f t="shared" si="31"/>
        <v>0</v>
      </c>
      <c r="K183">
        <f t="shared" si="32"/>
        <v>0</v>
      </c>
      <c r="L183">
        <f t="shared" si="33"/>
        <v>0</v>
      </c>
      <c r="M183">
        <f t="shared" si="34"/>
        <v>0</v>
      </c>
      <c r="N183">
        <f t="shared" si="35"/>
        <v>0</v>
      </c>
    </row>
    <row r="184" spans="1:14" x14ac:dyDescent="0.35">
      <c r="A184" s="17">
        <v>44589</v>
      </c>
      <c r="B184">
        <f>AVERAGE(Tableau2[[#This Row],[AWB]:[IAM]])</f>
        <v>7.90084393441896E-3</v>
      </c>
      <c r="C184">
        <f t="shared" si="24"/>
        <v>1</v>
      </c>
      <c r="D184">
        <f t="shared" si="25"/>
        <v>0</v>
      </c>
      <c r="E184">
        <f t="shared" si="26"/>
        <v>0</v>
      </c>
      <c r="F184">
        <f t="shared" si="27"/>
        <v>0</v>
      </c>
      <c r="G184">
        <f t="shared" si="28"/>
        <v>0</v>
      </c>
      <c r="H184">
        <f t="shared" si="29"/>
        <v>0</v>
      </c>
      <c r="I184">
        <f t="shared" si="30"/>
        <v>0</v>
      </c>
      <c r="J184">
        <f t="shared" si="31"/>
        <v>0</v>
      </c>
      <c r="K184">
        <f t="shared" si="32"/>
        <v>0</v>
      </c>
      <c r="L184">
        <f t="shared" si="33"/>
        <v>0</v>
      </c>
      <c r="M184">
        <f t="shared" si="34"/>
        <v>0</v>
      </c>
      <c r="N184">
        <f t="shared" si="35"/>
        <v>0</v>
      </c>
    </row>
    <row r="185" spans="1:14" x14ac:dyDescent="0.35">
      <c r="A185" s="17">
        <v>44592</v>
      </c>
      <c r="B185">
        <f>AVERAGE(Tableau2[[#This Row],[AWB]:[IAM]])</f>
        <v>6.7127438696274475E-3</v>
      </c>
      <c r="C185">
        <f t="shared" si="24"/>
        <v>1</v>
      </c>
      <c r="D185">
        <f t="shared" si="25"/>
        <v>0</v>
      </c>
      <c r="E185">
        <f t="shared" si="26"/>
        <v>0</v>
      </c>
      <c r="F185">
        <f t="shared" si="27"/>
        <v>0</v>
      </c>
      <c r="G185">
        <f t="shared" si="28"/>
        <v>0</v>
      </c>
      <c r="H185">
        <f t="shared" si="29"/>
        <v>0</v>
      </c>
      <c r="I185">
        <f t="shared" si="30"/>
        <v>0</v>
      </c>
      <c r="J185">
        <f t="shared" si="31"/>
        <v>0</v>
      </c>
      <c r="K185">
        <f t="shared" si="32"/>
        <v>0</v>
      </c>
      <c r="L185">
        <f t="shared" si="33"/>
        <v>0</v>
      </c>
      <c r="M185">
        <f t="shared" si="34"/>
        <v>0</v>
      </c>
      <c r="N185">
        <f t="shared" si="35"/>
        <v>0</v>
      </c>
    </row>
    <row r="186" spans="1:14" x14ac:dyDescent="0.35">
      <c r="A186" s="17">
        <v>44596</v>
      </c>
      <c r="B186">
        <f>AVERAGE(Tableau2[[#This Row],[AWB]:[IAM]])</f>
        <v>7.1896867622972512E-3</v>
      </c>
      <c r="C186">
        <f t="shared" si="24"/>
        <v>0</v>
      </c>
      <c r="D186">
        <f t="shared" si="25"/>
        <v>1</v>
      </c>
      <c r="E186">
        <f t="shared" si="26"/>
        <v>0</v>
      </c>
      <c r="F186">
        <f t="shared" si="27"/>
        <v>0</v>
      </c>
      <c r="G186">
        <f t="shared" si="28"/>
        <v>0</v>
      </c>
      <c r="H186">
        <f t="shared" si="29"/>
        <v>0</v>
      </c>
      <c r="I186">
        <f t="shared" si="30"/>
        <v>0</v>
      </c>
      <c r="J186">
        <f t="shared" si="31"/>
        <v>0</v>
      </c>
      <c r="K186">
        <f t="shared" si="32"/>
        <v>0</v>
      </c>
      <c r="L186">
        <f t="shared" si="33"/>
        <v>0</v>
      </c>
      <c r="M186">
        <f t="shared" si="34"/>
        <v>0</v>
      </c>
      <c r="N186">
        <f t="shared" si="35"/>
        <v>0</v>
      </c>
    </row>
    <row r="187" spans="1:14" x14ac:dyDescent="0.35">
      <c r="A187" s="17">
        <v>44599</v>
      </c>
      <c r="B187">
        <f>AVERAGE(Tableau2[[#This Row],[AWB]:[IAM]])</f>
        <v>5.2081319401745419E-3</v>
      </c>
      <c r="C187">
        <f t="shared" si="24"/>
        <v>0</v>
      </c>
      <c r="D187">
        <f t="shared" si="25"/>
        <v>1</v>
      </c>
      <c r="E187">
        <f t="shared" si="26"/>
        <v>0</v>
      </c>
      <c r="F187">
        <f t="shared" si="27"/>
        <v>0</v>
      </c>
      <c r="G187">
        <f t="shared" si="28"/>
        <v>0</v>
      </c>
      <c r="H187">
        <f t="shared" si="29"/>
        <v>0</v>
      </c>
      <c r="I187">
        <f t="shared" si="30"/>
        <v>0</v>
      </c>
      <c r="J187">
        <f t="shared" si="31"/>
        <v>0</v>
      </c>
      <c r="K187">
        <f t="shared" si="32"/>
        <v>0</v>
      </c>
      <c r="L187">
        <f t="shared" si="33"/>
        <v>0</v>
      </c>
      <c r="M187">
        <f t="shared" si="34"/>
        <v>0</v>
      </c>
      <c r="N187">
        <f t="shared" si="35"/>
        <v>0</v>
      </c>
    </row>
    <row r="188" spans="1:14" x14ac:dyDescent="0.35">
      <c r="A188" s="17">
        <v>44600</v>
      </c>
      <c r="B188">
        <f>AVERAGE(Tableau2[[#This Row],[AWB]:[IAM]])</f>
        <v>5.3015746950223208E-4</v>
      </c>
      <c r="C188">
        <f t="shared" si="24"/>
        <v>0</v>
      </c>
      <c r="D188">
        <f t="shared" si="25"/>
        <v>1</v>
      </c>
      <c r="E188">
        <f t="shared" si="26"/>
        <v>0</v>
      </c>
      <c r="F188">
        <f t="shared" si="27"/>
        <v>0</v>
      </c>
      <c r="G188">
        <f t="shared" si="28"/>
        <v>0</v>
      </c>
      <c r="H188">
        <f t="shared" si="29"/>
        <v>0</v>
      </c>
      <c r="I188">
        <f t="shared" si="30"/>
        <v>0</v>
      </c>
      <c r="J188">
        <f t="shared" si="31"/>
        <v>0</v>
      </c>
      <c r="K188">
        <f t="shared" si="32"/>
        <v>0</v>
      </c>
      <c r="L188">
        <f t="shared" si="33"/>
        <v>0</v>
      </c>
      <c r="M188">
        <f t="shared" si="34"/>
        <v>0</v>
      </c>
      <c r="N188">
        <f t="shared" si="35"/>
        <v>0</v>
      </c>
    </row>
    <row r="189" spans="1:14" x14ac:dyDescent="0.35">
      <c r="A189" s="17">
        <v>44601</v>
      </c>
      <c r="B189">
        <f>AVERAGE(Tableau2[[#This Row],[AWB]:[IAM]])</f>
        <v>3.177348757239051E-3</v>
      </c>
      <c r="C189">
        <f t="shared" si="24"/>
        <v>0</v>
      </c>
      <c r="D189">
        <f t="shared" si="25"/>
        <v>1</v>
      </c>
      <c r="E189">
        <f t="shared" si="26"/>
        <v>0</v>
      </c>
      <c r="F189">
        <f t="shared" si="27"/>
        <v>0</v>
      </c>
      <c r="G189">
        <f t="shared" si="28"/>
        <v>0</v>
      </c>
      <c r="H189">
        <f t="shared" si="29"/>
        <v>0</v>
      </c>
      <c r="I189">
        <f t="shared" si="30"/>
        <v>0</v>
      </c>
      <c r="J189">
        <f t="shared" si="31"/>
        <v>0</v>
      </c>
      <c r="K189">
        <f t="shared" si="32"/>
        <v>0</v>
      </c>
      <c r="L189">
        <f t="shared" si="33"/>
        <v>0</v>
      </c>
      <c r="M189">
        <f t="shared" si="34"/>
        <v>0</v>
      </c>
      <c r="N189">
        <f t="shared" si="35"/>
        <v>0</v>
      </c>
    </row>
    <row r="190" spans="1:14" x14ac:dyDescent="0.35">
      <c r="A190" s="17">
        <v>44602</v>
      </c>
      <c r="B190">
        <f>AVERAGE(Tableau2[[#This Row],[AWB]:[IAM]])</f>
        <v>7.0638805012854921E-3</v>
      </c>
      <c r="C190">
        <f t="shared" si="24"/>
        <v>0</v>
      </c>
      <c r="D190">
        <f t="shared" si="25"/>
        <v>1</v>
      </c>
      <c r="E190">
        <f t="shared" si="26"/>
        <v>0</v>
      </c>
      <c r="F190">
        <f t="shared" si="27"/>
        <v>0</v>
      </c>
      <c r="G190">
        <f t="shared" si="28"/>
        <v>0</v>
      </c>
      <c r="H190">
        <f t="shared" si="29"/>
        <v>0</v>
      </c>
      <c r="I190">
        <f t="shared" si="30"/>
        <v>0</v>
      </c>
      <c r="J190">
        <f t="shared" si="31"/>
        <v>0</v>
      </c>
      <c r="K190">
        <f t="shared" si="32"/>
        <v>0</v>
      </c>
      <c r="L190">
        <f t="shared" si="33"/>
        <v>0</v>
      </c>
      <c r="M190">
        <f t="shared" si="34"/>
        <v>0</v>
      </c>
      <c r="N190">
        <f t="shared" si="35"/>
        <v>0</v>
      </c>
    </row>
    <row r="191" spans="1:14" x14ac:dyDescent="0.35">
      <c r="A191" s="17">
        <v>44614</v>
      </c>
      <c r="B191">
        <f>AVERAGE(Tableau2[[#This Row],[AWB]:[IAM]])</f>
        <v>-1.6191725322395423E-2</v>
      </c>
      <c r="C191">
        <f t="shared" si="24"/>
        <v>0</v>
      </c>
      <c r="D191">
        <f t="shared" si="25"/>
        <v>1</v>
      </c>
      <c r="E191">
        <f t="shared" si="26"/>
        <v>0</v>
      </c>
      <c r="F191">
        <f t="shared" si="27"/>
        <v>0</v>
      </c>
      <c r="G191">
        <f t="shared" si="28"/>
        <v>0</v>
      </c>
      <c r="H191">
        <f t="shared" si="29"/>
        <v>0</v>
      </c>
      <c r="I191">
        <f t="shared" si="30"/>
        <v>0</v>
      </c>
      <c r="J191">
        <f t="shared" si="31"/>
        <v>0</v>
      </c>
      <c r="K191">
        <f t="shared" si="32"/>
        <v>0</v>
      </c>
      <c r="L191">
        <f t="shared" si="33"/>
        <v>0</v>
      </c>
      <c r="M191">
        <f t="shared" si="34"/>
        <v>0</v>
      </c>
      <c r="N191">
        <f t="shared" si="35"/>
        <v>0</v>
      </c>
    </row>
    <row r="192" spans="1:14" x14ac:dyDescent="0.35">
      <c r="A192" s="17">
        <v>44617</v>
      </c>
      <c r="B192">
        <f>AVERAGE(Tableau2[[#This Row],[AWB]:[IAM]])</f>
        <v>-2.7808205245844618E-2</v>
      </c>
      <c r="C192">
        <f t="shared" si="24"/>
        <v>0</v>
      </c>
      <c r="D192">
        <f t="shared" si="25"/>
        <v>1</v>
      </c>
      <c r="E192">
        <f t="shared" si="26"/>
        <v>0</v>
      </c>
      <c r="F192">
        <f t="shared" si="27"/>
        <v>0</v>
      </c>
      <c r="G192">
        <f t="shared" si="28"/>
        <v>0</v>
      </c>
      <c r="H192">
        <f t="shared" si="29"/>
        <v>0</v>
      </c>
      <c r="I192">
        <f t="shared" si="30"/>
        <v>0</v>
      </c>
      <c r="J192">
        <f t="shared" si="31"/>
        <v>0</v>
      </c>
      <c r="K192">
        <f t="shared" si="32"/>
        <v>0</v>
      </c>
      <c r="L192">
        <f t="shared" si="33"/>
        <v>0</v>
      </c>
      <c r="M192">
        <f t="shared" si="34"/>
        <v>0</v>
      </c>
      <c r="N192">
        <f t="shared" si="35"/>
        <v>0</v>
      </c>
    </row>
    <row r="193" spans="1:14" x14ac:dyDescent="0.35">
      <c r="A193" s="17">
        <v>44620</v>
      </c>
      <c r="B193">
        <f>AVERAGE(Tableau2[[#This Row],[AWB]:[IAM]])</f>
        <v>-1.4509058891799861E-3</v>
      </c>
      <c r="C193">
        <f t="shared" si="24"/>
        <v>0</v>
      </c>
      <c r="D193">
        <f t="shared" si="25"/>
        <v>1</v>
      </c>
      <c r="E193">
        <f t="shared" si="26"/>
        <v>0</v>
      </c>
      <c r="F193">
        <f t="shared" si="27"/>
        <v>0</v>
      </c>
      <c r="G193">
        <f t="shared" si="28"/>
        <v>0</v>
      </c>
      <c r="H193">
        <f t="shared" si="29"/>
        <v>0</v>
      </c>
      <c r="I193">
        <f t="shared" si="30"/>
        <v>0</v>
      </c>
      <c r="J193">
        <f t="shared" si="31"/>
        <v>0</v>
      </c>
      <c r="K193">
        <f t="shared" si="32"/>
        <v>0</v>
      </c>
      <c r="L193">
        <f t="shared" si="33"/>
        <v>0</v>
      </c>
      <c r="M193">
        <f t="shared" si="34"/>
        <v>0</v>
      </c>
      <c r="N193">
        <f t="shared" si="35"/>
        <v>0</v>
      </c>
    </row>
    <row r="194" spans="1:14" x14ac:dyDescent="0.35">
      <c r="A194" s="17">
        <v>44621</v>
      </c>
      <c r="B194">
        <f>AVERAGE(Tableau2[[#This Row],[AWB]:[IAM]])</f>
        <v>-1.185991713022424E-2</v>
      </c>
      <c r="C194">
        <f t="shared" ref="C194:C257" si="36">IF(MONTH(A194)=1,1,0)</f>
        <v>0</v>
      </c>
      <c r="D194">
        <f t="shared" ref="D194:D257" si="37">IF(MONTH(A194)=2,1,0)</f>
        <v>0</v>
      </c>
      <c r="E194">
        <f t="shared" ref="E194:E257" si="38">IF(MONTH(A194)=3,1,0)</f>
        <v>1</v>
      </c>
      <c r="F194">
        <f t="shared" ref="F194:F257" si="39">IF(MONTH(A194)=4,1,0)</f>
        <v>0</v>
      </c>
      <c r="G194">
        <f t="shared" ref="G194:G257" si="40">IF(MONTH(A194)=5,1,0)</f>
        <v>0</v>
      </c>
      <c r="H194">
        <f t="shared" ref="H194:H257" si="41">IF(MONTH(A194)=6,1,0)</f>
        <v>0</v>
      </c>
      <c r="I194">
        <f t="shared" ref="I194:I257" si="42">IF(MONTH(A194)=7,1,0)</f>
        <v>0</v>
      </c>
      <c r="J194">
        <f t="shared" ref="J194:J257" si="43">IF(MONTH(A194)=8,1,0)</f>
        <v>0</v>
      </c>
      <c r="K194">
        <f t="shared" ref="K194:K257" si="44">IF(MONTH(A194)=9,1,0)</f>
        <v>0</v>
      </c>
      <c r="L194">
        <f t="shared" ref="L194:L257" si="45">IF(MONTH(A194)=10,1,0)</f>
        <v>0</v>
      </c>
      <c r="M194">
        <f t="shared" ref="M194:M257" si="46">IF(MONTH(A194)=11,1,0)</f>
        <v>0</v>
      </c>
      <c r="N194">
        <f t="shared" ref="N194:N257" si="47">IF(MONTH(A194)=12,1,0)</f>
        <v>0</v>
      </c>
    </row>
    <row r="195" spans="1:14" x14ac:dyDescent="0.35">
      <c r="A195" s="17">
        <v>44622</v>
      </c>
      <c r="B195">
        <f>AVERAGE(Tableau2[[#This Row],[AWB]:[IAM]])</f>
        <v>-1.5069804316957007E-2</v>
      </c>
      <c r="C195">
        <f t="shared" si="36"/>
        <v>0</v>
      </c>
      <c r="D195">
        <f t="shared" si="37"/>
        <v>0</v>
      </c>
      <c r="E195">
        <f t="shared" si="38"/>
        <v>1</v>
      </c>
      <c r="F195">
        <f t="shared" si="39"/>
        <v>0</v>
      </c>
      <c r="G195">
        <f t="shared" si="40"/>
        <v>0</v>
      </c>
      <c r="H195">
        <f t="shared" si="41"/>
        <v>0</v>
      </c>
      <c r="I195">
        <f t="shared" si="42"/>
        <v>0</v>
      </c>
      <c r="J195">
        <f t="shared" si="43"/>
        <v>0</v>
      </c>
      <c r="K195">
        <f t="shared" si="44"/>
        <v>0</v>
      </c>
      <c r="L195">
        <f t="shared" si="45"/>
        <v>0</v>
      </c>
      <c r="M195">
        <f t="shared" si="46"/>
        <v>0</v>
      </c>
      <c r="N195">
        <f t="shared" si="47"/>
        <v>0</v>
      </c>
    </row>
    <row r="196" spans="1:14" x14ac:dyDescent="0.35">
      <c r="A196" s="17">
        <v>44624</v>
      </c>
      <c r="B196">
        <f>AVERAGE(Tableau2[[#This Row],[AWB]:[IAM]])</f>
        <v>-3.4203257865345636E-2</v>
      </c>
      <c r="C196">
        <f t="shared" si="36"/>
        <v>0</v>
      </c>
      <c r="D196">
        <f t="shared" si="37"/>
        <v>0</v>
      </c>
      <c r="E196">
        <f t="shared" si="38"/>
        <v>1</v>
      </c>
      <c r="F196">
        <f t="shared" si="39"/>
        <v>0</v>
      </c>
      <c r="G196">
        <f t="shared" si="40"/>
        <v>0</v>
      </c>
      <c r="H196">
        <f t="shared" si="41"/>
        <v>0</v>
      </c>
      <c r="I196">
        <f t="shared" si="42"/>
        <v>0</v>
      </c>
      <c r="J196">
        <f t="shared" si="43"/>
        <v>0</v>
      </c>
      <c r="K196">
        <f t="shared" si="44"/>
        <v>0</v>
      </c>
      <c r="L196">
        <f t="shared" si="45"/>
        <v>0</v>
      </c>
      <c r="M196">
        <f t="shared" si="46"/>
        <v>0</v>
      </c>
      <c r="N196">
        <f t="shared" si="47"/>
        <v>0</v>
      </c>
    </row>
    <row r="197" spans="1:14" x14ac:dyDescent="0.35">
      <c r="A197" s="17">
        <v>44627</v>
      </c>
      <c r="B197">
        <f>AVERAGE(Tableau2[[#This Row],[AWB]:[IAM]])</f>
        <v>-3.1957758031715473E-2</v>
      </c>
      <c r="C197">
        <f t="shared" si="36"/>
        <v>0</v>
      </c>
      <c r="D197">
        <f t="shared" si="37"/>
        <v>0</v>
      </c>
      <c r="E197">
        <f t="shared" si="38"/>
        <v>1</v>
      </c>
      <c r="F197">
        <f t="shared" si="39"/>
        <v>0</v>
      </c>
      <c r="G197">
        <f t="shared" si="40"/>
        <v>0</v>
      </c>
      <c r="H197">
        <f t="shared" si="41"/>
        <v>0</v>
      </c>
      <c r="I197">
        <f t="shared" si="42"/>
        <v>0</v>
      </c>
      <c r="J197">
        <f t="shared" si="43"/>
        <v>0</v>
      </c>
      <c r="K197">
        <f t="shared" si="44"/>
        <v>0</v>
      </c>
      <c r="L197">
        <f t="shared" si="45"/>
        <v>0</v>
      </c>
      <c r="M197">
        <f t="shared" si="46"/>
        <v>0</v>
      </c>
      <c r="N197">
        <f t="shared" si="47"/>
        <v>0</v>
      </c>
    </row>
    <row r="198" spans="1:14" x14ac:dyDescent="0.35">
      <c r="A198" s="17">
        <v>44628</v>
      </c>
      <c r="B198">
        <f>AVERAGE(Tableau2[[#This Row],[AWB]:[IAM]])</f>
        <v>2.2497668703385144E-2</v>
      </c>
      <c r="C198">
        <f t="shared" si="36"/>
        <v>0</v>
      </c>
      <c r="D198">
        <f t="shared" si="37"/>
        <v>0</v>
      </c>
      <c r="E198">
        <f t="shared" si="38"/>
        <v>1</v>
      </c>
      <c r="F198">
        <f t="shared" si="39"/>
        <v>0</v>
      </c>
      <c r="G198">
        <f t="shared" si="40"/>
        <v>0</v>
      </c>
      <c r="H198">
        <f t="shared" si="41"/>
        <v>0</v>
      </c>
      <c r="I198">
        <f t="shared" si="42"/>
        <v>0</v>
      </c>
      <c r="J198">
        <f t="shared" si="43"/>
        <v>0</v>
      </c>
      <c r="K198">
        <f t="shared" si="44"/>
        <v>0</v>
      </c>
      <c r="L198">
        <f t="shared" si="45"/>
        <v>0</v>
      </c>
      <c r="M198">
        <f t="shared" si="46"/>
        <v>0</v>
      </c>
      <c r="N198">
        <f t="shared" si="47"/>
        <v>0</v>
      </c>
    </row>
    <row r="199" spans="1:14" x14ac:dyDescent="0.35">
      <c r="A199" s="17">
        <v>44629</v>
      </c>
      <c r="B199">
        <f>AVERAGE(Tableau2[[#This Row],[AWB]:[IAM]])</f>
        <v>2.2606639498904808E-2</v>
      </c>
      <c r="C199">
        <f t="shared" si="36"/>
        <v>0</v>
      </c>
      <c r="D199">
        <f t="shared" si="37"/>
        <v>0</v>
      </c>
      <c r="E199">
        <f t="shared" si="38"/>
        <v>1</v>
      </c>
      <c r="F199">
        <f t="shared" si="39"/>
        <v>0</v>
      </c>
      <c r="G199">
        <f t="shared" si="40"/>
        <v>0</v>
      </c>
      <c r="H199">
        <f t="shared" si="41"/>
        <v>0</v>
      </c>
      <c r="I199">
        <f t="shared" si="42"/>
        <v>0</v>
      </c>
      <c r="J199">
        <f t="shared" si="43"/>
        <v>0</v>
      </c>
      <c r="K199">
        <f t="shared" si="44"/>
        <v>0</v>
      </c>
      <c r="L199">
        <f t="shared" si="45"/>
        <v>0</v>
      </c>
      <c r="M199">
        <f t="shared" si="46"/>
        <v>0</v>
      </c>
      <c r="N199">
        <f t="shared" si="47"/>
        <v>0</v>
      </c>
    </row>
    <row r="200" spans="1:14" x14ac:dyDescent="0.35">
      <c r="A200" s="17">
        <v>44630</v>
      </c>
      <c r="B200">
        <f>AVERAGE(Tableau2[[#This Row],[AWB]:[IAM]])</f>
        <v>-1.5340404928031107E-2</v>
      </c>
      <c r="C200">
        <f t="shared" si="36"/>
        <v>0</v>
      </c>
      <c r="D200">
        <f t="shared" si="37"/>
        <v>0</v>
      </c>
      <c r="E200">
        <f t="shared" si="38"/>
        <v>1</v>
      </c>
      <c r="F200">
        <f t="shared" si="39"/>
        <v>0</v>
      </c>
      <c r="G200">
        <f t="shared" si="40"/>
        <v>0</v>
      </c>
      <c r="H200">
        <f t="shared" si="41"/>
        <v>0</v>
      </c>
      <c r="I200">
        <f t="shared" si="42"/>
        <v>0</v>
      </c>
      <c r="J200">
        <f t="shared" si="43"/>
        <v>0</v>
      </c>
      <c r="K200">
        <f t="shared" si="44"/>
        <v>0</v>
      </c>
      <c r="L200">
        <f t="shared" si="45"/>
        <v>0</v>
      </c>
      <c r="M200">
        <f t="shared" si="46"/>
        <v>0</v>
      </c>
      <c r="N200">
        <f t="shared" si="47"/>
        <v>0</v>
      </c>
    </row>
    <row r="201" spans="1:14" x14ac:dyDescent="0.35">
      <c r="A201" s="17">
        <v>44631</v>
      </c>
      <c r="B201">
        <f>AVERAGE(Tableau2[[#This Row],[AWB]:[IAM]])</f>
        <v>1.2633558167763254E-2</v>
      </c>
      <c r="C201">
        <f t="shared" si="36"/>
        <v>0</v>
      </c>
      <c r="D201">
        <f t="shared" si="37"/>
        <v>0</v>
      </c>
      <c r="E201">
        <f t="shared" si="38"/>
        <v>1</v>
      </c>
      <c r="F201">
        <f t="shared" si="39"/>
        <v>0</v>
      </c>
      <c r="G201">
        <f t="shared" si="40"/>
        <v>0</v>
      </c>
      <c r="H201">
        <f t="shared" si="41"/>
        <v>0</v>
      </c>
      <c r="I201">
        <f t="shared" si="42"/>
        <v>0</v>
      </c>
      <c r="J201">
        <f t="shared" si="43"/>
        <v>0</v>
      </c>
      <c r="K201">
        <f t="shared" si="44"/>
        <v>0</v>
      </c>
      <c r="L201">
        <f t="shared" si="45"/>
        <v>0</v>
      </c>
      <c r="M201">
        <f t="shared" si="46"/>
        <v>0</v>
      </c>
      <c r="N201">
        <f t="shared" si="47"/>
        <v>0</v>
      </c>
    </row>
    <row r="202" spans="1:14" x14ac:dyDescent="0.35">
      <c r="A202" s="17">
        <v>44636</v>
      </c>
      <c r="B202">
        <f>AVERAGE(Tableau2[[#This Row],[AWB]:[IAM]])</f>
        <v>1.5756940760798525E-2</v>
      </c>
      <c r="C202">
        <f t="shared" si="36"/>
        <v>0</v>
      </c>
      <c r="D202">
        <f t="shared" si="37"/>
        <v>0</v>
      </c>
      <c r="E202">
        <f t="shared" si="38"/>
        <v>1</v>
      </c>
      <c r="F202">
        <f t="shared" si="39"/>
        <v>0</v>
      </c>
      <c r="G202">
        <f t="shared" si="40"/>
        <v>0</v>
      </c>
      <c r="H202">
        <f t="shared" si="41"/>
        <v>0</v>
      </c>
      <c r="I202">
        <f t="shared" si="42"/>
        <v>0</v>
      </c>
      <c r="J202">
        <f t="shared" si="43"/>
        <v>0</v>
      </c>
      <c r="K202">
        <f t="shared" si="44"/>
        <v>0</v>
      </c>
      <c r="L202">
        <f t="shared" si="45"/>
        <v>0</v>
      </c>
      <c r="M202">
        <f t="shared" si="46"/>
        <v>0</v>
      </c>
      <c r="N202">
        <f t="shared" si="47"/>
        <v>0</v>
      </c>
    </row>
    <row r="203" spans="1:14" x14ac:dyDescent="0.35">
      <c r="A203" s="17">
        <v>44638</v>
      </c>
      <c r="B203">
        <f>AVERAGE(Tableau2[[#This Row],[AWB]:[IAM]])</f>
        <v>5.6227154692244812E-4</v>
      </c>
      <c r="C203">
        <f t="shared" si="36"/>
        <v>0</v>
      </c>
      <c r="D203">
        <f t="shared" si="37"/>
        <v>0</v>
      </c>
      <c r="E203">
        <f t="shared" si="38"/>
        <v>1</v>
      </c>
      <c r="F203">
        <f t="shared" si="39"/>
        <v>0</v>
      </c>
      <c r="G203">
        <f t="shared" si="40"/>
        <v>0</v>
      </c>
      <c r="H203">
        <f t="shared" si="41"/>
        <v>0</v>
      </c>
      <c r="I203">
        <f t="shared" si="42"/>
        <v>0</v>
      </c>
      <c r="J203">
        <f t="shared" si="43"/>
        <v>0</v>
      </c>
      <c r="K203">
        <f t="shared" si="44"/>
        <v>0</v>
      </c>
      <c r="L203">
        <f t="shared" si="45"/>
        <v>0</v>
      </c>
      <c r="M203">
        <f t="shared" si="46"/>
        <v>0</v>
      </c>
      <c r="N203">
        <f t="shared" si="47"/>
        <v>0</v>
      </c>
    </row>
    <row r="204" spans="1:14" x14ac:dyDescent="0.35">
      <c r="A204" s="17">
        <v>44641</v>
      </c>
      <c r="B204">
        <f>AVERAGE(Tableau2[[#This Row],[AWB]:[IAM]])</f>
        <v>9.3893585939317805E-4</v>
      </c>
      <c r="C204">
        <f t="shared" si="36"/>
        <v>0</v>
      </c>
      <c r="D204">
        <f t="shared" si="37"/>
        <v>0</v>
      </c>
      <c r="E204">
        <f t="shared" si="38"/>
        <v>1</v>
      </c>
      <c r="F204">
        <f t="shared" si="39"/>
        <v>0</v>
      </c>
      <c r="G204">
        <f t="shared" si="40"/>
        <v>0</v>
      </c>
      <c r="H204">
        <f t="shared" si="41"/>
        <v>0</v>
      </c>
      <c r="I204">
        <f t="shared" si="42"/>
        <v>0</v>
      </c>
      <c r="J204">
        <f t="shared" si="43"/>
        <v>0</v>
      </c>
      <c r="K204">
        <f t="shared" si="44"/>
        <v>0</v>
      </c>
      <c r="L204">
        <f t="shared" si="45"/>
        <v>0</v>
      </c>
      <c r="M204">
        <f t="shared" si="46"/>
        <v>0</v>
      </c>
      <c r="N204">
        <f t="shared" si="47"/>
        <v>0</v>
      </c>
    </row>
    <row r="205" spans="1:14" x14ac:dyDescent="0.35">
      <c r="A205" s="17">
        <v>44642</v>
      </c>
      <c r="B205">
        <f>AVERAGE(Tableau2[[#This Row],[AWB]:[IAM]])</f>
        <v>-1.0093323434413987E-2</v>
      </c>
      <c r="C205">
        <f t="shared" si="36"/>
        <v>0</v>
      </c>
      <c r="D205">
        <f t="shared" si="37"/>
        <v>0</v>
      </c>
      <c r="E205">
        <f t="shared" si="38"/>
        <v>1</v>
      </c>
      <c r="F205">
        <f t="shared" si="39"/>
        <v>0</v>
      </c>
      <c r="G205">
        <f t="shared" si="40"/>
        <v>0</v>
      </c>
      <c r="H205">
        <f t="shared" si="41"/>
        <v>0</v>
      </c>
      <c r="I205">
        <f t="shared" si="42"/>
        <v>0</v>
      </c>
      <c r="J205">
        <f t="shared" si="43"/>
        <v>0</v>
      </c>
      <c r="K205">
        <f t="shared" si="44"/>
        <v>0</v>
      </c>
      <c r="L205">
        <f t="shared" si="45"/>
        <v>0</v>
      </c>
      <c r="M205">
        <f t="shared" si="46"/>
        <v>0</v>
      </c>
      <c r="N205">
        <f t="shared" si="47"/>
        <v>0</v>
      </c>
    </row>
    <row r="206" spans="1:14" x14ac:dyDescent="0.35">
      <c r="A206" s="17">
        <v>44644</v>
      </c>
      <c r="B206">
        <f>AVERAGE(Tableau2[[#This Row],[AWB]:[IAM]])</f>
        <v>-3.033253842649352E-2</v>
      </c>
      <c r="C206">
        <f t="shared" si="36"/>
        <v>0</v>
      </c>
      <c r="D206">
        <f t="shared" si="37"/>
        <v>0</v>
      </c>
      <c r="E206">
        <f t="shared" si="38"/>
        <v>1</v>
      </c>
      <c r="F206">
        <f t="shared" si="39"/>
        <v>0</v>
      </c>
      <c r="G206">
        <f t="shared" si="40"/>
        <v>0</v>
      </c>
      <c r="H206">
        <f t="shared" si="41"/>
        <v>0</v>
      </c>
      <c r="I206">
        <f t="shared" si="42"/>
        <v>0</v>
      </c>
      <c r="J206">
        <f t="shared" si="43"/>
        <v>0</v>
      </c>
      <c r="K206">
        <f t="shared" si="44"/>
        <v>0</v>
      </c>
      <c r="L206">
        <f t="shared" si="45"/>
        <v>0</v>
      </c>
      <c r="M206">
        <f t="shared" si="46"/>
        <v>0</v>
      </c>
      <c r="N206">
        <f t="shared" si="47"/>
        <v>0</v>
      </c>
    </row>
    <row r="207" spans="1:14" x14ac:dyDescent="0.35">
      <c r="A207" s="17">
        <v>44645</v>
      </c>
      <c r="B207">
        <f>AVERAGE(Tableau2[[#This Row],[AWB]:[IAM]])</f>
        <v>1.0407288908135906E-2</v>
      </c>
      <c r="C207">
        <f t="shared" si="36"/>
        <v>0</v>
      </c>
      <c r="D207">
        <f t="shared" si="37"/>
        <v>0</v>
      </c>
      <c r="E207">
        <f t="shared" si="38"/>
        <v>1</v>
      </c>
      <c r="F207">
        <f t="shared" si="39"/>
        <v>0</v>
      </c>
      <c r="G207">
        <f t="shared" si="40"/>
        <v>0</v>
      </c>
      <c r="H207">
        <f t="shared" si="41"/>
        <v>0</v>
      </c>
      <c r="I207">
        <f t="shared" si="42"/>
        <v>0</v>
      </c>
      <c r="J207">
        <f t="shared" si="43"/>
        <v>0</v>
      </c>
      <c r="K207">
        <f t="shared" si="44"/>
        <v>0</v>
      </c>
      <c r="L207">
        <f t="shared" si="45"/>
        <v>0</v>
      </c>
      <c r="M207">
        <f t="shared" si="46"/>
        <v>0</v>
      </c>
      <c r="N207">
        <f t="shared" si="47"/>
        <v>0</v>
      </c>
    </row>
    <row r="208" spans="1:14" x14ac:dyDescent="0.35">
      <c r="A208" s="17">
        <v>44650</v>
      </c>
      <c r="B208">
        <f>AVERAGE(Tableau2[[#This Row],[AWB]:[IAM]])</f>
        <v>2.1470054398183173E-2</v>
      </c>
      <c r="C208">
        <f t="shared" si="36"/>
        <v>0</v>
      </c>
      <c r="D208">
        <f t="shared" si="37"/>
        <v>0</v>
      </c>
      <c r="E208">
        <f t="shared" si="38"/>
        <v>1</v>
      </c>
      <c r="F208">
        <f t="shared" si="39"/>
        <v>0</v>
      </c>
      <c r="G208">
        <f t="shared" si="40"/>
        <v>0</v>
      </c>
      <c r="H208">
        <f t="shared" si="41"/>
        <v>0</v>
      </c>
      <c r="I208">
        <f t="shared" si="42"/>
        <v>0</v>
      </c>
      <c r="J208">
        <f t="shared" si="43"/>
        <v>0</v>
      </c>
      <c r="K208">
        <f t="shared" si="44"/>
        <v>0</v>
      </c>
      <c r="L208">
        <f t="shared" si="45"/>
        <v>0</v>
      </c>
      <c r="M208">
        <f t="shared" si="46"/>
        <v>0</v>
      </c>
      <c r="N208">
        <f t="shared" si="47"/>
        <v>0</v>
      </c>
    </row>
    <row r="209" spans="1:14" x14ac:dyDescent="0.35">
      <c r="A209" s="17">
        <v>44651</v>
      </c>
      <c r="B209">
        <f>AVERAGE(Tableau2[[#This Row],[AWB]:[IAM]])</f>
        <v>2.1331969171570083E-3</v>
      </c>
      <c r="C209">
        <f t="shared" si="36"/>
        <v>0</v>
      </c>
      <c r="D209">
        <f t="shared" si="37"/>
        <v>0</v>
      </c>
      <c r="E209">
        <f t="shared" si="38"/>
        <v>1</v>
      </c>
      <c r="F209">
        <f t="shared" si="39"/>
        <v>0</v>
      </c>
      <c r="G209">
        <f t="shared" si="40"/>
        <v>0</v>
      </c>
      <c r="H209">
        <f t="shared" si="41"/>
        <v>0</v>
      </c>
      <c r="I209">
        <f t="shared" si="42"/>
        <v>0</v>
      </c>
      <c r="J209">
        <f t="shared" si="43"/>
        <v>0</v>
      </c>
      <c r="K209">
        <f t="shared" si="44"/>
        <v>0</v>
      </c>
      <c r="L209">
        <f t="shared" si="45"/>
        <v>0</v>
      </c>
      <c r="M209">
        <f t="shared" si="46"/>
        <v>0</v>
      </c>
      <c r="N209">
        <f t="shared" si="47"/>
        <v>0</v>
      </c>
    </row>
    <row r="210" spans="1:14" x14ac:dyDescent="0.35">
      <c r="A210" s="17">
        <v>44658</v>
      </c>
      <c r="B210">
        <f>AVERAGE(Tableau2[[#This Row],[AWB]:[IAM]])</f>
        <v>3.0324283215933522E-2</v>
      </c>
      <c r="C210">
        <f t="shared" si="36"/>
        <v>0</v>
      </c>
      <c r="D210">
        <f t="shared" si="37"/>
        <v>0</v>
      </c>
      <c r="E210">
        <f t="shared" si="38"/>
        <v>0</v>
      </c>
      <c r="F210">
        <f t="shared" si="39"/>
        <v>1</v>
      </c>
      <c r="G210">
        <f t="shared" si="40"/>
        <v>0</v>
      </c>
      <c r="H210">
        <f t="shared" si="41"/>
        <v>0</v>
      </c>
      <c r="I210">
        <f t="shared" si="42"/>
        <v>0</v>
      </c>
      <c r="J210">
        <f t="shared" si="43"/>
        <v>0</v>
      </c>
      <c r="K210">
        <f t="shared" si="44"/>
        <v>0</v>
      </c>
      <c r="L210">
        <f t="shared" si="45"/>
        <v>0</v>
      </c>
      <c r="M210">
        <f t="shared" si="46"/>
        <v>0</v>
      </c>
      <c r="N210">
        <f t="shared" si="47"/>
        <v>0</v>
      </c>
    </row>
    <row r="211" spans="1:14" x14ac:dyDescent="0.35">
      <c r="A211" s="17">
        <v>44664</v>
      </c>
      <c r="B211">
        <f>AVERAGE(Tableau2[[#This Row],[AWB]:[IAM]])</f>
        <v>4.7955505219073518E-4</v>
      </c>
      <c r="C211">
        <f t="shared" si="36"/>
        <v>0</v>
      </c>
      <c r="D211">
        <f t="shared" si="37"/>
        <v>0</v>
      </c>
      <c r="E211">
        <f t="shared" si="38"/>
        <v>0</v>
      </c>
      <c r="F211">
        <f t="shared" si="39"/>
        <v>1</v>
      </c>
      <c r="G211">
        <f t="shared" si="40"/>
        <v>0</v>
      </c>
      <c r="H211">
        <f t="shared" si="41"/>
        <v>0</v>
      </c>
      <c r="I211">
        <f t="shared" si="42"/>
        <v>0</v>
      </c>
      <c r="J211">
        <f t="shared" si="43"/>
        <v>0</v>
      </c>
      <c r="K211">
        <f t="shared" si="44"/>
        <v>0</v>
      </c>
      <c r="L211">
        <f t="shared" si="45"/>
        <v>0</v>
      </c>
      <c r="M211">
        <f t="shared" si="46"/>
        <v>0</v>
      </c>
      <c r="N211">
        <f t="shared" si="47"/>
        <v>0</v>
      </c>
    </row>
    <row r="212" spans="1:14" x14ac:dyDescent="0.35">
      <c r="A212" s="17">
        <v>44672</v>
      </c>
      <c r="B212">
        <f>AVERAGE(Tableau2[[#This Row],[AWB]:[IAM]])</f>
        <v>1.080387344785007E-2</v>
      </c>
      <c r="C212">
        <f t="shared" si="36"/>
        <v>0</v>
      </c>
      <c r="D212">
        <f t="shared" si="37"/>
        <v>0</v>
      </c>
      <c r="E212">
        <f t="shared" si="38"/>
        <v>0</v>
      </c>
      <c r="F212">
        <f t="shared" si="39"/>
        <v>1</v>
      </c>
      <c r="G212">
        <f t="shared" si="40"/>
        <v>0</v>
      </c>
      <c r="H212">
        <f t="shared" si="41"/>
        <v>0</v>
      </c>
      <c r="I212">
        <f t="shared" si="42"/>
        <v>0</v>
      </c>
      <c r="J212">
        <f t="shared" si="43"/>
        <v>0</v>
      </c>
      <c r="K212">
        <f t="shared" si="44"/>
        <v>0</v>
      </c>
      <c r="L212">
        <f t="shared" si="45"/>
        <v>0</v>
      </c>
      <c r="M212">
        <f t="shared" si="46"/>
        <v>0</v>
      </c>
      <c r="N212">
        <f t="shared" si="47"/>
        <v>0</v>
      </c>
    </row>
    <row r="213" spans="1:14" x14ac:dyDescent="0.35">
      <c r="A213" s="17">
        <v>44676</v>
      </c>
      <c r="B213">
        <f>AVERAGE(Tableau2[[#This Row],[AWB]:[IAM]])</f>
        <v>9.1339855593192013E-5</v>
      </c>
      <c r="C213">
        <f t="shared" si="36"/>
        <v>0</v>
      </c>
      <c r="D213">
        <f t="shared" si="37"/>
        <v>0</v>
      </c>
      <c r="E213">
        <f t="shared" si="38"/>
        <v>0</v>
      </c>
      <c r="F213">
        <f t="shared" si="39"/>
        <v>1</v>
      </c>
      <c r="G213">
        <f t="shared" si="40"/>
        <v>0</v>
      </c>
      <c r="H213">
        <f t="shared" si="41"/>
        <v>0</v>
      </c>
      <c r="I213">
        <f t="shared" si="42"/>
        <v>0</v>
      </c>
      <c r="J213">
        <f t="shared" si="43"/>
        <v>0</v>
      </c>
      <c r="K213">
        <f t="shared" si="44"/>
        <v>0</v>
      </c>
      <c r="L213">
        <f t="shared" si="45"/>
        <v>0</v>
      </c>
      <c r="M213">
        <f t="shared" si="46"/>
        <v>0</v>
      </c>
      <c r="N213">
        <f t="shared" si="47"/>
        <v>0</v>
      </c>
    </row>
    <row r="214" spans="1:14" x14ac:dyDescent="0.35">
      <c r="A214" s="17">
        <v>44677</v>
      </c>
      <c r="B214">
        <f>AVERAGE(Tableau2[[#This Row],[AWB]:[IAM]])</f>
        <v>-4.1504984976582764E-3</v>
      </c>
      <c r="C214">
        <f t="shared" si="36"/>
        <v>0</v>
      </c>
      <c r="D214">
        <f t="shared" si="37"/>
        <v>0</v>
      </c>
      <c r="E214">
        <f t="shared" si="38"/>
        <v>0</v>
      </c>
      <c r="F214">
        <f t="shared" si="39"/>
        <v>1</v>
      </c>
      <c r="G214">
        <f t="shared" si="40"/>
        <v>0</v>
      </c>
      <c r="H214">
        <f t="shared" si="41"/>
        <v>0</v>
      </c>
      <c r="I214">
        <f t="shared" si="42"/>
        <v>0</v>
      </c>
      <c r="J214">
        <f t="shared" si="43"/>
        <v>0</v>
      </c>
      <c r="K214">
        <f t="shared" si="44"/>
        <v>0</v>
      </c>
      <c r="L214">
        <f t="shared" si="45"/>
        <v>0</v>
      </c>
      <c r="M214">
        <f t="shared" si="46"/>
        <v>0</v>
      </c>
      <c r="N214">
        <f t="shared" si="47"/>
        <v>0</v>
      </c>
    </row>
    <row r="215" spans="1:14" x14ac:dyDescent="0.35">
      <c r="A215" s="17">
        <v>44678</v>
      </c>
      <c r="B215">
        <f>AVERAGE(Tableau2[[#This Row],[AWB]:[IAM]])</f>
        <v>5.7722938940786984E-4</v>
      </c>
      <c r="C215">
        <f t="shared" si="36"/>
        <v>0</v>
      </c>
      <c r="D215">
        <f t="shared" si="37"/>
        <v>0</v>
      </c>
      <c r="E215">
        <f t="shared" si="38"/>
        <v>0</v>
      </c>
      <c r="F215">
        <f t="shared" si="39"/>
        <v>1</v>
      </c>
      <c r="G215">
        <f t="shared" si="40"/>
        <v>0</v>
      </c>
      <c r="H215">
        <f t="shared" si="41"/>
        <v>0</v>
      </c>
      <c r="I215">
        <f t="shared" si="42"/>
        <v>0</v>
      </c>
      <c r="J215">
        <f t="shared" si="43"/>
        <v>0</v>
      </c>
      <c r="K215">
        <f t="shared" si="44"/>
        <v>0</v>
      </c>
      <c r="L215">
        <f t="shared" si="45"/>
        <v>0</v>
      </c>
      <c r="M215">
        <f t="shared" si="46"/>
        <v>0</v>
      </c>
      <c r="N215">
        <f t="shared" si="47"/>
        <v>0</v>
      </c>
    </row>
    <row r="216" spans="1:14" x14ac:dyDescent="0.35">
      <c r="A216" s="17">
        <v>44680</v>
      </c>
      <c r="B216">
        <f>AVERAGE(Tableau2[[#This Row],[AWB]:[IAM]])</f>
        <v>5.198563279810239E-3</v>
      </c>
      <c r="C216">
        <f t="shared" si="36"/>
        <v>0</v>
      </c>
      <c r="D216">
        <f t="shared" si="37"/>
        <v>0</v>
      </c>
      <c r="E216">
        <f t="shared" si="38"/>
        <v>0</v>
      </c>
      <c r="F216">
        <f t="shared" si="39"/>
        <v>1</v>
      </c>
      <c r="G216">
        <f t="shared" si="40"/>
        <v>0</v>
      </c>
      <c r="H216">
        <f t="shared" si="41"/>
        <v>0</v>
      </c>
      <c r="I216">
        <f t="shared" si="42"/>
        <v>0</v>
      </c>
      <c r="J216">
        <f t="shared" si="43"/>
        <v>0</v>
      </c>
      <c r="K216">
        <f t="shared" si="44"/>
        <v>0</v>
      </c>
      <c r="L216">
        <f t="shared" si="45"/>
        <v>0</v>
      </c>
      <c r="M216">
        <f t="shared" si="46"/>
        <v>0</v>
      </c>
      <c r="N216">
        <f t="shared" si="47"/>
        <v>0</v>
      </c>
    </row>
    <row r="217" spans="1:14" x14ac:dyDescent="0.35">
      <c r="A217" s="17">
        <v>44686</v>
      </c>
      <c r="B217">
        <f>AVERAGE(Tableau2[[#This Row],[AWB]:[IAM]])</f>
        <v>1.8830177542593027E-3</v>
      </c>
      <c r="C217">
        <f t="shared" si="36"/>
        <v>0</v>
      </c>
      <c r="D217">
        <f t="shared" si="37"/>
        <v>0</v>
      </c>
      <c r="E217">
        <f t="shared" si="38"/>
        <v>0</v>
      </c>
      <c r="F217">
        <f t="shared" si="39"/>
        <v>0</v>
      </c>
      <c r="G217">
        <f t="shared" si="40"/>
        <v>1</v>
      </c>
      <c r="H217">
        <f t="shared" si="41"/>
        <v>0</v>
      </c>
      <c r="I217">
        <f t="shared" si="42"/>
        <v>0</v>
      </c>
      <c r="J217">
        <f t="shared" si="43"/>
        <v>0</v>
      </c>
      <c r="K217">
        <f t="shared" si="44"/>
        <v>0</v>
      </c>
      <c r="L217">
        <f t="shared" si="45"/>
        <v>0</v>
      </c>
      <c r="M217">
        <f t="shared" si="46"/>
        <v>0</v>
      </c>
      <c r="N217">
        <f t="shared" si="47"/>
        <v>0</v>
      </c>
    </row>
    <row r="218" spans="1:14" x14ac:dyDescent="0.35">
      <c r="A218" s="17">
        <v>44687</v>
      </c>
      <c r="B218">
        <f>AVERAGE(Tableau2[[#This Row],[AWB]:[IAM]])</f>
        <v>-3.5775430459070974E-3</v>
      </c>
      <c r="C218">
        <f t="shared" si="36"/>
        <v>0</v>
      </c>
      <c r="D218">
        <f t="shared" si="37"/>
        <v>0</v>
      </c>
      <c r="E218">
        <f t="shared" si="38"/>
        <v>0</v>
      </c>
      <c r="F218">
        <f t="shared" si="39"/>
        <v>0</v>
      </c>
      <c r="G218">
        <f t="shared" si="40"/>
        <v>1</v>
      </c>
      <c r="H218">
        <f t="shared" si="41"/>
        <v>0</v>
      </c>
      <c r="I218">
        <f t="shared" si="42"/>
        <v>0</v>
      </c>
      <c r="J218">
        <f t="shared" si="43"/>
        <v>0</v>
      </c>
      <c r="K218">
        <f t="shared" si="44"/>
        <v>0</v>
      </c>
      <c r="L218">
        <f t="shared" si="45"/>
        <v>0</v>
      </c>
      <c r="M218">
        <f t="shared" si="46"/>
        <v>0</v>
      </c>
      <c r="N218">
        <f t="shared" si="47"/>
        <v>0</v>
      </c>
    </row>
    <row r="219" spans="1:14" x14ac:dyDescent="0.35">
      <c r="A219" s="17">
        <v>44694</v>
      </c>
      <c r="B219">
        <f>AVERAGE(Tableau2[[#This Row],[AWB]:[IAM]])</f>
        <v>-2.9750611540737826E-2</v>
      </c>
      <c r="C219">
        <f t="shared" si="36"/>
        <v>0</v>
      </c>
      <c r="D219">
        <f t="shared" si="37"/>
        <v>0</v>
      </c>
      <c r="E219">
        <f t="shared" si="38"/>
        <v>0</v>
      </c>
      <c r="F219">
        <f t="shared" si="39"/>
        <v>0</v>
      </c>
      <c r="G219">
        <f t="shared" si="40"/>
        <v>1</v>
      </c>
      <c r="H219">
        <f t="shared" si="41"/>
        <v>0</v>
      </c>
      <c r="I219">
        <f t="shared" si="42"/>
        <v>0</v>
      </c>
      <c r="J219">
        <f t="shared" si="43"/>
        <v>0</v>
      </c>
      <c r="K219">
        <f t="shared" si="44"/>
        <v>0</v>
      </c>
      <c r="L219">
        <f t="shared" si="45"/>
        <v>0</v>
      </c>
      <c r="M219">
        <f t="shared" si="46"/>
        <v>0</v>
      </c>
      <c r="N219">
        <f t="shared" si="47"/>
        <v>0</v>
      </c>
    </row>
    <row r="220" spans="1:14" x14ac:dyDescent="0.35">
      <c r="A220" s="17">
        <v>44699</v>
      </c>
      <c r="B220">
        <f>AVERAGE(Tableau2[[#This Row],[AWB]:[IAM]])</f>
        <v>-1.8530202641578698E-3</v>
      </c>
      <c r="C220">
        <f t="shared" si="36"/>
        <v>0</v>
      </c>
      <c r="D220">
        <f t="shared" si="37"/>
        <v>0</v>
      </c>
      <c r="E220">
        <f t="shared" si="38"/>
        <v>0</v>
      </c>
      <c r="F220">
        <f t="shared" si="39"/>
        <v>0</v>
      </c>
      <c r="G220">
        <f t="shared" si="40"/>
        <v>1</v>
      </c>
      <c r="H220">
        <f t="shared" si="41"/>
        <v>0</v>
      </c>
      <c r="I220">
        <f t="shared" si="42"/>
        <v>0</v>
      </c>
      <c r="J220">
        <f t="shared" si="43"/>
        <v>0</v>
      </c>
      <c r="K220">
        <f t="shared" si="44"/>
        <v>0</v>
      </c>
      <c r="L220">
        <f t="shared" si="45"/>
        <v>0</v>
      </c>
      <c r="M220">
        <f t="shared" si="46"/>
        <v>0</v>
      </c>
      <c r="N220">
        <f t="shared" si="47"/>
        <v>0</v>
      </c>
    </row>
    <row r="221" spans="1:14" x14ac:dyDescent="0.35">
      <c r="A221" s="17">
        <v>44701</v>
      </c>
      <c r="B221">
        <f>AVERAGE(Tableau2[[#This Row],[AWB]:[IAM]])</f>
        <v>-7.7190068242311985E-3</v>
      </c>
      <c r="C221">
        <f t="shared" si="36"/>
        <v>0</v>
      </c>
      <c r="D221">
        <f t="shared" si="37"/>
        <v>0</v>
      </c>
      <c r="E221">
        <f t="shared" si="38"/>
        <v>0</v>
      </c>
      <c r="F221">
        <f t="shared" si="39"/>
        <v>0</v>
      </c>
      <c r="G221">
        <f t="shared" si="40"/>
        <v>1</v>
      </c>
      <c r="H221">
        <f t="shared" si="41"/>
        <v>0</v>
      </c>
      <c r="I221">
        <f t="shared" si="42"/>
        <v>0</v>
      </c>
      <c r="J221">
        <f t="shared" si="43"/>
        <v>0</v>
      </c>
      <c r="K221">
        <f t="shared" si="44"/>
        <v>0</v>
      </c>
      <c r="L221">
        <f t="shared" si="45"/>
        <v>0</v>
      </c>
      <c r="M221">
        <f t="shared" si="46"/>
        <v>0</v>
      </c>
      <c r="N221">
        <f t="shared" si="47"/>
        <v>0</v>
      </c>
    </row>
    <row r="222" spans="1:14" x14ac:dyDescent="0.35">
      <c r="A222" s="17">
        <v>44705</v>
      </c>
      <c r="B222">
        <f>AVERAGE(Tableau2[[#This Row],[AWB]:[IAM]])</f>
        <v>-2.205512589744028E-2</v>
      </c>
      <c r="C222">
        <f t="shared" si="36"/>
        <v>0</v>
      </c>
      <c r="D222">
        <f t="shared" si="37"/>
        <v>0</v>
      </c>
      <c r="E222">
        <f t="shared" si="38"/>
        <v>0</v>
      </c>
      <c r="F222">
        <f t="shared" si="39"/>
        <v>0</v>
      </c>
      <c r="G222">
        <f t="shared" si="40"/>
        <v>1</v>
      </c>
      <c r="H222">
        <f t="shared" si="41"/>
        <v>0</v>
      </c>
      <c r="I222">
        <f t="shared" si="42"/>
        <v>0</v>
      </c>
      <c r="J222">
        <f t="shared" si="43"/>
        <v>0</v>
      </c>
      <c r="K222">
        <f t="shared" si="44"/>
        <v>0</v>
      </c>
      <c r="L222">
        <f t="shared" si="45"/>
        <v>0</v>
      </c>
      <c r="M222">
        <f t="shared" si="46"/>
        <v>0</v>
      </c>
      <c r="N222">
        <f t="shared" si="47"/>
        <v>0</v>
      </c>
    </row>
    <row r="223" spans="1:14" x14ac:dyDescent="0.35">
      <c r="A223" s="17">
        <v>44708</v>
      </c>
      <c r="B223">
        <f>AVERAGE(Tableau2[[#This Row],[AWB]:[IAM]])</f>
        <v>4.8331242991353071E-3</v>
      </c>
      <c r="C223">
        <f t="shared" si="36"/>
        <v>0</v>
      </c>
      <c r="D223">
        <f t="shared" si="37"/>
        <v>0</v>
      </c>
      <c r="E223">
        <f t="shared" si="38"/>
        <v>0</v>
      </c>
      <c r="F223">
        <f t="shared" si="39"/>
        <v>0</v>
      </c>
      <c r="G223">
        <f t="shared" si="40"/>
        <v>1</v>
      </c>
      <c r="H223">
        <f t="shared" si="41"/>
        <v>0</v>
      </c>
      <c r="I223">
        <f t="shared" si="42"/>
        <v>0</v>
      </c>
      <c r="J223">
        <f t="shared" si="43"/>
        <v>0</v>
      </c>
      <c r="K223">
        <f t="shared" si="44"/>
        <v>0</v>
      </c>
      <c r="L223">
        <f t="shared" si="45"/>
        <v>0</v>
      </c>
      <c r="M223">
        <f t="shared" si="46"/>
        <v>0</v>
      </c>
      <c r="N223">
        <f t="shared" si="47"/>
        <v>0</v>
      </c>
    </row>
    <row r="224" spans="1:14" x14ac:dyDescent="0.35">
      <c r="A224" s="17">
        <v>44715</v>
      </c>
      <c r="B224">
        <f>AVERAGE(Tableau2[[#This Row],[AWB]:[IAM]])</f>
        <v>1.2341976901969658E-2</v>
      </c>
      <c r="C224">
        <f t="shared" si="36"/>
        <v>0</v>
      </c>
      <c r="D224">
        <f t="shared" si="37"/>
        <v>0</v>
      </c>
      <c r="E224">
        <f t="shared" si="38"/>
        <v>0</v>
      </c>
      <c r="F224">
        <f t="shared" si="39"/>
        <v>0</v>
      </c>
      <c r="G224">
        <f t="shared" si="40"/>
        <v>0</v>
      </c>
      <c r="H224">
        <f t="shared" si="41"/>
        <v>1</v>
      </c>
      <c r="I224">
        <f t="shared" si="42"/>
        <v>0</v>
      </c>
      <c r="J224">
        <f t="shared" si="43"/>
        <v>0</v>
      </c>
      <c r="K224">
        <f t="shared" si="44"/>
        <v>0</v>
      </c>
      <c r="L224">
        <f t="shared" si="45"/>
        <v>0</v>
      </c>
      <c r="M224">
        <f t="shared" si="46"/>
        <v>0</v>
      </c>
      <c r="N224">
        <f t="shared" si="47"/>
        <v>0</v>
      </c>
    </row>
    <row r="225" spans="1:14" x14ac:dyDescent="0.35">
      <c r="A225" s="17">
        <v>44720</v>
      </c>
      <c r="B225">
        <f>AVERAGE(Tableau2[[#This Row],[AWB]:[IAM]])</f>
        <v>7.1604887741577939E-3</v>
      </c>
      <c r="C225">
        <f t="shared" si="36"/>
        <v>0</v>
      </c>
      <c r="D225">
        <f t="shared" si="37"/>
        <v>0</v>
      </c>
      <c r="E225">
        <f t="shared" si="38"/>
        <v>0</v>
      </c>
      <c r="F225">
        <f t="shared" si="39"/>
        <v>0</v>
      </c>
      <c r="G225">
        <f t="shared" si="40"/>
        <v>0</v>
      </c>
      <c r="H225">
        <f t="shared" si="41"/>
        <v>1</v>
      </c>
      <c r="I225">
        <f t="shared" si="42"/>
        <v>0</v>
      </c>
      <c r="J225">
        <f t="shared" si="43"/>
        <v>0</v>
      </c>
      <c r="K225">
        <f t="shared" si="44"/>
        <v>0</v>
      </c>
      <c r="L225">
        <f t="shared" si="45"/>
        <v>0</v>
      </c>
      <c r="M225">
        <f t="shared" si="46"/>
        <v>0</v>
      </c>
      <c r="N225">
        <f t="shared" si="47"/>
        <v>0</v>
      </c>
    </row>
    <row r="226" spans="1:14" x14ac:dyDescent="0.35">
      <c r="A226" s="17">
        <v>44722</v>
      </c>
      <c r="B226">
        <f>AVERAGE(Tableau2[[#This Row],[AWB]:[IAM]])</f>
        <v>-1.0943867282947273E-2</v>
      </c>
      <c r="C226">
        <f t="shared" si="36"/>
        <v>0</v>
      </c>
      <c r="D226">
        <f t="shared" si="37"/>
        <v>0</v>
      </c>
      <c r="E226">
        <f t="shared" si="38"/>
        <v>0</v>
      </c>
      <c r="F226">
        <f t="shared" si="39"/>
        <v>0</v>
      </c>
      <c r="G226">
        <f t="shared" si="40"/>
        <v>0</v>
      </c>
      <c r="H226">
        <f t="shared" si="41"/>
        <v>1</v>
      </c>
      <c r="I226">
        <f t="shared" si="42"/>
        <v>0</v>
      </c>
      <c r="J226">
        <f t="shared" si="43"/>
        <v>0</v>
      </c>
      <c r="K226">
        <f t="shared" si="44"/>
        <v>0</v>
      </c>
      <c r="L226">
        <f t="shared" si="45"/>
        <v>0</v>
      </c>
      <c r="M226">
        <f t="shared" si="46"/>
        <v>0</v>
      </c>
      <c r="N226">
        <f t="shared" si="47"/>
        <v>0</v>
      </c>
    </row>
    <row r="227" spans="1:14" x14ac:dyDescent="0.35">
      <c r="A227" s="17">
        <v>44725</v>
      </c>
      <c r="B227">
        <f>AVERAGE(Tableau2[[#This Row],[AWB]:[IAM]])</f>
        <v>-5.1597693298674439E-3</v>
      </c>
      <c r="C227">
        <f t="shared" si="36"/>
        <v>0</v>
      </c>
      <c r="D227">
        <f t="shared" si="37"/>
        <v>0</v>
      </c>
      <c r="E227">
        <f t="shared" si="38"/>
        <v>0</v>
      </c>
      <c r="F227">
        <f t="shared" si="39"/>
        <v>0</v>
      </c>
      <c r="G227">
        <f t="shared" si="40"/>
        <v>0</v>
      </c>
      <c r="H227">
        <f t="shared" si="41"/>
        <v>1</v>
      </c>
      <c r="I227">
        <f t="shared" si="42"/>
        <v>0</v>
      </c>
      <c r="J227">
        <f t="shared" si="43"/>
        <v>0</v>
      </c>
      <c r="K227">
        <f t="shared" si="44"/>
        <v>0</v>
      </c>
      <c r="L227">
        <f t="shared" si="45"/>
        <v>0</v>
      </c>
      <c r="M227">
        <f t="shared" si="46"/>
        <v>0</v>
      </c>
      <c r="N227">
        <f t="shared" si="47"/>
        <v>0</v>
      </c>
    </row>
    <row r="228" spans="1:14" x14ac:dyDescent="0.35">
      <c r="A228" s="17">
        <v>44726</v>
      </c>
      <c r="B228">
        <f>AVERAGE(Tableau2[[#This Row],[AWB]:[IAM]])</f>
        <v>-2.3094415072013659E-2</v>
      </c>
      <c r="C228">
        <f t="shared" si="36"/>
        <v>0</v>
      </c>
      <c r="D228">
        <f t="shared" si="37"/>
        <v>0</v>
      </c>
      <c r="E228">
        <f t="shared" si="38"/>
        <v>0</v>
      </c>
      <c r="F228">
        <f t="shared" si="39"/>
        <v>0</v>
      </c>
      <c r="G228">
        <f t="shared" si="40"/>
        <v>0</v>
      </c>
      <c r="H228">
        <f t="shared" si="41"/>
        <v>1</v>
      </c>
      <c r="I228">
        <f t="shared" si="42"/>
        <v>0</v>
      </c>
      <c r="J228">
        <f t="shared" si="43"/>
        <v>0</v>
      </c>
      <c r="K228">
        <f t="shared" si="44"/>
        <v>0</v>
      </c>
      <c r="L228">
        <f t="shared" si="45"/>
        <v>0</v>
      </c>
      <c r="M228">
        <f t="shared" si="46"/>
        <v>0</v>
      </c>
      <c r="N228">
        <f t="shared" si="47"/>
        <v>0</v>
      </c>
    </row>
    <row r="229" spans="1:14" x14ac:dyDescent="0.35">
      <c r="A229" s="17">
        <v>44727</v>
      </c>
      <c r="B229">
        <f>AVERAGE(Tableau2[[#This Row],[AWB]:[IAM]])</f>
        <v>3.5749785426407066E-3</v>
      </c>
      <c r="C229">
        <f t="shared" si="36"/>
        <v>0</v>
      </c>
      <c r="D229">
        <f t="shared" si="37"/>
        <v>0</v>
      </c>
      <c r="E229">
        <f t="shared" si="38"/>
        <v>0</v>
      </c>
      <c r="F229">
        <f t="shared" si="39"/>
        <v>0</v>
      </c>
      <c r="G229">
        <f t="shared" si="40"/>
        <v>0</v>
      </c>
      <c r="H229">
        <f t="shared" si="41"/>
        <v>1</v>
      </c>
      <c r="I229">
        <f t="shared" si="42"/>
        <v>0</v>
      </c>
      <c r="J229">
        <f t="shared" si="43"/>
        <v>0</v>
      </c>
      <c r="K229">
        <f t="shared" si="44"/>
        <v>0</v>
      </c>
      <c r="L229">
        <f t="shared" si="45"/>
        <v>0</v>
      </c>
      <c r="M229">
        <f t="shared" si="46"/>
        <v>0</v>
      </c>
      <c r="N229">
        <f t="shared" si="47"/>
        <v>0</v>
      </c>
    </row>
    <row r="230" spans="1:14" x14ac:dyDescent="0.35">
      <c r="A230" s="17">
        <v>44728</v>
      </c>
      <c r="B230">
        <f>AVERAGE(Tableau2[[#This Row],[AWB]:[IAM]])</f>
        <v>-1.0129665943231425E-2</v>
      </c>
      <c r="C230">
        <f t="shared" si="36"/>
        <v>0</v>
      </c>
      <c r="D230">
        <f t="shared" si="37"/>
        <v>0</v>
      </c>
      <c r="E230">
        <f t="shared" si="38"/>
        <v>0</v>
      </c>
      <c r="F230">
        <f t="shared" si="39"/>
        <v>0</v>
      </c>
      <c r="G230">
        <f t="shared" si="40"/>
        <v>0</v>
      </c>
      <c r="H230">
        <f t="shared" si="41"/>
        <v>1</v>
      </c>
      <c r="I230">
        <f t="shared" si="42"/>
        <v>0</v>
      </c>
      <c r="J230">
        <f t="shared" si="43"/>
        <v>0</v>
      </c>
      <c r="K230">
        <f t="shared" si="44"/>
        <v>0</v>
      </c>
      <c r="L230">
        <f t="shared" si="45"/>
        <v>0</v>
      </c>
      <c r="M230">
        <f t="shared" si="46"/>
        <v>0</v>
      </c>
      <c r="N230">
        <f t="shared" si="47"/>
        <v>0</v>
      </c>
    </row>
    <row r="231" spans="1:14" x14ac:dyDescent="0.35">
      <c r="A231" s="17">
        <v>44729</v>
      </c>
      <c r="B231">
        <f>AVERAGE(Tableau2[[#This Row],[AWB]:[IAM]])</f>
        <v>-1.0957630885382773E-2</v>
      </c>
      <c r="C231">
        <f t="shared" si="36"/>
        <v>0</v>
      </c>
      <c r="D231">
        <f t="shared" si="37"/>
        <v>0</v>
      </c>
      <c r="E231">
        <f t="shared" si="38"/>
        <v>0</v>
      </c>
      <c r="F231">
        <f t="shared" si="39"/>
        <v>0</v>
      </c>
      <c r="G231">
        <f t="shared" si="40"/>
        <v>0</v>
      </c>
      <c r="H231">
        <f t="shared" si="41"/>
        <v>1</v>
      </c>
      <c r="I231">
        <f t="shared" si="42"/>
        <v>0</v>
      </c>
      <c r="J231">
        <f t="shared" si="43"/>
        <v>0</v>
      </c>
      <c r="K231">
        <f t="shared" si="44"/>
        <v>0</v>
      </c>
      <c r="L231">
        <f t="shared" si="45"/>
        <v>0</v>
      </c>
      <c r="M231">
        <f t="shared" si="46"/>
        <v>0</v>
      </c>
      <c r="N231">
        <f t="shared" si="47"/>
        <v>0</v>
      </c>
    </row>
    <row r="232" spans="1:14" x14ac:dyDescent="0.35">
      <c r="A232" s="17">
        <v>44734</v>
      </c>
      <c r="B232">
        <f>AVERAGE(Tableau2[[#This Row],[AWB]:[IAM]])</f>
        <v>-4.9835708150481077E-3</v>
      </c>
      <c r="C232">
        <f t="shared" si="36"/>
        <v>0</v>
      </c>
      <c r="D232">
        <f t="shared" si="37"/>
        <v>0</v>
      </c>
      <c r="E232">
        <f t="shared" si="38"/>
        <v>0</v>
      </c>
      <c r="F232">
        <f t="shared" si="39"/>
        <v>0</v>
      </c>
      <c r="G232">
        <f t="shared" si="40"/>
        <v>0</v>
      </c>
      <c r="H232">
        <f t="shared" si="41"/>
        <v>1</v>
      </c>
      <c r="I232">
        <f t="shared" si="42"/>
        <v>0</v>
      </c>
      <c r="J232">
        <f t="shared" si="43"/>
        <v>0</v>
      </c>
      <c r="K232">
        <f t="shared" si="44"/>
        <v>0</v>
      </c>
      <c r="L232">
        <f t="shared" si="45"/>
        <v>0</v>
      </c>
      <c r="M232">
        <f t="shared" si="46"/>
        <v>0</v>
      </c>
      <c r="N232">
        <f t="shared" si="47"/>
        <v>0</v>
      </c>
    </row>
    <row r="233" spans="1:14" x14ac:dyDescent="0.35">
      <c r="A233" s="17">
        <v>44735</v>
      </c>
      <c r="B233">
        <f>AVERAGE(Tableau2[[#This Row],[AWB]:[IAM]])</f>
        <v>-1.15799376918993E-2</v>
      </c>
      <c r="C233">
        <f t="shared" si="36"/>
        <v>0</v>
      </c>
      <c r="D233">
        <f t="shared" si="37"/>
        <v>0</v>
      </c>
      <c r="E233">
        <f t="shared" si="38"/>
        <v>0</v>
      </c>
      <c r="F233">
        <f t="shared" si="39"/>
        <v>0</v>
      </c>
      <c r="G233">
        <f t="shared" si="40"/>
        <v>0</v>
      </c>
      <c r="H233">
        <f t="shared" si="41"/>
        <v>1</v>
      </c>
      <c r="I233">
        <f t="shared" si="42"/>
        <v>0</v>
      </c>
      <c r="J233">
        <f t="shared" si="43"/>
        <v>0</v>
      </c>
      <c r="K233">
        <f t="shared" si="44"/>
        <v>0</v>
      </c>
      <c r="L233">
        <f t="shared" si="45"/>
        <v>0</v>
      </c>
      <c r="M233">
        <f t="shared" si="46"/>
        <v>0</v>
      </c>
      <c r="N233">
        <f t="shared" si="47"/>
        <v>0</v>
      </c>
    </row>
    <row r="234" spans="1:14" x14ac:dyDescent="0.35">
      <c r="A234" s="17">
        <v>44736</v>
      </c>
      <c r="B234">
        <f>AVERAGE(Tableau2[[#This Row],[AWB]:[IAM]])</f>
        <v>4.8120451615991117E-3</v>
      </c>
      <c r="C234">
        <f t="shared" si="36"/>
        <v>0</v>
      </c>
      <c r="D234">
        <f t="shared" si="37"/>
        <v>0</v>
      </c>
      <c r="E234">
        <f t="shared" si="38"/>
        <v>0</v>
      </c>
      <c r="F234">
        <f t="shared" si="39"/>
        <v>0</v>
      </c>
      <c r="G234">
        <f t="shared" si="40"/>
        <v>0</v>
      </c>
      <c r="H234">
        <f t="shared" si="41"/>
        <v>1</v>
      </c>
      <c r="I234">
        <f t="shared" si="42"/>
        <v>0</v>
      </c>
      <c r="J234">
        <f t="shared" si="43"/>
        <v>0</v>
      </c>
      <c r="K234">
        <f t="shared" si="44"/>
        <v>0</v>
      </c>
      <c r="L234">
        <f t="shared" si="45"/>
        <v>0</v>
      </c>
      <c r="M234">
        <f t="shared" si="46"/>
        <v>0</v>
      </c>
      <c r="N234">
        <f t="shared" si="47"/>
        <v>0</v>
      </c>
    </row>
    <row r="235" spans="1:14" x14ac:dyDescent="0.35">
      <c r="A235" s="17">
        <v>44742</v>
      </c>
      <c r="B235">
        <f>AVERAGE(Tableau2[[#This Row],[AWB]:[IAM]])</f>
        <v>5.790732230213134E-3</v>
      </c>
      <c r="C235">
        <f t="shared" si="36"/>
        <v>0</v>
      </c>
      <c r="D235">
        <f t="shared" si="37"/>
        <v>0</v>
      </c>
      <c r="E235">
        <f t="shared" si="38"/>
        <v>0</v>
      </c>
      <c r="F235">
        <f t="shared" si="39"/>
        <v>0</v>
      </c>
      <c r="G235">
        <f t="shared" si="40"/>
        <v>0</v>
      </c>
      <c r="H235">
        <f t="shared" si="41"/>
        <v>1</v>
      </c>
      <c r="I235">
        <f t="shared" si="42"/>
        <v>0</v>
      </c>
      <c r="J235">
        <f t="shared" si="43"/>
        <v>0</v>
      </c>
      <c r="K235">
        <f t="shared" si="44"/>
        <v>0</v>
      </c>
      <c r="L235">
        <f t="shared" si="45"/>
        <v>0</v>
      </c>
      <c r="M235">
        <f t="shared" si="46"/>
        <v>0</v>
      </c>
      <c r="N235">
        <f t="shared" si="47"/>
        <v>0</v>
      </c>
    </row>
    <row r="236" spans="1:14" x14ac:dyDescent="0.35">
      <c r="A236" s="17">
        <v>44743</v>
      </c>
      <c r="B236">
        <f>AVERAGE(Tableau2[[#This Row],[AWB]:[IAM]])</f>
        <v>-3.0600158586241551E-2</v>
      </c>
      <c r="C236">
        <f t="shared" si="36"/>
        <v>0</v>
      </c>
      <c r="D236">
        <f t="shared" si="37"/>
        <v>0</v>
      </c>
      <c r="E236">
        <f t="shared" si="38"/>
        <v>0</v>
      </c>
      <c r="F236">
        <f t="shared" si="39"/>
        <v>0</v>
      </c>
      <c r="G236">
        <f t="shared" si="40"/>
        <v>0</v>
      </c>
      <c r="H236">
        <f t="shared" si="41"/>
        <v>0</v>
      </c>
      <c r="I236">
        <f t="shared" si="42"/>
        <v>1</v>
      </c>
      <c r="J236">
        <f t="shared" si="43"/>
        <v>0</v>
      </c>
      <c r="K236">
        <f t="shared" si="44"/>
        <v>0</v>
      </c>
      <c r="L236">
        <f t="shared" si="45"/>
        <v>0</v>
      </c>
      <c r="M236">
        <f t="shared" si="46"/>
        <v>0</v>
      </c>
      <c r="N236">
        <f t="shared" si="47"/>
        <v>0</v>
      </c>
    </row>
    <row r="237" spans="1:14" x14ac:dyDescent="0.35">
      <c r="A237" s="17">
        <v>44747</v>
      </c>
      <c r="B237">
        <f>AVERAGE(Tableau2[[#This Row],[AWB]:[IAM]])</f>
        <v>-2.0942955809023944E-2</v>
      </c>
      <c r="C237">
        <f t="shared" si="36"/>
        <v>0</v>
      </c>
      <c r="D237">
        <f t="shared" si="37"/>
        <v>0</v>
      </c>
      <c r="E237">
        <f t="shared" si="38"/>
        <v>0</v>
      </c>
      <c r="F237">
        <f t="shared" si="39"/>
        <v>0</v>
      </c>
      <c r="G237">
        <f t="shared" si="40"/>
        <v>0</v>
      </c>
      <c r="H237">
        <f t="shared" si="41"/>
        <v>0</v>
      </c>
      <c r="I237">
        <f t="shared" si="42"/>
        <v>1</v>
      </c>
      <c r="J237">
        <f t="shared" si="43"/>
        <v>0</v>
      </c>
      <c r="K237">
        <f t="shared" si="44"/>
        <v>0</v>
      </c>
      <c r="L237">
        <f t="shared" si="45"/>
        <v>0</v>
      </c>
      <c r="M237">
        <f t="shared" si="46"/>
        <v>0</v>
      </c>
      <c r="N237">
        <f t="shared" si="47"/>
        <v>0</v>
      </c>
    </row>
    <row r="238" spans="1:14" x14ac:dyDescent="0.35">
      <c r="A238" s="17">
        <v>44748</v>
      </c>
      <c r="B238">
        <f>AVERAGE(Tableau2[[#This Row],[AWB]:[IAM]])</f>
        <v>4.5686328280597618E-3</v>
      </c>
      <c r="C238">
        <f t="shared" si="36"/>
        <v>0</v>
      </c>
      <c r="D238">
        <f t="shared" si="37"/>
        <v>0</v>
      </c>
      <c r="E238">
        <f t="shared" si="38"/>
        <v>0</v>
      </c>
      <c r="F238">
        <f t="shared" si="39"/>
        <v>0</v>
      </c>
      <c r="G238">
        <f t="shared" si="40"/>
        <v>0</v>
      </c>
      <c r="H238">
        <f t="shared" si="41"/>
        <v>0</v>
      </c>
      <c r="I238">
        <f t="shared" si="42"/>
        <v>1</v>
      </c>
      <c r="J238">
        <f t="shared" si="43"/>
        <v>0</v>
      </c>
      <c r="K238">
        <f t="shared" si="44"/>
        <v>0</v>
      </c>
      <c r="L238">
        <f t="shared" si="45"/>
        <v>0</v>
      </c>
      <c r="M238">
        <f t="shared" si="46"/>
        <v>0</v>
      </c>
      <c r="N238">
        <f t="shared" si="47"/>
        <v>0</v>
      </c>
    </row>
    <row r="239" spans="1:14" x14ac:dyDescent="0.35">
      <c r="A239" s="17">
        <v>44750</v>
      </c>
      <c r="B239">
        <f>AVERAGE(Tableau2[[#This Row],[AWB]:[IAM]])</f>
        <v>5.72592695481611E-3</v>
      </c>
      <c r="C239">
        <f t="shared" si="36"/>
        <v>0</v>
      </c>
      <c r="D239">
        <f t="shared" si="37"/>
        <v>0</v>
      </c>
      <c r="E239">
        <f t="shared" si="38"/>
        <v>0</v>
      </c>
      <c r="F239">
        <f t="shared" si="39"/>
        <v>0</v>
      </c>
      <c r="G239">
        <f t="shared" si="40"/>
        <v>0</v>
      </c>
      <c r="H239">
        <f t="shared" si="41"/>
        <v>0</v>
      </c>
      <c r="I239">
        <f t="shared" si="42"/>
        <v>1</v>
      </c>
      <c r="J239">
        <f t="shared" si="43"/>
        <v>0</v>
      </c>
      <c r="K239">
        <f t="shared" si="44"/>
        <v>0</v>
      </c>
      <c r="L239">
        <f t="shared" si="45"/>
        <v>0</v>
      </c>
      <c r="M239">
        <f t="shared" si="46"/>
        <v>0</v>
      </c>
      <c r="N239">
        <f t="shared" si="47"/>
        <v>0</v>
      </c>
    </row>
    <row r="240" spans="1:14" x14ac:dyDescent="0.35">
      <c r="A240" s="17">
        <v>44756</v>
      </c>
      <c r="B240">
        <f>AVERAGE(Tableau2[[#This Row],[AWB]:[IAM]])</f>
        <v>5.0603825616054978E-3</v>
      </c>
      <c r="C240">
        <f t="shared" si="36"/>
        <v>0</v>
      </c>
      <c r="D240">
        <f t="shared" si="37"/>
        <v>0</v>
      </c>
      <c r="E240">
        <f t="shared" si="38"/>
        <v>0</v>
      </c>
      <c r="F240">
        <f t="shared" si="39"/>
        <v>0</v>
      </c>
      <c r="G240">
        <f t="shared" si="40"/>
        <v>0</v>
      </c>
      <c r="H240">
        <f t="shared" si="41"/>
        <v>0</v>
      </c>
      <c r="I240">
        <f t="shared" si="42"/>
        <v>1</v>
      </c>
      <c r="J240">
        <f t="shared" si="43"/>
        <v>0</v>
      </c>
      <c r="K240">
        <f t="shared" si="44"/>
        <v>0</v>
      </c>
      <c r="L240">
        <f t="shared" si="45"/>
        <v>0</v>
      </c>
      <c r="M240">
        <f t="shared" si="46"/>
        <v>0</v>
      </c>
      <c r="N240">
        <f t="shared" si="47"/>
        <v>0</v>
      </c>
    </row>
    <row r="241" spans="1:14" x14ac:dyDescent="0.35">
      <c r="A241" s="17">
        <v>44757</v>
      </c>
      <c r="B241">
        <f>AVERAGE(Tableau2[[#This Row],[AWB]:[IAM]])</f>
        <v>3.5376750567519687E-3</v>
      </c>
      <c r="C241">
        <f t="shared" si="36"/>
        <v>0</v>
      </c>
      <c r="D241">
        <f t="shared" si="37"/>
        <v>0</v>
      </c>
      <c r="E241">
        <f t="shared" si="38"/>
        <v>0</v>
      </c>
      <c r="F241">
        <f t="shared" si="39"/>
        <v>0</v>
      </c>
      <c r="G241">
        <f t="shared" si="40"/>
        <v>0</v>
      </c>
      <c r="H241">
        <f t="shared" si="41"/>
        <v>0</v>
      </c>
      <c r="I241">
        <f t="shared" si="42"/>
        <v>1</v>
      </c>
      <c r="J241">
        <f t="shared" si="43"/>
        <v>0</v>
      </c>
      <c r="K241">
        <f t="shared" si="44"/>
        <v>0</v>
      </c>
      <c r="L241">
        <f t="shared" si="45"/>
        <v>0</v>
      </c>
      <c r="M241">
        <f t="shared" si="46"/>
        <v>0</v>
      </c>
      <c r="N241">
        <f t="shared" si="47"/>
        <v>0</v>
      </c>
    </row>
    <row r="242" spans="1:14" x14ac:dyDescent="0.35">
      <c r="A242" s="17">
        <v>44760</v>
      </c>
      <c r="B242">
        <f>AVERAGE(Tableau2[[#This Row],[AWB]:[IAM]])</f>
        <v>3.656414669667167E-3</v>
      </c>
      <c r="C242">
        <f t="shared" si="36"/>
        <v>0</v>
      </c>
      <c r="D242">
        <f t="shared" si="37"/>
        <v>0</v>
      </c>
      <c r="E242">
        <f t="shared" si="38"/>
        <v>0</v>
      </c>
      <c r="F242">
        <f t="shared" si="39"/>
        <v>0</v>
      </c>
      <c r="G242">
        <f t="shared" si="40"/>
        <v>0</v>
      </c>
      <c r="H242">
        <f t="shared" si="41"/>
        <v>0</v>
      </c>
      <c r="I242">
        <f t="shared" si="42"/>
        <v>1</v>
      </c>
      <c r="J242">
        <f t="shared" si="43"/>
        <v>0</v>
      </c>
      <c r="K242">
        <f t="shared" si="44"/>
        <v>0</v>
      </c>
      <c r="L242">
        <f t="shared" si="45"/>
        <v>0</v>
      </c>
      <c r="M242">
        <f t="shared" si="46"/>
        <v>0</v>
      </c>
      <c r="N242">
        <f t="shared" si="47"/>
        <v>0</v>
      </c>
    </row>
    <row r="243" spans="1:14" x14ac:dyDescent="0.35">
      <c r="A243" s="17">
        <v>44761</v>
      </c>
      <c r="B243">
        <f>AVERAGE(Tableau2[[#This Row],[AWB]:[IAM]])</f>
        <v>7.8738621297867843E-3</v>
      </c>
      <c r="C243">
        <f t="shared" si="36"/>
        <v>0</v>
      </c>
      <c r="D243">
        <f t="shared" si="37"/>
        <v>0</v>
      </c>
      <c r="E243">
        <f t="shared" si="38"/>
        <v>0</v>
      </c>
      <c r="F243">
        <f t="shared" si="39"/>
        <v>0</v>
      </c>
      <c r="G243">
        <f t="shared" si="40"/>
        <v>0</v>
      </c>
      <c r="H243">
        <f t="shared" si="41"/>
        <v>0</v>
      </c>
      <c r="I243">
        <f t="shared" si="42"/>
        <v>1</v>
      </c>
      <c r="J243">
        <f t="shared" si="43"/>
        <v>0</v>
      </c>
      <c r="K243">
        <f t="shared" si="44"/>
        <v>0</v>
      </c>
      <c r="L243">
        <f t="shared" si="45"/>
        <v>0</v>
      </c>
      <c r="M243">
        <f t="shared" si="46"/>
        <v>0</v>
      </c>
      <c r="N243">
        <f t="shared" si="47"/>
        <v>0</v>
      </c>
    </row>
    <row r="244" spans="1:14" x14ac:dyDescent="0.35">
      <c r="A244" s="17">
        <v>44762</v>
      </c>
      <c r="B244">
        <f>AVERAGE(Tableau2[[#This Row],[AWB]:[IAM]])</f>
        <v>-8.485611690344997E-3</v>
      </c>
      <c r="C244">
        <f t="shared" si="36"/>
        <v>0</v>
      </c>
      <c r="D244">
        <f t="shared" si="37"/>
        <v>0</v>
      </c>
      <c r="E244">
        <f t="shared" si="38"/>
        <v>0</v>
      </c>
      <c r="F244">
        <f t="shared" si="39"/>
        <v>0</v>
      </c>
      <c r="G244">
        <f t="shared" si="40"/>
        <v>0</v>
      </c>
      <c r="H244">
        <f t="shared" si="41"/>
        <v>0</v>
      </c>
      <c r="I244">
        <f t="shared" si="42"/>
        <v>1</v>
      </c>
      <c r="J244">
        <f t="shared" si="43"/>
        <v>0</v>
      </c>
      <c r="K244">
        <f t="shared" si="44"/>
        <v>0</v>
      </c>
      <c r="L244">
        <f t="shared" si="45"/>
        <v>0</v>
      </c>
      <c r="M244">
        <f t="shared" si="46"/>
        <v>0</v>
      </c>
      <c r="N244">
        <f t="shared" si="47"/>
        <v>0</v>
      </c>
    </row>
    <row r="245" spans="1:14" x14ac:dyDescent="0.35">
      <c r="A245" s="17">
        <v>44763</v>
      </c>
      <c r="B245">
        <f>AVERAGE(Tableau2[[#This Row],[AWB]:[IAM]])</f>
        <v>1.9692308690406235E-3</v>
      </c>
      <c r="C245">
        <f t="shared" si="36"/>
        <v>0</v>
      </c>
      <c r="D245">
        <f t="shared" si="37"/>
        <v>0</v>
      </c>
      <c r="E245">
        <f t="shared" si="38"/>
        <v>0</v>
      </c>
      <c r="F245">
        <f t="shared" si="39"/>
        <v>0</v>
      </c>
      <c r="G245">
        <f t="shared" si="40"/>
        <v>0</v>
      </c>
      <c r="H245">
        <f t="shared" si="41"/>
        <v>0</v>
      </c>
      <c r="I245">
        <f t="shared" si="42"/>
        <v>1</v>
      </c>
      <c r="J245">
        <f t="shared" si="43"/>
        <v>0</v>
      </c>
      <c r="K245">
        <f t="shared" si="44"/>
        <v>0</v>
      </c>
      <c r="L245">
        <f t="shared" si="45"/>
        <v>0</v>
      </c>
      <c r="M245">
        <f t="shared" si="46"/>
        <v>0</v>
      </c>
      <c r="N245">
        <f t="shared" si="47"/>
        <v>0</v>
      </c>
    </row>
    <row r="246" spans="1:14" x14ac:dyDescent="0.35">
      <c r="A246" s="17">
        <v>44764</v>
      </c>
      <c r="B246">
        <f>AVERAGE(Tableau2[[#This Row],[AWB]:[IAM]])</f>
        <v>3.5275664184817573E-3</v>
      </c>
      <c r="C246">
        <f t="shared" si="36"/>
        <v>0</v>
      </c>
      <c r="D246">
        <f t="shared" si="37"/>
        <v>0</v>
      </c>
      <c r="E246">
        <f t="shared" si="38"/>
        <v>0</v>
      </c>
      <c r="F246">
        <f t="shared" si="39"/>
        <v>0</v>
      </c>
      <c r="G246">
        <f t="shared" si="40"/>
        <v>0</v>
      </c>
      <c r="H246">
        <f t="shared" si="41"/>
        <v>0</v>
      </c>
      <c r="I246">
        <f t="shared" si="42"/>
        <v>1</v>
      </c>
      <c r="J246">
        <f t="shared" si="43"/>
        <v>0</v>
      </c>
      <c r="K246">
        <f t="shared" si="44"/>
        <v>0</v>
      </c>
      <c r="L246">
        <f t="shared" si="45"/>
        <v>0</v>
      </c>
      <c r="M246">
        <f t="shared" si="46"/>
        <v>0</v>
      </c>
      <c r="N246">
        <f t="shared" si="47"/>
        <v>0</v>
      </c>
    </row>
    <row r="247" spans="1:14" x14ac:dyDescent="0.35">
      <c r="A247" s="17">
        <v>44769</v>
      </c>
      <c r="B247">
        <f>AVERAGE(Tableau2[[#This Row],[AWB]:[IAM]])</f>
        <v>-1.2376883477844059E-2</v>
      </c>
      <c r="C247">
        <f t="shared" si="36"/>
        <v>0</v>
      </c>
      <c r="D247">
        <f t="shared" si="37"/>
        <v>0</v>
      </c>
      <c r="E247">
        <f t="shared" si="38"/>
        <v>0</v>
      </c>
      <c r="F247">
        <f t="shared" si="39"/>
        <v>0</v>
      </c>
      <c r="G247">
        <f t="shared" si="40"/>
        <v>0</v>
      </c>
      <c r="H247">
        <f t="shared" si="41"/>
        <v>0</v>
      </c>
      <c r="I247">
        <f t="shared" si="42"/>
        <v>1</v>
      </c>
      <c r="J247">
        <f t="shared" si="43"/>
        <v>0</v>
      </c>
      <c r="K247">
        <f t="shared" si="44"/>
        <v>0</v>
      </c>
      <c r="L247">
        <f t="shared" si="45"/>
        <v>0</v>
      </c>
      <c r="M247">
        <f t="shared" si="46"/>
        <v>0</v>
      </c>
      <c r="N247">
        <f t="shared" si="47"/>
        <v>0</v>
      </c>
    </row>
    <row r="248" spans="1:14" x14ac:dyDescent="0.35">
      <c r="A248" s="17">
        <v>44771</v>
      </c>
      <c r="B248">
        <f>AVERAGE(Tableau2[[#This Row],[AWB]:[IAM]])</f>
        <v>7.7871777941560224E-3</v>
      </c>
      <c r="C248">
        <f t="shared" si="36"/>
        <v>0</v>
      </c>
      <c r="D248">
        <f t="shared" si="37"/>
        <v>0</v>
      </c>
      <c r="E248">
        <f t="shared" si="38"/>
        <v>0</v>
      </c>
      <c r="F248">
        <f t="shared" si="39"/>
        <v>0</v>
      </c>
      <c r="G248">
        <f t="shared" si="40"/>
        <v>0</v>
      </c>
      <c r="H248">
        <f t="shared" si="41"/>
        <v>0</v>
      </c>
      <c r="I248">
        <f t="shared" si="42"/>
        <v>1</v>
      </c>
      <c r="J248">
        <f t="shared" si="43"/>
        <v>0</v>
      </c>
      <c r="K248">
        <f t="shared" si="44"/>
        <v>0</v>
      </c>
      <c r="L248">
        <f t="shared" si="45"/>
        <v>0</v>
      </c>
      <c r="M248">
        <f t="shared" si="46"/>
        <v>0</v>
      </c>
      <c r="N248">
        <f t="shared" si="47"/>
        <v>0</v>
      </c>
    </row>
    <row r="249" spans="1:14" x14ac:dyDescent="0.35">
      <c r="A249" s="17">
        <v>44778</v>
      </c>
      <c r="B249">
        <f>AVERAGE(Tableau2[[#This Row],[AWB]:[IAM]])</f>
        <v>1.5286879086232292E-2</v>
      </c>
      <c r="C249">
        <f t="shared" si="36"/>
        <v>0</v>
      </c>
      <c r="D249">
        <f t="shared" si="37"/>
        <v>0</v>
      </c>
      <c r="E249">
        <f t="shared" si="38"/>
        <v>0</v>
      </c>
      <c r="F249">
        <f t="shared" si="39"/>
        <v>0</v>
      </c>
      <c r="G249">
        <f t="shared" si="40"/>
        <v>0</v>
      </c>
      <c r="H249">
        <f t="shared" si="41"/>
        <v>0</v>
      </c>
      <c r="I249">
        <f t="shared" si="42"/>
        <v>0</v>
      </c>
      <c r="J249">
        <f t="shared" si="43"/>
        <v>1</v>
      </c>
      <c r="K249">
        <f t="shared" si="44"/>
        <v>0</v>
      </c>
      <c r="L249">
        <f t="shared" si="45"/>
        <v>0</v>
      </c>
      <c r="M249">
        <f t="shared" si="46"/>
        <v>0</v>
      </c>
      <c r="N249">
        <f t="shared" si="47"/>
        <v>0</v>
      </c>
    </row>
    <row r="250" spans="1:14" x14ac:dyDescent="0.35">
      <c r="A250" s="17">
        <v>44782</v>
      </c>
      <c r="B250">
        <f>AVERAGE(Tableau2[[#This Row],[AWB]:[IAM]])</f>
        <v>3.059822987741202E-3</v>
      </c>
      <c r="C250">
        <f t="shared" si="36"/>
        <v>0</v>
      </c>
      <c r="D250">
        <f t="shared" si="37"/>
        <v>0</v>
      </c>
      <c r="E250">
        <f t="shared" si="38"/>
        <v>0</v>
      </c>
      <c r="F250">
        <f t="shared" si="39"/>
        <v>0</v>
      </c>
      <c r="G250">
        <f t="shared" si="40"/>
        <v>0</v>
      </c>
      <c r="H250">
        <f t="shared" si="41"/>
        <v>0</v>
      </c>
      <c r="I250">
        <f t="shared" si="42"/>
        <v>0</v>
      </c>
      <c r="J250">
        <f t="shared" si="43"/>
        <v>1</v>
      </c>
      <c r="K250">
        <f t="shared" si="44"/>
        <v>0</v>
      </c>
      <c r="L250">
        <f t="shared" si="45"/>
        <v>0</v>
      </c>
      <c r="M250">
        <f t="shared" si="46"/>
        <v>0</v>
      </c>
      <c r="N250">
        <f t="shared" si="47"/>
        <v>0</v>
      </c>
    </row>
    <row r="251" spans="1:14" x14ac:dyDescent="0.35">
      <c r="A251" s="17">
        <v>44785</v>
      </c>
      <c r="B251">
        <f>AVERAGE(Tableau2[[#This Row],[AWB]:[IAM]])</f>
        <v>2.6257706392663845E-2</v>
      </c>
      <c r="C251">
        <f t="shared" si="36"/>
        <v>0</v>
      </c>
      <c r="D251">
        <f t="shared" si="37"/>
        <v>0</v>
      </c>
      <c r="E251">
        <f t="shared" si="38"/>
        <v>0</v>
      </c>
      <c r="F251">
        <f t="shared" si="39"/>
        <v>0</v>
      </c>
      <c r="G251">
        <f t="shared" si="40"/>
        <v>0</v>
      </c>
      <c r="H251">
        <f t="shared" si="41"/>
        <v>0</v>
      </c>
      <c r="I251">
        <f t="shared" si="42"/>
        <v>0</v>
      </c>
      <c r="J251">
        <f t="shared" si="43"/>
        <v>1</v>
      </c>
      <c r="K251">
        <f t="shared" si="44"/>
        <v>0</v>
      </c>
      <c r="L251">
        <f t="shared" si="45"/>
        <v>0</v>
      </c>
      <c r="M251">
        <f t="shared" si="46"/>
        <v>0</v>
      </c>
      <c r="N251">
        <f t="shared" si="47"/>
        <v>0</v>
      </c>
    </row>
    <row r="252" spans="1:14" x14ac:dyDescent="0.35">
      <c r="A252" s="17">
        <v>44788</v>
      </c>
      <c r="B252">
        <f>AVERAGE(Tableau2[[#This Row],[AWB]:[IAM]])</f>
        <v>4.4528284330679806E-3</v>
      </c>
      <c r="C252">
        <f t="shared" si="36"/>
        <v>0</v>
      </c>
      <c r="D252">
        <f t="shared" si="37"/>
        <v>0</v>
      </c>
      <c r="E252">
        <f t="shared" si="38"/>
        <v>0</v>
      </c>
      <c r="F252">
        <f t="shared" si="39"/>
        <v>0</v>
      </c>
      <c r="G252">
        <f t="shared" si="40"/>
        <v>0</v>
      </c>
      <c r="H252">
        <f t="shared" si="41"/>
        <v>0</v>
      </c>
      <c r="I252">
        <f t="shared" si="42"/>
        <v>0</v>
      </c>
      <c r="J252">
        <f t="shared" si="43"/>
        <v>1</v>
      </c>
      <c r="K252">
        <f t="shared" si="44"/>
        <v>0</v>
      </c>
      <c r="L252">
        <f t="shared" si="45"/>
        <v>0</v>
      </c>
      <c r="M252">
        <f t="shared" si="46"/>
        <v>0</v>
      </c>
      <c r="N252">
        <f t="shared" si="47"/>
        <v>0</v>
      </c>
    </row>
    <row r="253" spans="1:14" x14ac:dyDescent="0.35">
      <c r="A253" s="17">
        <v>44789</v>
      </c>
      <c r="B253">
        <f>AVERAGE(Tableau2[[#This Row],[AWB]:[IAM]])</f>
        <v>-4.5708864528943354E-3</v>
      </c>
      <c r="C253">
        <f t="shared" si="36"/>
        <v>0</v>
      </c>
      <c r="D253">
        <f t="shared" si="37"/>
        <v>0</v>
      </c>
      <c r="E253">
        <f t="shared" si="38"/>
        <v>0</v>
      </c>
      <c r="F253">
        <f t="shared" si="39"/>
        <v>0</v>
      </c>
      <c r="G253">
        <f t="shared" si="40"/>
        <v>0</v>
      </c>
      <c r="H253">
        <f t="shared" si="41"/>
        <v>0</v>
      </c>
      <c r="I253">
        <f t="shared" si="42"/>
        <v>0</v>
      </c>
      <c r="J253">
        <f t="shared" si="43"/>
        <v>1</v>
      </c>
      <c r="K253">
        <f t="shared" si="44"/>
        <v>0</v>
      </c>
      <c r="L253">
        <f t="shared" si="45"/>
        <v>0</v>
      </c>
      <c r="M253">
        <f t="shared" si="46"/>
        <v>0</v>
      </c>
      <c r="N253">
        <f t="shared" si="47"/>
        <v>0</v>
      </c>
    </row>
    <row r="254" spans="1:14" x14ac:dyDescent="0.35">
      <c r="A254" s="17">
        <v>44790</v>
      </c>
      <c r="B254">
        <f>AVERAGE(Tableau2[[#This Row],[AWB]:[IAM]])</f>
        <v>-4.5657679878352113E-3</v>
      </c>
      <c r="C254">
        <f t="shared" si="36"/>
        <v>0</v>
      </c>
      <c r="D254">
        <f t="shared" si="37"/>
        <v>0</v>
      </c>
      <c r="E254">
        <f t="shared" si="38"/>
        <v>0</v>
      </c>
      <c r="F254">
        <f t="shared" si="39"/>
        <v>0</v>
      </c>
      <c r="G254">
        <f t="shared" si="40"/>
        <v>0</v>
      </c>
      <c r="H254">
        <f t="shared" si="41"/>
        <v>0</v>
      </c>
      <c r="I254">
        <f t="shared" si="42"/>
        <v>0</v>
      </c>
      <c r="J254">
        <f t="shared" si="43"/>
        <v>1</v>
      </c>
      <c r="K254">
        <f t="shared" si="44"/>
        <v>0</v>
      </c>
      <c r="L254">
        <f t="shared" si="45"/>
        <v>0</v>
      </c>
      <c r="M254">
        <f t="shared" si="46"/>
        <v>0</v>
      </c>
      <c r="N254">
        <f t="shared" si="47"/>
        <v>0</v>
      </c>
    </row>
    <row r="255" spans="1:14" x14ac:dyDescent="0.35">
      <c r="A255" s="17">
        <v>44792</v>
      </c>
      <c r="B255">
        <f>AVERAGE(Tableau2[[#This Row],[AWB]:[IAM]])</f>
        <v>1.1688754155776157E-2</v>
      </c>
      <c r="C255">
        <f t="shared" si="36"/>
        <v>0</v>
      </c>
      <c r="D255">
        <f t="shared" si="37"/>
        <v>0</v>
      </c>
      <c r="E255">
        <f t="shared" si="38"/>
        <v>0</v>
      </c>
      <c r="F255">
        <f t="shared" si="39"/>
        <v>0</v>
      </c>
      <c r="G255">
        <f t="shared" si="40"/>
        <v>0</v>
      </c>
      <c r="H255">
        <f t="shared" si="41"/>
        <v>0</v>
      </c>
      <c r="I255">
        <f t="shared" si="42"/>
        <v>0</v>
      </c>
      <c r="J255">
        <f t="shared" si="43"/>
        <v>1</v>
      </c>
      <c r="K255">
        <f t="shared" si="44"/>
        <v>0</v>
      </c>
      <c r="L255">
        <f t="shared" si="45"/>
        <v>0</v>
      </c>
      <c r="M255">
        <f t="shared" si="46"/>
        <v>0</v>
      </c>
      <c r="N255">
        <f t="shared" si="47"/>
        <v>0</v>
      </c>
    </row>
    <row r="256" spans="1:14" x14ac:dyDescent="0.35">
      <c r="A256" s="17">
        <v>44798</v>
      </c>
      <c r="B256">
        <f>AVERAGE(Tableau2[[#This Row],[AWB]:[IAM]])</f>
        <v>-1.807649392052286E-3</v>
      </c>
      <c r="C256">
        <f t="shared" si="36"/>
        <v>0</v>
      </c>
      <c r="D256">
        <f t="shared" si="37"/>
        <v>0</v>
      </c>
      <c r="E256">
        <f t="shared" si="38"/>
        <v>0</v>
      </c>
      <c r="F256">
        <f t="shared" si="39"/>
        <v>0</v>
      </c>
      <c r="G256">
        <f t="shared" si="40"/>
        <v>0</v>
      </c>
      <c r="H256">
        <f t="shared" si="41"/>
        <v>0</v>
      </c>
      <c r="I256">
        <f t="shared" si="42"/>
        <v>0</v>
      </c>
      <c r="J256">
        <f t="shared" si="43"/>
        <v>1</v>
      </c>
      <c r="K256">
        <f t="shared" si="44"/>
        <v>0</v>
      </c>
      <c r="L256">
        <f t="shared" si="45"/>
        <v>0</v>
      </c>
      <c r="M256">
        <f t="shared" si="46"/>
        <v>0</v>
      </c>
      <c r="N256">
        <f t="shared" si="47"/>
        <v>0</v>
      </c>
    </row>
    <row r="257" spans="1:14" x14ac:dyDescent="0.35">
      <c r="A257" s="17">
        <v>44799</v>
      </c>
      <c r="B257">
        <f>AVERAGE(Tableau2[[#This Row],[AWB]:[IAM]])</f>
        <v>7.0916261565614114E-4</v>
      </c>
      <c r="C257">
        <f t="shared" si="36"/>
        <v>0</v>
      </c>
      <c r="D257">
        <f t="shared" si="37"/>
        <v>0</v>
      </c>
      <c r="E257">
        <f t="shared" si="38"/>
        <v>0</v>
      </c>
      <c r="F257">
        <f t="shared" si="39"/>
        <v>0</v>
      </c>
      <c r="G257">
        <f t="shared" si="40"/>
        <v>0</v>
      </c>
      <c r="H257">
        <f t="shared" si="41"/>
        <v>0</v>
      </c>
      <c r="I257">
        <f t="shared" si="42"/>
        <v>0</v>
      </c>
      <c r="J257">
        <f t="shared" si="43"/>
        <v>1</v>
      </c>
      <c r="K257">
        <f t="shared" si="44"/>
        <v>0</v>
      </c>
      <c r="L257">
        <f t="shared" si="45"/>
        <v>0</v>
      </c>
      <c r="M257">
        <f t="shared" si="46"/>
        <v>0</v>
      </c>
      <c r="N257">
        <f t="shared" si="47"/>
        <v>0</v>
      </c>
    </row>
    <row r="258" spans="1:14" x14ac:dyDescent="0.35">
      <c r="A258" s="17">
        <v>44806</v>
      </c>
      <c r="B258">
        <f>AVERAGE(Tableau2[[#This Row],[AWB]:[IAM]])</f>
        <v>-4.9658940832103798E-3</v>
      </c>
      <c r="C258">
        <f t="shared" ref="C258:C321" si="48">IF(MONTH(A258)=1,1,0)</f>
        <v>0</v>
      </c>
      <c r="D258">
        <f t="shared" ref="D258:D321" si="49">IF(MONTH(A258)=2,1,0)</f>
        <v>0</v>
      </c>
      <c r="E258">
        <f t="shared" ref="E258:E321" si="50">IF(MONTH(A258)=3,1,0)</f>
        <v>0</v>
      </c>
      <c r="F258">
        <f t="shared" ref="F258:F321" si="51">IF(MONTH(A258)=4,1,0)</f>
        <v>0</v>
      </c>
      <c r="G258">
        <f t="shared" ref="G258:G321" si="52">IF(MONTH(A258)=5,1,0)</f>
        <v>0</v>
      </c>
      <c r="H258">
        <f t="shared" ref="H258:H321" si="53">IF(MONTH(A258)=6,1,0)</f>
        <v>0</v>
      </c>
      <c r="I258">
        <f t="shared" ref="I258:I321" si="54">IF(MONTH(A258)=7,1,0)</f>
        <v>0</v>
      </c>
      <c r="J258">
        <f t="shared" ref="J258:J321" si="55">IF(MONTH(A258)=8,1,0)</f>
        <v>0</v>
      </c>
      <c r="K258">
        <f t="shared" ref="K258:K321" si="56">IF(MONTH(A258)=9,1,0)</f>
        <v>1</v>
      </c>
      <c r="L258">
        <f t="shared" ref="L258:L321" si="57">IF(MONTH(A258)=10,1,0)</f>
        <v>0</v>
      </c>
      <c r="M258">
        <f t="shared" ref="M258:M321" si="58">IF(MONTH(A258)=11,1,0)</f>
        <v>0</v>
      </c>
      <c r="N258">
        <f t="shared" ref="N258:N321" si="59">IF(MONTH(A258)=12,1,0)</f>
        <v>0</v>
      </c>
    </row>
    <row r="259" spans="1:14" x14ac:dyDescent="0.35">
      <c r="A259" s="17">
        <v>44810</v>
      </c>
      <c r="B259">
        <f>AVERAGE(Tableau2[[#This Row],[AWB]:[IAM]])</f>
        <v>2.6582262939267563E-3</v>
      </c>
      <c r="C259">
        <f t="shared" si="48"/>
        <v>0</v>
      </c>
      <c r="D259">
        <f t="shared" si="49"/>
        <v>0</v>
      </c>
      <c r="E259">
        <f t="shared" si="50"/>
        <v>0</v>
      </c>
      <c r="F259">
        <f t="shared" si="51"/>
        <v>0</v>
      </c>
      <c r="G259">
        <f t="shared" si="52"/>
        <v>0</v>
      </c>
      <c r="H259">
        <f t="shared" si="53"/>
        <v>0</v>
      </c>
      <c r="I259">
        <f t="shared" si="54"/>
        <v>0</v>
      </c>
      <c r="J259">
        <f t="shared" si="55"/>
        <v>0</v>
      </c>
      <c r="K259">
        <f t="shared" si="56"/>
        <v>1</v>
      </c>
      <c r="L259">
        <f t="shared" si="57"/>
        <v>0</v>
      </c>
      <c r="M259">
        <f t="shared" si="58"/>
        <v>0</v>
      </c>
      <c r="N259">
        <f t="shared" si="59"/>
        <v>0</v>
      </c>
    </row>
    <row r="260" spans="1:14" x14ac:dyDescent="0.35">
      <c r="A260" s="17">
        <v>44811</v>
      </c>
      <c r="B260">
        <f>AVERAGE(Tableau2[[#This Row],[AWB]:[IAM]])</f>
        <v>6.7093819448532837E-3</v>
      </c>
      <c r="C260">
        <f t="shared" si="48"/>
        <v>0</v>
      </c>
      <c r="D260">
        <f t="shared" si="49"/>
        <v>0</v>
      </c>
      <c r="E260">
        <f t="shared" si="50"/>
        <v>0</v>
      </c>
      <c r="F260">
        <f t="shared" si="51"/>
        <v>0</v>
      </c>
      <c r="G260">
        <f t="shared" si="52"/>
        <v>0</v>
      </c>
      <c r="H260">
        <f t="shared" si="53"/>
        <v>0</v>
      </c>
      <c r="I260">
        <f t="shared" si="54"/>
        <v>0</v>
      </c>
      <c r="J260">
        <f t="shared" si="55"/>
        <v>0</v>
      </c>
      <c r="K260">
        <f t="shared" si="56"/>
        <v>1</v>
      </c>
      <c r="L260">
        <f t="shared" si="57"/>
        <v>0</v>
      </c>
      <c r="M260">
        <f t="shared" si="58"/>
        <v>0</v>
      </c>
      <c r="N260">
        <f t="shared" si="59"/>
        <v>0</v>
      </c>
    </row>
    <row r="261" spans="1:14" x14ac:dyDescent="0.35">
      <c r="A261" s="17">
        <v>44813</v>
      </c>
      <c r="B261">
        <f>AVERAGE(Tableau2[[#This Row],[AWB]:[IAM]])</f>
        <v>-2.9764633147176039E-3</v>
      </c>
      <c r="C261">
        <f t="shared" si="48"/>
        <v>0</v>
      </c>
      <c r="D261">
        <f t="shared" si="49"/>
        <v>0</v>
      </c>
      <c r="E261">
        <f t="shared" si="50"/>
        <v>0</v>
      </c>
      <c r="F261">
        <f t="shared" si="51"/>
        <v>0</v>
      </c>
      <c r="G261">
        <f t="shared" si="52"/>
        <v>0</v>
      </c>
      <c r="H261">
        <f t="shared" si="53"/>
        <v>0</v>
      </c>
      <c r="I261">
        <f t="shared" si="54"/>
        <v>0</v>
      </c>
      <c r="J261">
        <f t="shared" si="55"/>
        <v>0</v>
      </c>
      <c r="K261">
        <f t="shared" si="56"/>
        <v>1</v>
      </c>
      <c r="L261">
        <f t="shared" si="57"/>
        <v>0</v>
      </c>
      <c r="M261">
        <f t="shared" si="58"/>
        <v>0</v>
      </c>
      <c r="N261">
        <f t="shared" si="59"/>
        <v>0</v>
      </c>
    </row>
    <row r="262" spans="1:14" x14ac:dyDescent="0.35">
      <c r="A262" s="17">
        <v>44817</v>
      </c>
      <c r="B262">
        <f>AVERAGE(Tableau2[[#This Row],[AWB]:[IAM]])</f>
        <v>-1.0758137036685632E-3</v>
      </c>
      <c r="C262">
        <f t="shared" si="48"/>
        <v>0</v>
      </c>
      <c r="D262">
        <f t="shared" si="49"/>
        <v>0</v>
      </c>
      <c r="E262">
        <f t="shared" si="50"/>
        <v>0</v>
      </c>
      <c r="F262">
        <f t="shared" si="51"/>
        <v>0</v>
      </c>
      <c r="G262">
        <f t="shared" si="52"/>
        <v>0</v>
      </c>
      <c r="H262">
        <f t="shared" si="53"/>
        <v>0</v>
      </c>
      <c r="I262">
        <f t="shared" si="54"/>
        <v>0</v>
      </c>
      <c r="J262">
        <f t="shared" si="55"/>
        <v>0</v>
      </c>
      <c r="K262">
        <f t="shared" si="56"/>
        <v>1</v>
      </c>
      <c r="L262">
        <f t="shared" si="57"/>
        <v>0</v>
      </c>
      <c r="M262">
        <f t="shared" si="58"/>
        <v>0</v>
      </c>
      <c r="N262">
        <f t="shared" si="59"/>
        <v>0</v>
      </c>
    </row>
    <row r="263" spans="1:14" x14ac:dyDescent="0.35">
      <c r="A263" s="17">
        <v>44820</v>
      </c>
      <c r="B263">
        <f>AVERAGE(Tableau2[[#This Row],[AWB]:[IAM]])</f>
        <v>3.3299235079748521E-3</v>
      </c>
      <c r="C263">
        <f t="shared" si="48"/>
        <v>0</v>
      </c>
      <c r="D263">
        <f t="shared" si="49"/>
        <v>0</v>
      </c>
      <c r="E263">
        <f t="shared" si="50"/>
        <v>0</v>
      </c>
      <c r="F263">
        <f t="shared" si="51"/>
        <v>0</v>
      </c>
      <c r="G263">
        <f t="shared" si="52"/>
        <v>0</v>
      </c>
      <c r="H263">
        <f t="shared" si="53"/>
        <v>0</v>
      </c>
      <c r="I263">
        <f t="shared" si="54"/>
        <v>0</v>
      </c>
      <c r="J263">
        <f t="shared" si="55"/>
        <v>0</v>
      </c>
      <c r="K263">
        <f t="shared" si="56"/>
        <v>1</v>
      </c>
      <c r="L263">
        <f t="shared" si="57"/>
        <v>0</v>
      </c>
      <c r="M263">
        <f t="shared" si="58"/>
        <v>0</v>
      </c>
      <c r="N263">
        <f t="shared" si="59"/>
        <v>0</v>
      </c>
    </row>
    <row r="264" spans="1:14" x14ac:dyDescent="0.35">
      <c r="A264" s="17">
        <v>44823</v>
      </c>
      <c r="B264">
        <f>AVERAGE(Tableau2[[#This Row],[AWB]:[IAM]])</f>
        <v>1.4666827194453026E-3</v>
      </c>
      <c r="C264">
        <f t="shared" si="48"/>
        <v>0</v>
      </c>
      <c r="D264">
        <f t="shared" si="49"/>
        <v>0</v>
      </c>
      <c r="E264">
        <f t="shared" si="50"/>
        <v>0</v>
      </c>
      <c r="F264">
        <f t="shared" si="51"/>
        <v>0</v>
      </c>
      <c r="G264">
        <f t="shared" si="52"/>
        <v>0</v>
      </c>
      <c r="H264">
        <f t="shared" si="53"/>
        <v>0</v>
      </c>
      <c r="I264">
        <f t="shared" si="54"/>
        <v>0</v>
      </c>
      <c r="J264">
        <f t="shared" si="55"/>
        <v>0</v>
      </c>
      <c r="K264">
        <f t="shared" si="56"/>
        <v>1</v>
      </c>
      <c r="L264">
        <f t="shared" si="57"/>
        <v>0</v>
      </c>
      <c r="M264">
        <f t="shared" si="58"/>
        <v>0</v>
      </c>
      <c r="N264">
        <f t="shared" si="59"/>
        <v>0</v>
      </c>
    </row>
    <row r="265" spans="1:14" x14ac:dyDescent="0.35">
      <c r="A265" s="17">
        <v>44824</v>
      </c>
      <c r="B265">
        <f>AVERAGE(Tableau2[[#This Row],[AWB]:[IAM]])</f>
        <v>4.7442163133312731E-3</v>
      </c>
      <c r="C265">
        <f t="shared" si="48"/>
        <v>0</v>
      </c>
      <c r="D265">
        <f t="shared" si="49"/>
        <v>0</v>
      </c>
      <c r="E265">
        <f t="shared" si="50"/>
        <v>0</v>
      </c>
      <c r="F265">
        <f t="shared" si="51"/>
        <v>0</v>
      </c>
      <c r="G265">
        <f t="shared" si="52"/>
        <v>0</v>
      </c>
      <c r="H265">
        <f t="shared" si="53"/>
        <v>0</v>
      </c>
      <c r="I265">
        <f t="shared" si="54"/>
        <v>0</v>
      </c>
      <c r="J265">
        <f t="shared" si="55"/>
        <v>0</v>
      </c>
      <c r="K265">
        <f t="shared" si="56"/>
        <v>1</v>
      </c>
      <c r="L265">
        <f t="shared" si="57"/>
        <v>0</v>
      </c>
      <c r="M265">
        <f t="shared" si="58"/>
        <v>0</v>
      </c>
      <c r="N265">
        <f t="shared" si="59"/>
        <v>0</v>
      </c>
    </row>
    <row r="266" spans="1:14" x14ac:dyDescent="0.35">
      <c r="A266" s="17">
        <v>44825</v>
      </c>
      <c r="B266">
        <f>AVERAGE(Tableau2[[#This Row],[AWB]:[IAM]])</f>
        <v>-5.012828331824269E-3</v>
      </c>
      <c r="C266">
        <f t="shared" si="48"/>
        <v>0</v>
      </c>
      <c r="D266">
        <f t="shared" si="49"/>
        <v>0</v>
      </c>
      <c r="E266">
        <f t="shared" si="50"/>
        <v>0</v>
      </c>
      <c r="F266">
        <f t="shared" si="51"/>
        <v>0</v>
      </c>
      <c r="G266">
        <f t="shared" si="52"/>
        <v>0</v>
      </c>
      <c r="H266">
        <f t="shared" si="53"/>
        <v>0</v>
      </c>
      <c r="I266">
        <f t="shared" si="54"/>
        <v>0</v>
      </c>
      <c r="J266">
        <f t="shared" si="55"/>
        <v>0</v>
      </c>
      <c r="K266">
        <f t="shared" si="56"/>
        <v>1</v>
      </c>
      <c r="L266">
        <f t="shared" si="57"/>
        <v>0</v>
      </c>
      <c r="M266">
        <f t="shared" si="58"/>
        <v>0</v>
      </c>
      <c r="N266">
        <f t="shared" si="59"/>
        <v>0</v>
      </c>
    </row>
    <row r="267" spans="1:14" x14ac:dyDescent="0.35">
      <c r="A267" s="17">
        <v>44826</v>
      </c>
      <c r="B267">
        <f>AVERAGE(Tableau2[[#This Row],[AWB]:[IAM]])</f>
        <v>8.3045474633923336E-4</v>
      </c>
      <c r="C267">
        <f t="shared" si="48"/>
        <v>0</v>
      </c>
      <c r="D267">
        <f t="shared" si="49"/>
        <v>0</v>
      </c>
      <c r="E267">
        <f t="shared" si="50"/>
        <v>0</v>
      </c>
      <c r="F267">
        <f t="shared" si="51"/>
        <v>0</v>
      </c>
      <c r="G267">
        <f t="shared" si="52"/>
        <v>0</v>
      </c>
      <c r="H267">
        <f t="shared" si="53"/>
        <v>0</v>
      </c>
      <c r="I267">
        <f t="shared" si="54"/>
        <v>0</v>
      </c>
      <c r="J267">
        <f t="shared" si="55"/>
        <v>0</v>
      </c>
      <c r="K267">
        <f t="shared" si="56"/>
        <v>1</v>
      </c>
      <c r="L267">
        <f t="shared" si="57"/>
        <v>0</v>
      </c>
      <c r="M267">
        <f t="shared" si="58"/>
        <v>0</v>
      </c>
      <c r="N267">
        <f t="shared" si="59"/>
        <v>0</v>
      </c>
    </row>
    <row r="268" spans="1:14" x14ac:dyDescent="0.35">
      <c r="A268" s="17">
        <v>44827</v>
      </c>
      <c r="B268">
        <f>AVERAGE(Tableau2[[#This Row],[AWB]:[IAM]])</f>
        <v>2.091505243690805E-3</v>
      </c>
      <c r="C268">
        <f t="shared" si="48"/>
        <v>0</v>
      </c>
      <c r="D268">
        <f t="shared" si="49"/>
        <v>0</v>
      </c>
      <c r="E268">
        <f t="shared" si="50"/>
        <v>0</v>
      </c>
      <c r="F268">
        <f t="shared" si="51"/>
        <v>0</v>
      </c>
      <c r="G268">
        <f t="shared" si="52"/>
        <v>0</v>
      </c>
      <c r="H268">
        <f t="shared" si="53"/>
        <v>0</v>
      </c>
      <c r="I268">
        <f t="shared" si="54"/>
        <v>0</v>
      </c>
      <c r="J268">
        <f t="shared" si="55"/>
        <v>0</v>
      </c>
      <c r="K268">
        <f t="shared" si="56"/>
        <v>1</v>
      </c>
      <c r="L268">
        <f t="shared" si="57"/>
        <v>0</v>
      </c>
      <c r="M268">
        <f t="shared" si="58"/>
        <v>0</v>
      </c>
      <c r="N268">
        <f t="shared" si="59"/>
        <v>0</v>
      </c>
    </row>
    <row r="269" spans="1:14" x14ac:dyDescent="0.35">
      <c r="A269" s="17">
        <v>44830</v>
      </c>
      <c r="B269">
        <f>AVERAGE(Tableau2[[#This Row],[AWB]:[IAM]])</f>
        <v>-4.7698603394230625E-3</v>
      </c>
      <c r="C269">
        <f t="shared" si="48"/>
        <v>0</v>
      </c>
      <c r="D269">
        <f t="shared" si="49"/>
        <v>0</v>
      </c>
      <c r="E269">
        <f t="shared" si="50"/>
        <v>0</v>
      </c>
      <c r="F269">
        <f t="shared" si="51"/>
        <v>0</v>
      </c>
      <c r="G269">
        <f t="shared" si="52"/>
        <v>0</v>
      </c>
      <c r="H269">
        <f t="shared" si="53"/>
        <v>0</v>
      </c>
      <c r="I269">
        <f t="shared" si="54"/>
        <v>0</v>
      </c>
      <c r="J269">
        <f t="shared" si="55"/>
        <v>0</v>
      </c>
      <c r="K269">
        <f t="shared" si="56"/>
        <v>1</v>
      </c>
      <c r="L269">
        <f t="shared" si="57"/>
        <v>0</v>
      </c>
      <c r="M269">
        <f t="shared" si="58"/>
        <v>0</v>
      </c>
      <c r="N269">
        <f t="shared" si="59"/>
        <v>0</v>
      </c>
    </row>
    <row r="270" spans="1:14" x14ac:dyDescent="0.35">
      <c r="A270" s="17">
        <v>44831</v>
      </c>
      <c r="B270">
        <f>AVERAGE(Tableau2[[#This Row],[AWB]:[IAM]])</f>
        <v>-8.5308237398435058E-3</v>
      </c>
      <c r="C270">
        <f t="shared" si="48"/>
        <v>0</v>
      </c>
      <c r="D270">
        <f t="shared" si="49"/>
        <v>0</v>
      </c>
      <c r="E270">
        <f t="shared" si="50"/>
        <v>0</v>
      </c>
      <c r="F270">
        <f t="shared" si="51"/>
        <v>0</v>
      </c>
      <c r="G270">
        <f t="shared" si="52"/>
        <v>0</v>
      </c>
      <c r="H270">
        <f t="shared" si="53"/>
        <v>0</v>
      </c>
      <c r="I270">
        <f t="shared" si="54"/>
        <v>0</v>
      </c>
      <c r="J270">
        <f t="shared" si="55"/>
        <v>0</v>
      </c>
      <c r="K270">
        <f t="shared" si="56"/>
        <v>1</v>
      </c>
      <c r="L270">
        <f t="shared" si="57"/>
        <v>0</v>
      </c>
      <c r="M270">
        <f t="shared" si="58"/>
        <v>0</v>
      </c>
      <c r="N270">
        <f t="shared" si="59"/>
        <v>0</v>
      </c>
    </row>
    <row r="271" spans="1:14" x14ac:dyDescent="0.35">
      <c r="A271" s="17">
        <v>44832</v>
      </c>
      <c r="B271">
        <f>AVERAGE(Tableau2[[#This Row],[AWB]:[IAM]])</f>
        <v>-1.6727976451447513E-2</v>
      </c>
      <c r="C271">
        <f t="shared" si="48"/>
        <v>0</v>
      </c>
      <c r="D271">
        <f t="shared" si="49"/>
        <v>0</v>
      </c>
      <c r="E271">
        <f t="shared" si="50"/>
        <v>0</v>
      </c>
      <c r="F271">
        <f t="shared" si="51"/>
        <v>0</v>
      </c>
      <c r="G271">
        <f t="shared" si="52"/>
        <v>0</v>
      </c>
      <c r="H271">
        <f t="shared" si="53"/>
        <v>0</v>
      </c>
      <c r="I271">
        <f t="shared" si="54"/>
        <v>0</v>
      </c>
      <c r="J271">
        <f t="shared" si="55"/>
        <v>0</v>
      </c>
      <c r="K271">
        <f t="shared" si="56"/>
        <v>1</v>
      </c>
      <c r="L271">
        <f t="shared" si="57"/>
        <v>0</v>
      </c>
      <c r="M271">
        <f t="shared" si="58"/>
        <v>0</v>
      </c>
      <c r="N271">
        <f t="shared" si="59"/>
        <v>0</v>
      </c>
    </row>
    <row r="272" spans="1:14" x14ac:dyDescent="0.35">
      <c r="A272" s="17">
        <v>44833</v>
      </c>
      <c r="B272">
        <f>AVERAGE(Tableau2[[#This Row],[AWB]:[IAM]])</f>
        <v>-1.2968517223482882E-2</v>
      </c>
      <c r="C272">
        <f t="shared" si="48"/>
        <v>0</v>
      </c>
      <c r="D272">
        <f t="shared" si="49"/>
        <v>0</v>
      </c>
      <c r="E272">
        <f t="shared" si="50"/>
        <v>0</v>
      </c>
      <c r="F272">
        <f t="shared" si="51"/>
        <v>0</v>
      </c>
      <c r="G272">
        <f t="shared" si="52"/>
        <v>0</v>
      </c>
      <c r="H272">
        <f t="shared" si="53"/>
        <v>0</v>
      </c>
      <c r="I272">
        <f t="shared" si="54"/>
        <v>0</v>
      </c>
      <c r="J272">
        <f t="shared" si="55"/>
        <v>0</v>
      </c>
      <c r="K272">
        <f t="shared" si="56"/>
        <v>1</v>
      </c>
      <c r="L272">
        <f t="shared" si="57"/>
        <v>0</v>
      </c>
      <c r="M272">
        <f t="shared" si="58"/>
        <v>0</v>
      </c>
      <c r="N272">
        <f t="shared" si="59"/>
        <v>0</v>
      </c>
    </row>
    <row r="273" spans="1:14" x14ac:dyDescent="0.35">
      <c r="A273" s="17">
        <v>44834</v>
      </c>
      <c r="B273">
        <f>AVERAGE(Tableau2[[#This Row],[AWB]:[IAM]])</f>
        <v>-1.0561057907256123E-2</v>
      </c>
      <c r="C273">
        <f t="shared" si="48"/>
        <v>0</v>
      </c>
      <c r="D273">
        <f t="shared" si="49"/>
        <v>0</v>
      </c>
      <c r="E273">
        <f t="shared" si="50"/>
        <v>0</v>
      </c>
      <c r="F273">
        <f t="shared" si="51"/>
        <v>0</v>
      </c>
      <c r="G273">
        <f t="shared" si="52"/>
        <v>0</v>
      </c>
      <c r="H273">
        <f t="shared" si="53"/>
        <v>0</v>
      </c>
      <c r="I273">
        <f t="shared" si="54"/>
        <v>0</v>
      </c>
      <c r="J273">
        <f t="shared" si="55"/>
        <v>0</v>
      </c>
      <c r="K273">
        <f t="shared" si="56"/>
        <v>1</v>
      </c>
      <c r="L273">
        <f t="shared" si="57"/>
        <v>0</v>
      </c>
      <c r="M273">
        <f t="shared" si="58"/>
        <v>0</v>
      </c>
      <c r="N273">
        <f t="shared" si="59"/>
        <v>0</v>
      </c>
    </row>
    <row r="274" spans="1:14" x14ac:dyDescent="0.35">
      <c r="A274" s="17">
        <v>44846</v>
      </c>
      <c r="B274">
        <f>AVERAGE(Tableau2[[#This Row],[AWB]:[IAM]])</f>
        <v>3.9962261960707944E-3</v>
      </c>
      <c r="C274">
        <f t="shared" si="48"/>
        <v>0</v>
      </c>
      <c r="D274">
        <f t="shared" si="49"/>
        <v>0</v>
      </c>
      <c r="E274">
        <f t="shared" si="50"/>
        <v>0</v>
      </c>
      <c r="F274">
        <f t="shared" si="51"/>
        <v>0</v>
      </c>
      <c r="G274">
        <f t="shared" si="52"/>
        <v>0</v>
      </c>
      <c r="H274">
        <f t="shared" si="53"/>
        <v>0</v>
      </c>
      <c r="I274">
        <f t="shared" si="54"/>
        <v>0</v>
      </c>
      <c r="J274">
        <f t="shared" si="55"/>
        <v>0</v>
      </c>
      <c r="K274">
        <f t="shared" si="56"/>
        <v>0</v>
      </c>
      <c r="L274">
        <f t="shared" si="57"/>
        <v>1</v>
      </c>
      <c r="M274">
        <f t="shared" si="58"/>
        <v>0</v>
      </c>
      <c r="N274">
        <f t="shared" si="59"/>
        <v>0</v>
      </c>
    </row>
    <row r="275" spans="1:14" x14ac:dyDescent="0.35">
      <c r="A275" s="17">
        <v>44847</v>
      </c>
      <c r="B275">
        <f>AVERAGE(Tableau2[[#This Row],[AWB]:[IAM]])</f>
        <v>-1.5688642712352742E-2</v>
      </c>
      <c r="C275">
        <f t="shared" si="48"/>
        <v>0</v>
      </c>
      <c r="D275">
        <f t="shared" si="49"/>
        <v>0</v>
      </c>
      <c r="E275">
        <f t="shared" si="50"/>
        <v>0</v>
      </c>
      <c r="F275">
        <f t="shared" si="51"/>
        <v>0</v>
      </c>
      <c r="G275">
        <f t="shared" si="52"/>
        <v>0</v>
      </c>
      <c r="H275">
        <f t="shared" si="53"/>
        <v>0</v>
      </c>
      <c r="I275">
        <f t="shared" si="54"/>
        <v>0</v>
      </c>
      <c r="J275">
        <f t="shared" si="55"/>
        <v>0</v>
      </c>
      <c r="K275">
        <f t="shared" si="56"/>
        <v>0</v>
      </c>
      <c r="L275">
        <f t="shared" si="57"/>
        <v>1</v>
      </c>
      <c r="M275">
        <f t="shared" si="58"/>
        <v>0</v>
      </c>
      <c r="N275">
        <f t="shared" si="59"/>
        <v>0</v>
      </c>
    </row>
    <row r="276" spans="1:14" x14ac:dyDescent="0.35">
      <c r="A276" s="17">
        <v>44848</v>
      </c>
      <c r="B276">
        <f>AVERAGE(Tableau2[[#This Row],[AWB]:[IAM]])</f>
        <v>-5.1307569181067532E-3</v>
      </c>
      <c r="C276">
        <f t="shared" si="48"/>
        <v>0</v>
      </c>
      <c r="D276">
        <f t="shared" si="49"/>
        <v>0</v>
      </c>
      <c r="E276">
        <f t="shared" si="50"/>
        <v>0</v>
      </c>
      <c r="F276">
        <f t="shared" si="51"/>
        <v>0</v>
      </c>
      <c r="G276">
        <f t="shared" si="52"/>
        <v>0</v>
      </c>
      <c r="H276">
        <f t="shared" si="53"/>
        <v>0</v>
      </c>
      <c r="I276">
        <f t="shared" si="54"/>
        <v>0</v>
      </c>
      <c r="J276">
        <f t="shared" si="55"/>
        <v>0</v>
      </c>
      <c r="K276">
        <f t="shared" si="56"/>
        <v>0</v>
      </c>
      <c r="L276">
        <f t="shared" si="57"/>
        <v>1</v>
      </c>
      <c r="M276">
        <f t="shared" si="58"/>
        <v>0</v>
      </c>
      <c r="N276">
        <f t="shared" si="59"/>
        <v>0</v>
      </c>
    </row>
    <row r="277" spans="1:14" x14ac:dyDescent="0.35">
      <c r="A277" s="17">
        <v>44851</v>
      </c>
      <c r="B277">
        <f>AVERAGE(Tableau2[[#This Row],[AWB]:[IAM]])</f>
        <v>-1.008735915392959E-2</v>
      </c>
      <c r="C277">
        <f t="shared" si="48"/>
        <v>0</v>
      </c>
      <c r="D277">
        <f t="shared" si="49"/>
        <v>0</v>
      </c>
      <c r="E277">
        <f t="shared" si="50"/>
        <v>0</v>
      </c>
      <c r="F277">
        <f t="shared" si="51"/>
        <v>0</v>
      </c>
      <c r="G277">
        <f t="shared" si="52"/>
        <v>0</v>
      </c>
      <c r="H277">
        <f t="shared" si="53"/>
        <v>0</v>
      </c>
      <c r="I277">
        <f t="shared" si="54"/>
        <v>0</v>
      </c>
      <c r="J277">
        <f t="shared" si="55"/>
        <v>0</v>
      </c>
      <c r="K277">
        <f t="shared" si="56"/>
        <v>0</v>
      </c>
      <c r="L277">
        <f t="shared" si="57"/>
        <v>1</v>
      </c>
      <c r="M277">
        <f t="shared" si="58"/>
        <v>0</v>
      </c>
      <c r="N277">
        <f t="shared" si="59"/>
        <v>0</v>
      </c>
    </row>
    <row r="278" spans="1:14" x14ac:dyDescent="0.35">
      <c r="A278" s="17">
        <v>44853</v>
      </c>
      <c r="B278">
        <f>AVERAGE(Tableau2[[#This Row],[AWB]:[IAM]])</f>
        <v>-7.8250075708345291E-3</v>
      </c>
      <c r="C278">
        <f t="shared" si="48"/>
        <v>0</v>
      </c>
      <c r="D278">
        <f t="shared" si="49"/>
        <v>0</v>
      </c>
      <c r="E278">
        <f t="shared" si="50"/>
        <v>0</v>
      </c>
      <c r="F278">
        <f t="shared" si="51"/>
        <v>0</v>
      </c>
      <c r="G278">
        <f t="shared" si="52"/>
        <v>0</v>
      </c>
      <c r="H278">
        <f t="shared" si="53"/>
        <v>0</v>
      </c>
      <c r="I278">
        <f t="shared" si="54"/>
        <v>0</v>
      </c>
      <c r="J278">
        <f t="shared" si="55"/>
        <v>0</v>
      </c>
      <c r="K278">
        <f t="shared" si="56"/>
        <v>0</v>
      </c>
      <c r="L278">
        <f t="shared" si="57"/>
        <v>1</v>
      </c>
      <c r="M278">
        <f t="shared" si="58"/>
        <v>0</v>
      </c>
      <c r="N278">
        <f t="shared" si="59"/>
        <v>0</v>
      </c>
    </row>
    <row r="279" spans="1:14" x14ac:dyDescent="0.35">
      <c r="A279" s="17">
        <v>44854</v>
      </c>
      <c r="B279">
        <f>AVERAGE(Tableau2[[#This Row],[AWB]:[IAM]])</f>
        <v>-2.6864768058759345E-2</v>
      </c>
      <c r="C279">
        <f t="shared" si="48"/>
        <v>0</v>
      </c>
      <c r="D279">
        <f t="shared" si="49"/>
        <v>0</v>
      </c>
      <c r="E279">
        <f t="shared" si="50"/>
        <v>0</v>
      </c>
      <c r="F279">
        <f t="shared" si="51"/>
        <v>0</v>
      </c>
      <c r="G279">
        <f t="shared" si="52"/>
        <v>0</v>
      </c>
      <c r="H279">
        <f t="shared" si="53"/>
        <v>0</v>
      </c>
      <c r="I279">
        <f t="shared" si="54"/>
        <v>0</v>
      </c>
      <c r="J279">
        <f t="shared" si="55"/>
        <v>0</v>
      </c>
      <c r="K279">
        <f t="shared" si="56"/>
        <v>0</v>
      </c>
      <c r="L279">
        <f t="shared" si="57"/>
        <v>1</v>
      </c>
      <c r="M279">
        <f t="shared" si="58"/>
        <v>0</v>
      </c>
      <c r="N279">
        <f t="shared" si="59"/>
        <v>0</v>
      </c>
    </row>
    <row r="280" spans="1:14" x14ac:dyDescent="0.35">
      <c r="A280" s="17">
        <v>44855</v>
      </c>
      <c r="B280">
        <f>AVERAGE(Tableau2[[#This Row],[AWB]:[IAM]])</f>
        <v>-8.1908713871164229E-3</v>
      </c>
      <c r="C280">
        <f t="shared" si="48"/>
        <v>0</v>
      </c>
      <c r="D280">
        <f t="shared" si="49"/>
        <v>0</v>
      </c>
      <c r="E280">
        <f t="shared" si="50"/>
        <v>0</v>
      </c>
      <c r="F280">
        <f t="shared" si="51"/>
        <v>0</v>
      </c>
      <c r="G280">
        <f t="shared" si="52"/>
        <v>0</v>
      </c>
      <c r="H280">
        <f t="shared" si="53"/>
        <v>0</v>
      </c>
      <c r="I280">
        <f t="shared" si="54"/>
        <v>0</v>
      </c>
      <c r="J280">
        <f t="shared" si="55"/>
        <v>0</v>
      </c>
      <c r="K280">
        <f t="shared" si="56"/>
        <v>0</v>
      </c>
      <c r="L280">
        <f t="shared" si="57"/>
        <v>1</v>
      </c>
      <c r="M280">
        <f t="shared" si="58"/>
        <v>0</v>
      </c>
      <c r="N280">
        <f t="shared" si="59"/>
        <v>0</v>
      </c>
    </row>
    <row r="281" spans="1:14" x14ac:dyDescent="0.35">
      <c r="A281" s="17">
        <v>44862</v>
      </c>
      <c r="B281">
        <f>AVERAGE(Tableau2[[#This Row],[AWB]:[IAM]])</f>
        <v>2.231406119887465E-3</v>
      </c>
      <c r="C281">
        <f t="shared" si="48"/>
        <v>0</v>
      </c>
      <c r="D281">
        <f t="shared" si="49"/>
        <v>0</v>
      </c>
      <c r="E281">
        <f t="shared" si="50"/>
        <v>0</v>
      </c>
      <c r="F281">
        <f t="shared" si="51"/>
        <v>0</v>
      </c>
      <c r="G281">
        <f t="shared" si="52"/>
        <v>0</v>
      </c>
      <c r="H281">
        <f t="shared" si="53"/>
        <v>0</v>
      </c>
      <c r="I281">
        <f t="shared" si="54"/>
        <v>0</v>
      </c>
      <c r="J281">
        <f t="shared" si="55"/>
        <v>0</v>
      </c>
      <c r="K281">
        <f t="shared" si="56"/>
        <v>0</v>
      </c>
      <c r="L281">
        <f t="shared" si="57"/>
        <v>1</v>
      </c>
      <c r="M281">
        <f t="shared" si="58"/>
        <v>0</v>
      </c>
      <c r="N281">
        <f t="shared" si="59"/>
        <v>0</v>
      </c>
    </row>
    <row r="282" spans="1:14" x14ac:dyDescent="0.35">
      <c r="A282" s="17">
        <v>44865</v>
      </c>
      <c r="B282">
        <f>AVERAGE(Tableau2[[#This Row],[AWB]:[IAM]])</f>
        <v>-7.7327583770842121E-3</v>
      </c>
      <c r="C282">
        <f t="shared" si="48"/>
        <v>0</v>
      </c>
      <c r="D282">
        <f t="shared" si="49"/>
        <v>0</v>
      </c>
      <c r="E282">
        <f t="shared" si="50"/>
        <v>0</v>
      </c>
      <c r="F282">
        <f t="shared" si="51"/>
        <v>0</v>
      </c>
      <c r="G282">
        <f t="shared" si="52"/>
        <v>0</v>
      </c>
      <c r="H282">
        <f t="shared" si="53"/>
        <v>0</v>
      </c>
      <c r="I282">
        <f t="shared" si="54"/>
        <v>0</v>
      </c>
      <c r="J282">
        <f t="shared" si="55"/>
        <v>0</v>
      </c>
      <c r="K282">
        <f t="shared" si="56"/>
        <v>0</v>
      </c>
      <c r="L282">
        <f t="shared" si="57"/>
        <v>1</v>
      </c>
      <c r="M282">
        <f t="shared" si="58"/>
        <v>0</v>
      </c>
      <c r="N282">
        <f t="shared" si="59"/>
        <v>0</v>
      </c>
    </row>
    <row r="283" spans="1:14" x14ac:dyDescent="0.35">
      <c r="A283" s="17">
        <v>44867</v>
      </c>
      <c r="B283">
        <f>AVERAGE(Tableau2[[#This Row],[AWB]:[IAM]])</f>
        <v>-5.8647556777067882E-4</v>
      </c>
      <c r="C283">
        <f t="shared" si="48"/>
        <v>0</v>
      </c>
      <c r="D283">
        <f t="shared" si="49"/>
        <v>0</v>
      </c>
      <c r="E283">
        <f t="shared" si="50"/>
        <v>0</v>
      </c>
      <c r="F283">
        <f t="shared" si="51"/>
        <v>0</v>
      </c>
      <c r="G283">
        <f t="shared" si="52"/>
        <v>0</v>
      </c>
      <c r="H283">
        <f t="shared" si="53"/>
        <v>0</v>
      </c>
      <c r="I283">
        <f t="shared" si="54"/>
        <v>0</v>
      </c>
      <c r="J283">
        <f t="shared" si="55"/>
        <v>0</v>
      </c>
      <c r="K283">
        <f t="shared" si="56"/>
        <v>0</v>
      </c>
      <c r="L283">
        <f t="shared" si="57"/>
        <v>0</v>
      </c>
      <c r="M283">
        <f t="shared" si="58"/>
        <v>1</v>
      </c>
      <c r="N283">
        <f t="shared" si="59"/>
        <v>0</v>
      </c>
    </row>
    <row r="284" spans="1:14" x14ac:dyDescent="0.35">
      <c r="A284" s="17">
        <v>44868</v>
      </c>
      <c r="B284">
        <f>AVERAGE(Tableau2[[#This Row],[AWB]:[IAM]])</f>
        <v>-5.7422452226814635E-3</v>
      </c>
      <c r="C284">
        <f t="shared" si="48"/>
        <v>0</v>
      </c>
      <c r="D284">
        <f t="shared" si="49"/>
        <v>0</v>
      </c>
      <c r="E284">
        <f t="shared" si="50"/>
        <v>0</v>
      </c>
      <c r="F284">
        <f t="shared" si="51"/>
        <v>0</v>
      </c>
      <c r="G284">
        <f t="shared" si="52"/>
        <v>0</v>
      </c>
      <c r="H284">
        <f t="shared" si="53"/>
        <v>0</v>
      </c>
      <c r="I284">
        <f t="shared" si="54"/>
        <v>0</v>
      </c>
      <c r="J284">
        <f t="shared" si="55"/>
        <v>0</v>
      </c>
      <c r="K284">
        <f t="shared" si="56"/>
        <v>0</v>
      </c>
      <c r="L284">
        <f t="shared" si="57"/>
        <v>0</v>
      </c>
      <c r="M284">
        <f t="shared" si="58"/>
        <v>1</v>
      </c>
      <c r="N284">
        <f t="shared" si="59"/>
        <v>0</v>
      </c>
    </row>
    <row r="285" spans="1:14" x14ac:dyDescent="0.35">
      <c r="A285" s="17">
        <v>44869</v>
      </c>
      <c r="B285">
        <f>AVERAGE(Tableau2[[#This Row],[AWB]:[IAM]])</f>
        <v>-6.5260779175519725E-4</v>
      </c>
      <c r="C285">
        <f t="shared" si="48"/>
        <v>0</v>
      </c>
      <c r="D285">
        <f t="shared" si="49"/>
        <v>0</v>
      </c>
      <c r="E285">
        <f t="shared" si="50"/>
        <v>0</v>
      </c>
      <c r="F285">
        <f t="shared" si="51"/>
        <v>0</v>
      </c>
      <c r="G285">
        <f t="shared" si="52"/>
        <v>0</v>
      </c>
      <c r="H285">
        <f t="shared" si="53"/>
        <v>0</v>
      </c>
      <c r="I285">
        <f t="shared" si="54"/>
        <v>0</v>
      </c>
      <c r="J285">
        <f t="shared" si="55"/>
        <v>0</v>
      </c>
      <c r="K285">
        <f t="shared" si="56"/>
        <v>0</v>
      </c>
      <c r="L285">
        <f t="shared" si="57"/>
        <v>0</v>
      </c>
      <c r="M285">
        <f t="shared" si="58"/>
        <v>1</v>
      </c>
      <c r="N285">
        <f t="shared" si="59"/>
        <v>0</v>
      </c>
    </row>
    <row r="286" spans="1:14" x14ac:dyDescent="0.35">
      <c r="A286" s="17">
        <v>44874</v>
      </c>
      <c r="B286">
        <f>AVERAGE(Tableau2[[#This Row],[AWB]:[IAM]])</f>
        <v>-1.8721816749571473E-2</v>
      </c>
      <c r="C286">
        <f t="shared" si="48"/>
        <v>0</v>
      </c>
      <c r="D286">
        <f t="shared" si="49"/>
        <v>0</v>
      </c>
      <c r="E286">
        <f t="shared" si="50"/>
        <v>0</v>
      </c>
      <c r="F286">
        <f t="shared" si="51"/>
        <v>0</v>
      </c>
      <c r="G286">
        <f t="shared" si="52"/>
        <v>0</v>
      </c>
      <c r="H286">
        <f t="shared" si="53"/>
        <v>0</v>
      </c>
      <c r="I286">
        <f t="shared" si="54"/>
        <v>0</v>
      </c>
      <c r="J286">
        <f t="shared" si="55"/>
        <v>0</v>
      </c>
      <c r="K286">
        <f t="shared" si="56"/>
        <v>0</v>
      </c>
      <c r="L286">
        <f t="shared" si="57"/>
        <v>0</v>
      </c>
      <c r="M286">
        <f t="shared" si="58"/>
        <v>1</v>
      </c>
      <c r="N286">
        <f t="shared" si="59"/>
        <v>0</v>
      </c>
    </row>
    <row r="287" spans="1:14" x14ac:dyDescent="0.35">
      <c r="A287" s="17">
        <v>44875</v>
      </c>
      <c r="B287">
        <f>AVERAGE(Tableau2[[#This Row],[AWB]:[IAM]])</f>
        <v>-1.4731027662666873E-2</v>
      </c>
      <c r="C287">
        <f t="shared" si="48"/>
        <v>0</v>
      </c>
      <c r="D287">
        <f t="shared" si="49"/>
        <v>0</v>
      </c>
      <c r="E287">
        <f t="shared" si="50"/>
        <v>0</v>
      </c>
      <c r="F287">
        <f t="shared" si="51"/>
        <v>0</v>
      </c>
      <c r="G287">
        <f t="shared" si="52"/>
        <v>0</v>
      </c>
      <c r="H287">
        <f t="shared" si="53"/>
        <v>0</v>
      </c>
      <c r="I287">
        <f t="shared" si="54"/>
        <v>0</v>
      </c>
      <c r="J287">
        <f t="shared" si="55"/>
        <v>0</v>
      </c>
      <c r="K287">
        <f t="shared" si="56"/>
        <v>0</v>
      </c>
      <c r="L287">
        <f t="shared" si="57"/>
        <v>0</v>
      </c>
      <c r="M287">
        <f t="shared" si="58"/>
        <v>1</v>
      </c>
      <c r="N287">
        <f t="shared" si="59"/>
        <v>0</v>
      </c>
    </row>
    <row r="288" spans="1:14" x14ac:dyDescent="0.35">
      <c r="A288" s="17">
        <v>44876</v>
      </c>
      <c r="B288">
        <f>AVERAGE(Tableau2[[#This Row],[AWB]:[IAM]])</f>
        <v>8.2514842112269492E-4</v>
      </c>
      <c r="C288">
        <f t="shared" si="48"/>
        <v>0</v>
      </c>
      <c r="D288">
        <f t="shared" si="49"/>
        <v>0</v>
      </c>
      <c r="E288">
        <f t="shared" si="50"/>
        <v>0</v>
      </c>
      <c r="F288">
        <f t="shared" si="51"/>
        <v>0</v>
      </c>
      <c r="G288">
        <f t="shared" si="52"/>
        <v>0</v>
      </c>
      <c r="H288">
        <f t="shared" si="53"/>
        <v>0</v>
      </c>
      <c r="I288">
        <f t="shared" si="54"/>
        <v>0</v>
      </c>
      <c r="J288">
        <f t="shared" si="55"/>
        <v>0</v>
      </c>
      <c r="K288">
        <f t="shared" si="56"/>
        <v>0</v>
      </c>
      <c r="L288">
        <f t="shared" si="57"/>
        <v>0</v>
      </c>
      <c r="M288">
        <f t="shared" si="58"/>
        <v>1</v>
      </c>
      <c r="N288">
        <f t="shared" si="59"/>
        <v>0</v>
      </c>
    </row>
    <row r="289" spans="1:14" x14ac:dyDescent="0.35">
      <c r="A289" s="17">
        <v>44880</v>
      </c>
      <c r="B289">
        <f>AVERAGE(Tableau2[[#This Row],[AWB]:[IAM]])</f>
        <v>1.0973195674252301E-2</v>
      </c>
      <c r="C289">
        <f t="shared" si="48"/>
        <v>0</v>
      </c>
      <c r="D289">
        <f t="shared" si="49"/>
        <v>0</v>
      </c>
      <c r="E289">
        <f t="shared" si="50"/>
        <v>0</v>
      </c>
      <c r="F289">
        <f t="shared" si="51"/>
        <v>0</v>
      </c>
      <c r="G289">
        <f t="shared" si="52"/>
        <v>0</v>
      </c>
      <c r="H289">
        <f t="shared" si="53"/>
        <v>0</v>
      </c>
      <c r="I289">
        <f t="shared" si="54"/>
        <v>0</v>
      </c>
      <c r="J289">
        <f t="shared" si="55"/>
        <v>0</v>
      </c>
      <c r="K289">
        <f t="shared" si="56"/>
        <v>0</v>
      </c>
      <c r="L289">
        <f t="shared" si="57"/>
        <v>0</v>
      </c>
      <c r="M289">
        <f t="shared" si="58"/>
        <v>1</v>
      </c>
      <c r="N289">
        <f t="shared" si="59"/>
        <v>0</v>
      </c>
    </row>
    <row r="290" spans="1:14" x14ac:dyDescent="0.35">
      <c r="A290" s="17">
        <v>44881</v>
      </c>
      <c r="B290">
        <f>AVERAGE(Tableau2[[#This Row],[AWB]:[IAM]])</f>
        <v>-3.0033704752152825E-3</v>
      </c>
      <c r="C290">
        <f t="shared" si="48"/>
        <v>0</v>
      </c>
      <c r="D290">
        <f t="shared" si="49"/>
        <v>0</v>
      </c>
      <c r="E290">
        <f t="shared" si="50"/>
        <v>0</v>
      </c>
      <c r="F290">
        <f t="shared" si="51"/>
        <v>0</v>
      </c>
      <c r="G290">
        <f t="shared" si="52"/>
        <v>0</v>
      </c>
      <c r="H290">
        <f t="shared" si="53"/>
        <v>0</v>
      </c>
      <c r="I290">
        <f t="shared" si="54"/>
        <v>0</v>
      </c>
      <c r="J290">
        <f t="shared" si="55"/>
        <v>0</v>
      </c>
      <c r="K290">
        <f t="shared" si="56"/>
        <v>0</v>
      </c>
      <c r="L290">
        <f t="shared" si="57"/>
        <v>0</v>
      </c>
      <c r="M290">
        <f t="shared" si="58"/>
        <v>1</v>
      </c>
      <c r="N290">
        <f t="shared" si="59"/>
        <v>0</v>
      </c>
    </row>
    <row r="291" spans="1:14" x14ac:dyDescent="0.35">
      <c r="A291" s="17">
        <v>44882</v>
      </c>
      <c r="B291">
        <f>AVERAGE(Tableau2[[#This Row],[AWB]:[IAM]])</f>
        <v>1.547042624451539E-2</v>
      </c>
      <c r="C291">
        <f t="shared" si="48"/>
        <v>0</v>
      </c>
      <c r="D291">
        <f t="shared" si="49"/>
        <v>0</v>
      </c>
      <c r="E291">
        <f t="shared" si="50"/>
        <v>0</v>
      </c>
      <c r="F291">
        <f t="shared" si="51"/>
        <v>0</v>
      </c>
      <c r="G291">
        <f t="shared" si="52"/>
        <v>0</v>
      </c>
      <c r="H291">
        <f t="shared" si="53"/>
        <v>0</v>
      </c>
      <c r="I291">
        <f t="shared" si="54"/>
        <v>0</v>
      </c>
      <c r="J291">
        <f t="shared" si="55"/>
        <v>0</v>
      </c>
      <c r="K291">
        <f t="shared" si="56"/>
        <v>0</v>
      </c>
      <c r="L291">
        <f t="shared" si="57"/>
        <v>0</v>
      </c>
      <c r="M291">
        <f t="shared" si="58"/>
        <v>1</v>
      </c>
      <c r="N291">
        <f t="shared" si="59"/>
        <v>0</v>
      </c>
    </row>
    <row r="292" spans="1:14" x14ac:dyDescent="0.35">
      <c r="A292" s="17">
        <v>44886</v>
      </c>
      <c r="B292">
        <f>AVERAGE(Tableau2[[#This Row],[AWB]:[IAM]])</f>
        <v>2.973076428073416E-3</v>
      </c>
      <c r="C292">
        <f t="shared" si="48"/>
        <v>0</v>
      </c>
      <c r="D292">
        <f t="shared" si="49"/>
        <v>0</v>
      </c>
      <c r="E292">
        <f t="shared" si="50"/>
        <v>0</v>
      </c>
      <c r="F292">
        <f t="shared" si="51"/>
        <v>0</v>
      </c>
      <c r="G292">
        <f t="shared" si="52"/>
        <v>0</v>
      </c>
      <c r="H292">
        <f t="shared" si="53"/>
        <v>0</v>
      </c>
      <c r="I292">
        <f t="shared" si="54"/>
        <v>0</v>
      </c>
      <c r="J292">
        <f t="shared" si="55"/>
        <v>0</v>
      </c>
      <c r="K292">
        <f t="shared" si="56"/>
        <v>0</v>
      </c>
      <c r="L292">
        <f t="shared" si="57"/>
        <v>0</v>
      </c>
      <c r="M292">
        <f t="shared" si="58"/>
        <v>1</v>
      </c>
      <c r="N292">
        <f t="shared" si="59"/>
        <v>0</v>
      </c>
    </row>
    <row r="293" spans="1:14" x14ac:dyDescent="0.35">
      <c r="A293" s="17">
        <v>44895</v>
      </c>
      <c r="B293">
        <f>AVERAGE(Tableau2[[#This Row],[AWB]:[IAM]])</f>
        <v>1.0269810033549041E-2</v>
      </c>
      <c r="C293">
        <f t="shared" si="48"/>
        <v>0</v>
      </c>
      <c r="D293">
        <f t="shared" si="49"/>
        <v>0</v>
      </c>
      <c r="E293">
        <f t="shared" si="50"/>
        <v>0</v>
      </c>
      <c r="F293">
        <f t="shared" si="51"/>
        <v>0</v>
      </c>
      <c r="G293">
        <f t="shared" si="52"/>
        <v>0</v>
      </c>
      <c r="H293">
        <f t="shared" si="53"/>
        <v>0</v>
      </c>
      <c r="I293">
        <f t="shared" si="54"/>
        <v>0</v>
      </c>
      <c r="J293">
        <f t="shared" si="55"/>
        <v>0</v>
      </c>
      <c r="K293">
        <f t="shared" si="56"/>
        <v>0</v>
      </c>
      <c r="L293">
        <f t="shared" si="57"/>
        <v>0</v>
      </c>
      <c r="M293">
        <f t="shared" si="58"/>
        <v>1</v>
      </c>
      <c r="N293">
        <f t="shared" si="59"/>
        <v>0</v>
      </c>
    </row>
    <row r="294" spans="1:14" x14ac:dyDescent="0.35">
      <c r="A294" s="17">
        <v>44897</v>
      </c>
      <c r="B294">
        <f>AVERAGE(Tableau2[[#This Row],[AWB]:[IAM]])</f>
        <v>7.5450175253665612E-3</v>
      </c>
      <c r="C294">
        <f t="shared" si="48"/>
        <v>0</v>
      </c>
      <c r="D294">
        <f t="shared" si="49"/>
        <v>0</v>
      </c>
      <c r="E294">
        <f t="shared" si="50"/>
        <v>0</v>
      </c>
      <c r="F294">
        <f t="shared" si="51"/>
        <v>0</v>
      </c>
      <c r="G294">
        <f t="shared" si="52"/>
        <v>0</v>
      </c>
      <c r="H294">
        <f t="shared" si="53"/>
        <v>0</v>
      </c>
      <c r="I294">
        <f t="shared" si="54"/>
        <v>0</v>
      </c>
      <c r="J294">
        <f t="shared" si="55"/>
        <v>0</v>
      </c>
      <c r="K294">
        <f t="shared" si="56"/>
        <v>0</v>
      </c>
      <c r="L294">
        <f t="shared" si="57"/>
        <v>0</v>
      </c>
      <c r="M294">
        <f t="shared" si="58"/>
        <v>0</v>
      </c>
      <c r="N294">
        <f t="shared" si="59"/>
        <v>1</v>
      </c>
    </row>
    <row r="295" spans="1:14" x14ac:dyDescent="0.35">
      <c r="A295" s="17">
        <v>44900</v>
      </c>
      <c r="B295">
        <f>AVERAGE(Tableau2[[#This Row],[AWB]:[IAM]])</f>
        <v>1.1220711032375525E-2</v>
      </c>
      <c r="C295">
        <f t="shared" si="48"/>
        <v>0</v>
      </c>
      <c r="D295">
        <f t="shared" si="49"/>
        <v>0</v>
      </c>
      <c r="E295">
        <f t="shared" si="50"/>
        <v>0</v>
      </c>
      <c r="F295">
        <f t="shared" si="51"/>
        <v>0</v>
      </c>
      <c r="G295">
        <f t="shared" si="52"/>
        <v>0</v>
      </c>
      <c r="H295">
        <f t="shared" si="53"/>
        <v>0</v>
      </c>
      <c r="I295">
        <f t="shared" si="54"/>
        <v>0</v>
      </c>
      <c r="J295">
        <f t="shared" si="55"/>
        <v>0</v>
      </c>
      <c r="K295">
        <f t="shared" si="56"/>
        <v>0</v>
      </c>
      <c r="L295">
        <f t="shared" si="57"/>
        <v>0</v>
      </c>
      <c r="M295">
        <f t="shared" si="58"/>
        <v>0</v>
      </c>
      <c r="N295">
        <f t="shared" si="59"/>
        <v>1</v>
      </c>
    </row>
    <row r="296" spans="1:14" x14ac:dyDescent="0.35">
      <c r="A296" s="17">
        <v>44903</v>
      </c>
      <c r="B296">
        <f>AVERAGE(Tableau2[[#This Row],[AWB]:[IAM]])</f>
        <v>5.8099554459256587E-3</v>
      </c>
      <c r="C296">
        <f t="shared" si="48"/>
        <v>0</v>
      </c>
      <c r="D296">
        <f t="shared" si="49"/>
        <v>0</v>
      </c>
      <c r="E296">
        <f t="shared" si="50"/>
        <v>0</v>
      </c>
      <c r="F296">
        <f t="shared" si="51"/>
        <v>0</v>
      </c>
      <c r="G296">
        <f t="shared" si="52"/>
        <v>0</v>
      </c>
      <c r="H296">
        <f t="shared" si="53"/>
        <v>0</v>
      </c>
      <c r="I296">
        <f t="shared" si="54"/>
        <v>0</v>
      </c>
      <c r="J296">
        <f t="shared" si="55"/>
        <v>0</v>
      </c>
      <c r="K296">
        <f t="shared" si="56"/>
        <v>0</v>
      </c>
      <c r="L296">
        <f t="shared" si="57"/>
        <v>0</v>
      </c>
      <c r="M296">
        <f t="shared" si="58"/>
        <v>0</v>
      </c>
      <c r="N296">
        <f t="shared" si="59"/>
        <v>1</v>
      </c>
    </row>
    <row r="297" spans="1:14" x14ac:dyDescent="0.35">
      <c r="A297" s="17">
        <v>44904</v>
      </c>
      <c r="B297">
        <f>AVERAGE(Tableau2[[#This Row],[AWB]:[IAM]])</f>
        <v>-1.2674338765690864E-5</v>
      </c>
      <c r="C297">
        <f t="shared" si="48"/>
        <v>0</v>
      </c>
      <c r="D297">
        <f t="shared" si="49"/>
        <v>0</v>
      </c>
      <c r="E297">
        <f t="shared" si="50"/>
        <v>0</v>
      </c>
      <c r="F297">
        <f t="shared" si="51"/>
        <v>0</v>
      </c>
      <c r="G297">
        <f t="shared" si="52"/>
        <v>0</v>
      </c>
      <c r="H297">
        <f t="shared" si="53"/>
        <v>0</v>
      </c>
      <c r="I297">
        <f t="shared" si="54"/>
        <v>0</v>
      </c>
      <c r="J297">
        <f t="shared" si="55"/>
        <v>0</v>
      </c>
      <c r="K297">
        <f t="shared" si="56"/>
        <v>0</v>
      </c>
      <c r="L297">
        <f t="shared" si="57"/>
        <v>0</v>
      </c>
      <c r="M297">
        <f t="shared" si="58"/>
        <v>0</v>
      </c>
      <c r="N297">
        <f t="shared" si="59"/>
        <v>1</v>
      </c>
    </row>
    <row r="298" spans="1:14" x14ac:dyDescent="0.35">
      <c r="A298" s="17">
        <v>44907</v>
      </c>
      <c r="B298">
        <f>AVERAGE(Tableau2[[#This Row],[AWB]:[IAM]])</f>
        <v>-1.7067855514562024E-4</v>
      </c>
      <c r="C298">
        <f t="shared" si="48"/>
        <v>0</v>
      </c>
      <c r="D298">
        <f t="shared" si="49"/>
        <v>0</v>
      </c>
      <c r="E298">
        <f t="shared" si="50"/>
        <v>0</v>
      </c>
      <c r="F298">
        <f t="shared" si="51"/>
        <v>0</v>
      </c>
      <c r="G298">
        <f t="shared" si="52"/>
        <v>0</v>
      </c>
      <c r="H298">
        <f t="shared" si="53"/>
        <v>0</v>
      </c>
      <c r="I298">
        <f t="shared" si="54"/>
        <v>0</v>
      </c>
      <c r="J298">
        <f t="shared" si="55"/>
        <v>0</v>
      </c>
      <c r="K298">
        <f t="shared" si="56"/>
        <v>0</v>
      </c>
      <c r="L298">
        <f t="shared" si="57"/>
        <v>0</v>
      </c>
      <c r="M298">
        <f t="shared" si="58"/>
        <v>0</v>
      </c>
      <c r="N298">
        <f t="shared" si="59"/>
        <v>1</v>
      </c>
    </row>
    <row r="299" spans="1:14" x14ac:dyDescent="0.35">
      <c r="A299" s="17">
        <v>44908</v>
      </c>
      <c r="B299">
        <f>AVERAGE(Tableau2[[#This Row],[AWB]:[IAM]])</f>
        <v>7.6392392887989925E-3</v>
      </c>
      <c r="C299">
        <f t="shared" si="48"/>
        <v>0</v>
      </c>
      <c r="D299">
        <f t="shared" si="49"/>
        <v>0</v>
      </c>
      <c r="E299">
        <f t="shared" si="50"/>
        <v>0</v>
      </c>
      <c r="F299">
        <f t="shared" si="51"/>
        <v>0</v>
      </c>
      <c r="G299">
        <f t="shared" si="52"/>
        <v>0</v>
      </c>
      <c r="H299">
        <f t="shared" si="53"/>
        <v>0</v>
      </c>
      <c r="I299">
        <f t="shared" si="54"/>
        <v>0</v>
      </c>
      <c r="J299">
        <f t="shared" si="55"/>
        <v>0</v>
      </c>
      <c r="K299">
        <f t="shared" si="56"/>
        <v>0</v>
      </c>
      <c r="L299">
        <f t="shared" si="57"/>
        <v>0</v>
      </c>
      <c r="M299">
        <f t="shared" si="58"/>
        <v>0</v>
      </c>
      <c r="N299">
        <f t="shared" si="59"/>
        <v>1</v>
      </c>
    </row>
    <row r="300" spans="1:14" x14ac:dyDescent="0.35">
      <c r="A300" s="17">
        <v>44909</v>
      </c>
      <c r="B300">
        <f>AVERAGE(Tableau2[[#This Row],[AWB]:[IAM]])</f>
        <v>-5.6796053498630293E-4</v>
      </c>
      <c r="C300">
        <f t="shared" si="48"/>
        <v>0</v>
      </c>
      <c r="D300">
        <f t="shared" si="49"/>
        <v>0</v>
      </c>
      <c r="E300">
        <f t="shared" si="50"/>
        <v>0</v>
      </c>
      <c r="F300">
        <f t="shared" si="51"/>
        <v>0</v>
      </c>
      <c r="G300">
        <f t="shared" si="52"/>
        <v>0</v>
      </c>
      <c r="H300">
        <f t="shared" si="53"/>
        <v>0</v>
      </c>
      <c r="I300">
        <f t="shared" si="54"/>
        <v>0</v>
      </c>
      <c r="J300">
        <f t="shared" si="55"/>
        <v>0</v>
      </c>
      <c r="K300">
        <f t="shared" si="56"/>
        <v>0</v>
      </c>
      <c r="L300">
        <f t="shared" si="57"/>
        <v>0</v>
      </c>
      <c r="M300">
        <f t="shared" si="58"/>
        <v>0</v>
      </c>
      <c r="N300">
        <f t="shared" si="59"/>
        <v>1</v>
      </c>
    </row>
    <row r="301" spans="1:14" x14ac:dyDescent="0.35">
      <c r="A301" s="17">
        <v>44911</v>
      </c>
      <c r="B301">
        <f>AVERAGE(Tableau2[[#This Row],[AWB]:[IAM]])</f>
        <v>-1.8616683806293478E-2</v>
      </c>
      <c r="C301">
        <f t="shared" si="48"/>
        <v>0</v>
      </c>
      <c r="D301">
        <f t="shared" si="49"/>
        <v>0</v>
      </c>
      <c r="E301">
        <f t="shared" si="50"/>
        <v>0</v>
      </c>
      <c r="F301">
        <f t="shared" si="51"/>
        <v>0</v>
      </c>
      <c r="G301">
        <f t="shared" si="52"/>
        <v>0</v>
      </c>
      <c r="H301">
        <f t="shared" si="53"/>
        <v>0</v>
      </c>
      <c r="I301">
        <f t="shared" si="54"/>
        <v>0</v>
      </c>
      <c r="J301">
        <f t="shared" si="55"/>
        <v>0</v>
      </c>
      <c r="K301">
        <f t="shared" si="56"/>
        <v>0</v>
      </c>
      <c r="L301">
        <f t="shared" si="57"/>
        <v>0</v>
      </c>
      <c r="M301">
        <f t="shared" si="58"/>
        <v>0</v>
      </c>
      <c r="N301">
        <f t="shared" si="59"/>
        <v>1</v>
      </c>
    </row>
    <row r="302" spans="1:14" x14ac:dyDescent="0.35">
      <c r="A302" s="17">
        <v>44917</v>
      </c>
      <c r="B302">
        <f>AVERAGE(Tableau2[[#This Row],[AWB]:[IAM]])</f>
        <v>-5.5076970177638795E-3</v>
      </c>
      <c r="C302">
        <f t="shared" si="48"/>
        <v>0</v>
      </c>
      <c r="D302">
        <f t="shared" si="49"/>
        <v>0</v>
      </c>
      <c r="E302">
        <f t="shared" si="50"/>
        <v>0</v>
      </c>
      <c r="F302">
        <f t="shared" si="51"/>
        <v>0</v>
      </c>
      <c r="G302">
        <f t="shared" si="52"/>
        <v>0</v>
      </c>
      <c r="H302">
        <f t="shared" si="53"/>
        <v>0</v>
      </c>
      <c r="I302">
        <f t="shared" si="54"/>
        <v>0</v>
      </c>
      <c r="J302">
        <f t="shared" si="55"/>
        <v>0</v>
      </c>
      <c r="K302">
        <f t="shared" si="56"/>
        <v>0</v>
      </c>
      <c r="L302">
        <f t="shared" si="57"/>
        <v>0</v>
      </c>
      <c r="M302">
        <f t="shared" si="58"/>
        <v>0</v>
      </c>
      <c r="N302">
        <f t="shared" si="59"/>
        <v>1</v>
      </c>
    </row>
    <row r="303" spans="1:14" x14ac:dyDescent="0.35">
      <c r="A303" s="17">
        <v>44918</v>
      </c>
      <c r="B303">
        <f>AVERAGE(Tableau2[[#This Row],[AWB]:[IAM]])</f>
        <v>-2.7292126388586261E-3</v>
      </c>
      <c r="C303">
        <f t="shared" si="48"/>
        <v>0</v>
      </c>
      <c r="D303">
        <f t="shared" si="49"/>
        <v>0</v>
      </c>
      <c r="E303">
        <f t="shared" si="50"/>
        <v>0</v>
      </c>
      <c r="F303">
        <f t="shared" si="51"/>
        <v>0</v>
      </c>
      <c r="G303">
        <f t="shared" si="52"/>
        <v>0</v>
      </c>
      <c r="H303">
        <f t="shared" si="53"/>
        <v>0</v>
      </c>
      <c r="I303">
        <f t="shared" si="54"/>
        <v>0</v>
      </c>
      <c r="J303">
        <f t="shared" si="55"/>
        <v>0</v>
      </c>
      <c r="K303">
        <f t="shared" si="56"/>
        <v>0</v>
      </c>
      <c r="L303">
        <f t="shared" si="57"/>
        <v>0</v>
      </c>
      <c r="M303">
        <f t="shared" si="58"/>
        <v>0</v>
      </c>
      <c r="N303">
        <f t="shared" si="59"/>
        <v>1</v>
      </c>
    </row>
    <row r="304" spans="1:14" x14ac:dyDescent="0.35">
      <c r="A304" s="17">
        <v>44922</v>
      </c>
      <c r="B304">
        <f>AVERAGE(Tableau2[[#This Row],[AWB]:[IAM]])</f>
        <v>-3.2410185440050103E-3</v>
      </c>
      <c r="C304">
        <f t="shared" si="48"/>
        <v>0</v>
      </c>
      <c r="D304">
        <f t="shared" si="49"/>
        <v>0</v>
      </c>
      <c r="E304">
        <f t="shared" si="50"/>
        <v>0</v>
      </c>
      <c r="F304">
        <f t="shared" si="51"/>
        <v>0</v>
      </c>
      <c r="G304">
        <f t="shared" si="52"/>
        <v>0</v>
      </c>
      <c r="H304">
        <f t="shared" si="53"/>
        <v>0</v>
      </c>
      <c r="I304">
        <f t="shared" si="54"/>
        <v>0</v>
      </c>
      <c r="J304">
        <f t="shared" si="55"/>
        <v>0</v>
      </c>
      <c r="K304">
        <f t="shared" si="56"/>
        <v>0</v>
      </c>
      <c r="L304">
        <f t="shared" si="57"/>
        <v>0</v>
      </c>
      <c r="M304">
        <f t="shared" si="58"/>
        <v>0</v>
      </c>
      <c r="N304">
        <f t="shared" si="59"/>
        <v>1</v>
      </c>
    </row>
    <row r="305" spans="1:14" x14ac:dyDescent="0.35">
      <c r="A305" s="17">
        <v>44924</v>
      </c>
      <c r="B305">
        <f>AVERAGE(Tableau2[[#This Row],[AWB]:[IAM]])</f>
        <v>-1.0714764450326673E-2</v>
      </c>
      <c r="C305">
        <f t="shared" si="48"/>
        <v>0</v>
      </c>
      <c r="D305">
        <f t="shared" si="49"/>
        <v>0</v>
      </c>
      <c r="E305">
        <f t="shared" si="50"/>
        <v>0</v>
      </c>
      <c r="F305">
        <f t="shared" si="51"/>
        <v>0</v>
      </c>
      <c r="G305">
        <f t="shared" si="52"/>
        <v>0</v>
      </c>
      <c r="H305">
        <f t="shared" si="53"/>
        <v>0</v>
      </c>
      <c r="I305">
        <f t="shared" si="54"/>
        <v>0</v>
      </c>
      <c r="J305">
        <f t="shared" si="55"/>
        <v>0</v>
      </c>
      <c r="K305">
        <f t="shared" si="56"/>
        <v>0</v>
      </c>
      <c r="L305">
        <f t="shared" si="57"/>
        <v>0</v>
      </c>
      <c r="M305">
        <f t="shared" si="58"/>
        <v>0</v>
      </c>
      <c r="N305">
        <f t="shared" si="59"/>
        <v>1</v>
      </c>
    </row>
    <row r="306" spans="1:14" x14ac:dyDescent="0.35">
      <c r="A306" s="17">
        <v>44925</v>
      </c>
      <c r="B306">
        <f>AVERAGE(Tableau2[[#This Row],[AWB]:[IAM]])</f>
        <v>-4.4672442075242517E-3</v>
      </c>
      <c r="C306">
        <f t="shared" si="48"/>
        <v>0</v>
      </c>
      <c r="D306">
        <f t="shared" si="49"/>
        <v>0</v>
      </c>
      <c r="E306">
        <f t="shared" si="50"/>
        <v>0</v>
      </c>
      <c r="F306">
        <f t="shared" si="51"/>
        <v>0</v>
      </c>
      <c r="G306">
        <f t="shared" si="52"/>
        <v>0</v>
      </c>
      <c r="H306">
        <f t="shared" si="53"/>
        <v>0</v>
      </c>
      <c r="I306">
        <f t="shared" si="54"/>
        <v>0</v>
      </c>
      <c r="J306">
        <f t="shared" si="55"/>
        <v>0</v>
      </c>
      <c r="K306">
        <f t="shared" si="56"/>
        <v>0</v>
      </c>
      <c r="L306">
        <f t="shared" si="57"/>
        <v>0</v>
      </c>
      <c r="M306">
        <f t="shared" si="58"/>
        <v>0</v>
      </c>
      <c r="N306">
        <f t="shared" si="59"/>
        <v>1</v>
      </c>
    </row>
    <row r="307" spans="1:14" x14ac:dyDescent="0.35">
      <c r="A307" s="17">
        <v>44930</v>
      </c>
      <c r="B307">
        <f>AVERAGE(Tableau2[[#This Row],[AWB]:[IAM]])</f>
        <v>-4.5678887771440975E-2</v>
      </c>
      <c r="C307">
        <f t="shared" si="48"/>
        <v>1</v>
      </c>
      <c r="D307">
        <f t="shared" si="49"/>
        <v>0</v>
      </c>
      <c r="E307">
        <f t="shared" si="50"/>
        <v>0</v>
      </c>
      <c r="F307">
        <f t="shared" si="51"/>
        <v>0</v>
      </c>
      <c r="G307">
        <f t="shared" si="52"/>
        <v>0</v>
      </c>
      <c r="H307">
        <f t="shared" si="53"/>
        <v>0</v>
      </c>
      <c r="I307">
        <f t="shared" si="54"/>
        <v>0</v>
      </c>
      <c r="J307">
        <f t="shared" si="55"/>
        <v>0</v>
      </c>
      <c r="K307">
        <f t="shared" si="56"/>
        <v>0</v>
      </c>
      <c r="L307">
        <f t="shared" si="57"/>
        <v>0</v>
      </c>
      <c r="M307">
        <f t="shared" si="58"/>
        <v>0</v>
      </c>
      <c r="N307">
        <f t="shared" si="59"/>
        <v>0</v>
      </c>
    </row>
    <row r="308" spans="1:14" x14ac:dyDescent="0.35">
      <c r="A308" s="17">
        <v>44931</v>
      </c>
      <c r="B308">
        <f>AVERAGE(Tableau2[[#This Row],[AWB]:[IAM]])</f>
        <v>-4.1485117090702579E-2</v>
      </c>
      <c r="C308">
        <f t="shared" si="48"/>
        <v>1</v>
      </c>
      <c r="D308">
        <f t="shared" si="49"/>
        <v>0</v>
      </c>
      <c r="E308">
        <f t="shared" si="50"/>
        <v>0</v>
      </c>
      <c r="F308">
        <f t="shared" si="51"/>
        <v>0</v>
      </c>
      <c r="G308">
        <f t="shared" si="52"/>
        <v>0</v>
      </c>
      <c r="H308">
        <f t="shared" si="53"/>
        <v>0</v>
      </c>
      <c r="I308">
        <f t="shared" si="54"/>
        <v>0</v>
      </c>
      <c r="J308">
        <f t="shared" si="55"/>
        <v>0</v>
      </c>
      <c r="K308">
        <f t="shared" si="56"/>
        <v>0</v>
      </c>
      <c r="L308">
        <f t="shared" si="57"/>
        <v>0</v>
      </c>
      <c r="M308">
        <f t="shared" si="58"/>
        <v>0</v>
      </c>
      <c r="N308">
        <f t="shared" si="59"/>
        <v>0</v>
      </c>
    </row>
    <row r="309" spans="1:14" x14ac:dyDescent="0.35">
      <c r="A309" s="17">
        <v>44932</v>
      </c>
      <c r="B309">
        <f>AVERAGE(Tableau2[[#This Row],[AWB]:[IAM]])</f>
        <v>-2.1421603604696783E-2</v>
      </c>
      <c r="C309">
        <f t="shared" si="48"/>
        <v>1</v>
      </c>
      <c r="D309">
        <f t="shared" si="49"/>
        <v>0</v>
      </c>
      <c r="E309">
        <f t="shared" si="50"/>
        <v>0</v>
      </c>
      <c r="F309">
        <f t="shared" si="51"/>
        <v>0</v>
      </c>
      <c r="G309">
        <f t="shared" si="52"/>
        <v>0</v>
      </c>
      <c r="H309">
        <f t="shared" si="53"/>
        <v>0</v>
      </c>
      <c r="I309">
        <f t="shared" si="54"/>
        <v>0</v>
      </c>
      <c r="J309">
        <f t="shared" si="55"/>
        <v>0</v>
      </c>
      <c r="K309">
        <f t="shared" si="56"/>
        <v>0</v>
      </c>
      <c r="L309">
        <f t="shared" si="57"/>
        <v>0</v>
      </c>
      <c r="M309">
        <f t="shared" si="58"/>
        <v>0</v>
      </c>
      <c r="N309">
        <f t="shared" si="59"/>
        <v>0</v>
      </c>
    </row>
    <row r="310" spans="1:14" x14ac:dyDescent="0.35">
      <c r="A310" s="17">
        <v>44935</v>
      </c>
      <c r="B310">
        <f>AVERAGE(Tableau2[[#This Row],[AWB]:[IAM]])</f>
        <v>2.4954601983776608E-3</v>
      </c>
      <c r="C310">
        <f t="shared" si="48"/>
        <v>1</v>
      </c>
      <c r="D310">
        <f t="shared" si="49"/>
        <v>0</v>
      </c>
      <c r="E310">
        <f t="shared" si="50"/>
        <v>0</v>
      </c>
      <c r="F310">
        <f t="shared" si="51"/>
        <v>0</v>
      </c>
      <c r="G310">
        <f t="shared" si="52"/>
        <v>0</v>
      </c>
      <c r="H310">
        <f t="shared" si="53"/>
        <v>0</v>
      </c>
      <c r="I310">
        <f t="shared" si="54"/>
        <v>0</v>
      </c>
      <c r="J310">
        <f t="shared" si="55"/>
        <v>0</v>
      </c>
      <c r="K310">
        <f t="shared" si="56"/>
        <v>0</v>
      </c>
      <c r="L310">
        <f t="shared" si="57"/>
        <v>0</v>
      </c>
      <c r="M310">
        <f t="shared" si="58"/>
        <v>0</v>
      </c>
      <c r="N310">
        <f t="shared" si="59"/>
        <v>0</v>
      </c>
    </row>
    <row r="311" spans="1:14" x14ac:dyDescent="0.35">
      <c r="A311" s="17">
        <v>44936</v>
      </c>
      <c r="B311">
        <f>AVERAGE(Tableau2[[#This Row],[AWB]:[IAM]])</f>
        <v>1.4923806096280906E-2</v>
      </c>
      <c r="C311">
        <f t="shared" si="48"/>
        <v>1</v>
      </c>
      <c r="D311">
        <f t="shared" si="49"/>
        <v>0</v>
      </c>
      <c r="E311">
        <f t="shared" si="50"/>
        <v>0</v>
      </c>
      <c r="F311">
        <f t="shared" si="51"/>
        <v>0</v>
      </c>
      <c r="G311">
        <f t="shared" si="52"/>
        <v>0</v>
      </c>
      <c r="H311">
        <f t="shared" si="53"/>
        <v>0</v>
      </c>
      <c r="I311">
        <f t="shared" si="54"/>
        <v>0</v>
      </c>
      <c r="J311">
        <f t="shared" si="55"/>
        <v>0</v>
      </c>
      <c r="K311">
        <f t="shared" si="56"/>
        <v>0</v>
      </c>
      <c r="L311">
        <f t="shared" si="57"/>
        <v>0</v>
      </c>
      <c r="M311">
        <f t="shared" si="58"/>
        <v>0</v>
      </c>
      <c r="N311">
        <f t="shared" si="59"/>
        <v>0</v>
      </c>
    </row>
    <row r="312" spans="1:14" x14ac:dyDescent="0.35">
      <c r="A312" s="17">
        <v>44939</v>
      </c>
      <c r="B312">
        <f>AVERAGE(Tableau2[[#This Row],[AWB]:[IAM]])</f>
        <v>4.5397577781837208E-2</v>
      </c>
      <c r="C312">
        <f t="shared" si="48"/>
        <v>1</v>
      </c>
      <c r="D312">
        <f t="shared" si="49"/>
        <v>0</v>
      </c>
      <c r="E312">
        <f t="shared" si="50"/>
        <v>0</v>
      </c>
      <c r="F312">
        <f t="shared" si="51"/>
        <v>0</v>
      </c>
      <c r="G312">
        <f t="shared" si="52"/>
        <v>0</v>
      </c>
      <c r="H312">
        <f t="shared" si="53"/>
        <v>0</v>
      </c>
      <c r="I312">
        <f t="shared" si="54"/>
        <v>0</v>
      </c>
      <c r="J312">
        <f t="shared" si="55"/>
        <v>0</v>
      </c>
      <c r="K312">
        <f t="shared" si="56"/>
        <v>0</v>
      </c>
      <c r="L312">
        <f t="shared" si="57"/>
        <v>0</v>
      </c>
      <c r="M312">
        <f t="shared" si="58"/>
        <v>0</v>
      </c>
      <c r="N312">
        <f t="shared" si="59"/>
        <v>0</v>
      </c>
    </row>
    <row r="313" spans="1:14" x14ac:dyDescent="0.35">
      <c r="A313" s="17">
        <v>44945</v>
      </c>
      <c r="B313">
        <f>AVERAGE(Tableau2[[#This Row],[AWB]:[IAM]])</f>
        <v>-1.7701448511012085E-2</v>
      </c>
      <c r="C313">
        <f t="shared" si="48"/>
        <v>1</v>
      </c>
      <c r="D313">
        <f t="shared" si="49"/>
        <v>0</v>
      </c>
      <c r="E313">
        <f t="shared" si="50"/>
        <v>0</v>
      </c>
      <c r="F313">
        <f t="shared" si="51"/>
        <v>0</v>
      </c>
      <c r="G313">
        <f t="shared" si="52"/>
        <v>0</v>
      </c>
      <c r="H313">
        <f t="shared" si="53"/>
        <v>0</v>
      </c>
      <c r="I313">
        <f t="shared" si="54"/>
        <v>0</v>
      </c>
      <c r="J313">
        <f t="shared" si="55"/>
        <v>0</v>
      </c>
      <c r="K313">
        <f t="shared" si="56"/>
        <v>0</v>
      </c>
      <c r="L313">
        <f t="shared" si="57"/>
        <v>0</v>
      </c>
      <c r="M313">
        <f t="shared" si="58"/>
        <v>0</v>
      </c>
      <c r="N313">
        <f t="shared" si="59"/>
        <v>0</v>
      </c>
    </row>
    <row r="314" spans="1:14" x14ac:dyDescent="0.35">
      <c r="A314" s="17">
        <v>44946</v>
      </c>
      <c r="B314">
        <f>AVERAGE(Tableau2[[#This Row],[AWB]:[IAM]])</f>
        <v>-1.2092397736831764E-2</v>
      </c>
      <c r="C314">
        <f t="shared" si="48"/>
        <v>1</v>
      </c>
      <c r="D314">
        <f t="shared" si="49"/>
        <v>0</v>
      </c>
      <c r="E314">
        <f t="shared" si="50"/>
        <v>0</v>
      </c>
      <c r="F314">
        <f t="shared" si="51"/>
        <v>0</v>
      </c>
      <c r="G314">
        <f t="shared" si="52"/>
        <v>0</v>
      </c>
      <c r="H314">
        <f t="shared" si="53"/>
        <v>0</v>
      </c>
      <c r="I314">
        <f t="shared" si="54"/>
        <v>0</v>
      </c>
      <c r="J314">
        <f t="shared" si="55"/>
        <v>0</v>
      </c>
      <c r="K314">
        <f t="shared" si="56"/>
        <v>0</v>
      </c>
      <c r="L314">
        <f t="shared" si="57"/>
        <v>0</v>
      </c>
      <c r="M314">
        <f t="shared" si="58"/>
        <v>0</v>
      </c>
      <c r="N314">
        <f t="shared" si="59"/>
        <v>0</v>
      </c>
    </row>
    <row r="315" spans="1:14" x14ac:dyDescent="0.35">
      <c r="A315" s="17">
        <v>44952</v>
      </c>
      <c r="B315">
        <f>AVERAGE(Tableau2[[#This Row],[AWB]:[IAM]])</f>
        <v>-1.4413911664238656E-3</v>
      </c>
      <c r="C315">
        <f t="shared" si="48"/>
        <v>1</v>
      </c>
      <c r="D315">
        <f t="shared" si="49"/>
        <v>0</v>
      </c>
      <c r="E315">
        <f t="shared" si="50"/>
        <v>0</v>
      </c>
      <c r="F315">
        <f t="shared" si="51"/>
        <v>0</v>
      </c>
      <c r="G315">
        <f t="shared" si="52"/>
        <v>0</v>
      </c>
      <c r="H315">
        <f t="shared" si="53"/>
        <v>0</v>
      </c>
      <c r="I315">
        <f t="shared" si="54"/>
        <v>0</v>
      </c>
      <c r="J315">
        <f t="shared" si="55"/>
        <v>0</v>
      </c>
      <c r="K315">
        <f t="shared" si="56"/>
        <v>0</v>
      </c>
      <c r="L315">
        <f t="shared" si="57"/>
        <v>0</v>
      </c>
      <c r="M315">
        <f t="shared" si="58"/>
        <v>0</v>
      </c>
      <c r="N315">
        <f t="shared" si="59"/>
        <v>0</v>
      </c>
    </row>
    <row r="316" spans="1:14" x14ac:dyDescent="0.35">
      <c r="A316" s="17">
        <v>44957</v>
      </c>
      <c r="B316">
        <f>AVERAGE(Tableau2[[#This Row],[AWB]:[IAM]])</f>
        <v>1.6977062756550372E-2</v>
      </c>
      <c r="C316">
        <f t="shared" si="48"/>
        <v>1</v>
      </c>
      <c r="D316">
        <f t="shared" si="49"/>
        <v>0</v>
      </c>
      <c r="E316">
        <f t="shared" si="50"/>
        <v>0</v>
      </c>
      <c r="F316">
        <f t="shared" si="51"/>
        <v>0</v>
      </c>
      <c r="G316">
        <f t="shared" si="52"/>
        <v>0</v>
      </c>
      <c r="H316">
        <f t="shared" si="53"/>
        <v>0</v>
      </c>
      <c r="I316">
        <f t="shared" si="54"/>
        <v>0</v>
      </c>
      <c r="J316">
        <f t="shared" si="55"/>
        <v>0</v>
      </c>
      <c r="K316">
        <f t="shared" si="56"/>
        <v>0</v>
      </c>
      <c r="L316">
        <f t="shared" si="57"/>
        <v>0</v>
      </c>
      <c r="M316">
        <f t="shared" si="58"/>
        <v>0</v>
      </c>
      <c r="N316">
        <f t="shared" si="59"/>
        <v>0</v>
      </c>
    </row>
    <row r="317" spans="1:14" x14ac:dyDescent="0.35">
      <c r="A317" s="17">
        <v>44958</v>
      </c>
      <c r="B317">
        <f>AVERAGE(Tableau2[[#This Row],[AWB]:[IAM]])</f>
        <v>-9.0916459542415579E-3</v>
      </c>
      <c r="C317">
        <f t="shared" si="48"/>
        <v>0</v>
      </c>
      <c r="D317">
        <f t="shared" si="49"/>
        <v>1</v>
      </c>
      <c r="E317">
        <f t="shared" si="50"/>
        <v>0</v>
      </c>
      <c r="F317">
        <f t="shared" si="51"/>
        <v>0</v>
      </c>
      <c r="G317">
        <f t="shared" si="52"/>
        <v>0</v>
      </c>
      <c r="H317">
        <f t="shared" si="53"/>
        <v>0</v>
      </c>
      <c r="I317">
        <f t="shared" si="54"/>
        <v>0</v>
      </c>
      <c r="J317">
        <f t="shared" si="55"/>
        <v>0</v>
      </c>
      <c r="K317">
        <f t="shared" si="56"/>
        <v>0</v>
      </c>
      <c r="L317">
        <f t="shared" si="57"/>
        <v>0</v>
      </c>
      <c r="M317">
        <f t="shared" si="58"/>
        <v>0</v>
      </c>
      <c r="N317">
        <f t="shared" si="59"/>
        <v>0</v>
      </c>
    </row>
    <row r="318" spans="1:14" x14ac:dyDescent="0.35">
      <c r="A318" s="17">
        <v>44959</v>
      </c>
      <c r="B318">
        <f>AVERAGE(Tableau2[[#This Row],[AWB]:[IAM]])</f>
        <v>6.239952850767747E-3</v>
      </c>
      <c r="C318">
        <f t="shared" si="48"/>
        <v>0</v>
      </c>
      <c r="D318">
        <f t="shared" si="49"/>
        <v>1</v>
      </c>
      <c r="E318">
        <f t="shared" si="50"/>
        <v>0</v>
      </c>
      <c r="F318">
        <f t="shared" si="51"/>
        <v>0</v>
      </c>
      <c r="G318">
        <f t="shared" si="52"/>
        <v>0</v>
      </c>
      <c r="H318">
        <f t="shared" si="53"/>
        <v>0</v>
      </c>
      <c r="I318">
        <f t="shared" si="54"/>
        <v>0</v>
      </c>
      <c r="J318">
        <f t="shared" si="55"/>
        <v>0</v>
      </c>
      <c r="K318">
        <f t="shared" si="56"/>
        <v>0</v>
      </c>
      <c r="L318">
        <f t="shared" si="57"/>
        <v>0</v>
      </c>
      <c r="M318">
        <f t="shared" si="58"/>
        <v>0</v>
      </c>
      <c r="N318">
        <f t="shared" si="59"/>
        <v>0</v>
      </c>
    </row>
    <row r="319" spans="1:14" x14ac:dyDescent="0.35">
      <c r="A319" s="17">
        <v>44960</v>
      </c>
      <c r="B319">
        <f>AVERAGE(Tableau2[[#This Row],[AWB]:[IAM]])</f>
        <v>1.2534216068950505E-3</v>
      </c>
      <c r="C319">
        <f t="shared" si="48"/>
        <v>0</v>
      </c>
      <c r="D319">
        <f t="shared" si="49"/>
        <v>1</v>
      </c>
      <c r="E319">
        <f t="shared" si="50"/>
        <v>0</v>
      </c>
      <c r="F319">
        <f t="shared" si="51"/>
        <v>0</v>
      </c>
      <c r="G319">
        <f t="shared" si="52"/>
        <v>0</v>
      </c>
      <c r="H319">
        <f t="shared" si="53"/>
        <v>0</v>
      </c>
      <c r="I319">
        <f t="shared" si="54"/>
        <v>0</v>
      </c>
      <c r="J319">
        <f t="shared" si="55"/>
        <v>0</v>
      </c>
      <c r="K319">
        <f t="shared" si="56"/>
        <v>0</v>
      </c>
      <c r="L319">
        <f t="shared" si="57"/>
        <v>0</v>
      </c>
      <c r="M319">
        <f t="shared" si="58"/>
        <v>0</v>
      </c>
      <c r="N319">
        <f t="shared" si="59"/>
        <v>0</v>
      </c>
    </row>
    <row r="320" spans="1:14" x14ac:dyDescent="0.35">
      <c r="A320" s="17">
        <v>44963</v>
      </c>
      <c r="B320">
        <f>AVERAGE(Tableau2[[#This Row],[AWB]:[IAM]])</f>
        <v>-5.8356902439951975E-3</v>
      </c>
      <c r="C320">
        <f t="shared" si="48"/>
        <v>0</v>
      </c>
      <c r="D320">
        <f t="shared" si="49"/>
        <v>1</v>
      </c>
      <c r="E320">
        <f t="shared" si="50"/>
        <v>0</v>
      </c>
      <c r="F320">
        <f t="shared" si="51"/>
        <v>0</v>
      </c>
      <c r="G320">
        <f t="shared" si="52"/>
        <v>0</v>
      </c>
      <c r="H320">
        <f t="shared" si="53"/>
        <v>0</v>
      </c>
      <c r="I320">
        <f t="shared" si="54"/>
        <v>0</v>
      </c>
      <c r="J320">
        <f t="shared" si="55"/>
        <v>0</v>
      </c>
      <c r="K320">
        <f t="shared" si="56"/>
        <v>0</v>
      </c>
      <c r="L320">
        <f t="shared" si="57"/>
        <v>0</v>
      </c>
      <c r="M320">
        <f t="shared" si="58"/>
        <v>0</v>
      </c>
      <c r="N320">
        <f t="shared" si="59"/>
        <v>0</v>
      </c>
    </row>
    <row r="321" spans="1:14" x14ac:dyDescent="0.35">
      <c r="A321" s="17">
        <v>44964</v>
      </c>
      <c r="B321">
        <f>AVERAGE(Tableau2[[#This Row],[AWB]:[IAM]])</f>
        <v>1.1278608640328369E-2</v>
      </c>
      <c r="C321">
        <f t="shared" si="48"/>
        <v>0</v>
      </c>
      <c r="D321">
        <f t="shared" si="49"/>
        <v>1</v>
      </c>
      <c r="E321">
        <f t="shared" si="50"/>
        <v>0</v>
      </c>
      <c r="F321">
        <f t="shared" si="51"/>
        <v>0</v>
      </c>
      <c r="G321">
        <f t="shared" si="52"/>
        <v>0</v>
      </c>
      <c r="H321">
        <f t="shared" si="53"/>
        <v>0</v>
      </c>
      <c r="I321">
        <f t="shared" si="54"/>
        <v>0</v>
      </c>
      <c r="J321">
        <f t="shared" si="55"/>
        <v>0</v>
      </c>
      <c r="K321">
        <f t="shared" si="56"/>
        <v>0</v>
      </c>
      <c r="L321">
        <f t="shared" si="57"/>
        <v>0</v>
      </c>
      <c r="M321">
        <f t="shared" si="58"/>
        <v>0</v>
      </c>
      <c r="N321">
        <f t="shared" si="59"/>
        <v>0</v>
      </c>
    </row>
    <row r="322" spans="1:14" x14ac:dyDescent="0.35">
      <c r="A322" s="17">
        <v>44965</v>
      </c>
      <c r="B322">
        <f>AVERAGE(Tableau2[[#This Row],[AWB]:[IAM]])</f>
        <v>1.6572525701483484E-2</v>
      </c>
      <c r="C322">
        <f t="shared" ref="C322:C385" si="60">IF(MONTH(A322)=1,1,0)</f>
        <v>0</v>
      </c>
      <c r="D322">
        <f t="shared" ref="D322:D385" si="61">IF(MONTH(A322)=2,1,0)</f>
        <v>1</v>
      </c>
      <c r="E322">
        <f t="shared" ref="E322:E385" si="62">IF(MONTH(A322)=3,1,0)</f>
        <v>0</v>
      </c>
      <c r="F322">
        <f t="shared" ref="F322:F385" si="63">IF(MONTH(A322)=4,1,0)</f>
        <v>0</v>
      </c>
      <c r="G322">
        <f t="shared" ref="G322:G385" si="64">IF(MONTH(A322)=5,1,0)</f>
        <v>0</v>
      </c>
      <c r="H322">
        <f t="shared" ref="H322:H385" si="65">IF(MONTH(A322)=6,1,0)</f>
        <v>0</v>
      </c>
      <c r="I322">
        <f t="shared" ref="I322:I385" si="66">IF(MONTH(A322)=7,1,0)</f>
        <v>0</v>
      </c>
      <c r="J322">
        <f t="shared" ref="J322:J385" si="67">IF(MONTH(A322)=8,1,0)</f>
        <v>0</v>
      </c>
      <c r="K322">
        <f t="shared" ref="K322:K385" si="68">IF(MONTH(A322)=9,1,0)</f>
        <v>0</v>
      </c>
      <c r="L322">
        <f t="shared" ref="L322:L385" si="69">IF(MONTH(A322)=10,1,0)</f>
        <v>0</v>
      </c>
      <c r="M322">
        <f t="shared" ref="M322:M385" si="70">IF(MONTH(A322)=11,1,0)</f>
        <v>0</v>
      </c>
      <c r="N322">
        <f t="shared" ref="N322:N385" si="71">IF(MONTH(A322)=12,1,0)</f>
        <v>0</v>
      </c>
    </row>
    <row r="323" spans="1:14" x14ac:dyDescent="0.35">
      <c r="A323" s="17">
        <v>44966</v>
      </c>
      <c r="B323">
        <f>AVERAGE(Tableau2[[#This Row],[AWB]:[IAM]])</f>
        <v>3.4432321376919621E-3</v>
      </c>
      <c r="C323">
        <f t="shared" si="60"/>
        <v>0</v>
      </c>
      <c r="D323">
        <f t="shared" si="61"/>
        <v>1</v>
      </c>
      <c r="E323">
        <f t="shared" si="62"/>
        <v>0</v>
      </c>
      <c r="F323">
        <f t="shared" si="63"/>
        <v>0</v>
      </c>
      <c r="G323">
        <f t="shared" si="64"/>
        <v>0</v>
      </c>
      <c r="H323">
        <f t="shared" si="65"/>
        <v>0</v>
      </c>
      <c r="I323">
        <f t="shared" si="66"/>
        <v>0</v>
      </c>
      <c r="J323">
        <f t="shared" si="67"/>
        <v>0</v>
      </c>
      <c r="K323">
        <f t="shared" si="68"/>
        <v>0</v>
      </c>
      <c r="L323">
        <f t="shared" si="69"/>
        <v>0</v>
      </c>
      <c r="M323">
        <f t="shared" si="70"/>
        <v>0</v>
      </c>
      <c r="N323">
        <f t="shared" si="71"/>
        <v>0</v>
      </c>
    </row>
    <row r="324" spans="1:14" x14ac:dyDescent="0.35">
      <c r="A324" s="17">
        <v>44967</v>
      </c>
      <c r="B324">
        <f>AVERAGE(Tableau2[[#This Row],[AWB]:[IAM]])</f>
        <v>6.7524142650709018E-3</v>
      </c>
      <c r="C324">
        <f t="shared" si="60"/>
        <v>0</v>
      </c>
      <c r="D324">
        <f t="shared" si="61"/>
        <v>1</v>
      </c>
      <c r="E324">
        <f t="shared" si="62"/>
        <v>0</v>
      </c>
      <c r="F324">
        <f t="shared" si="63"/>
        <v>0</v>
      </c>
      <c r="G324">
        <f t="shared" si="64"/>
        <v>0</v>
      </c>
      <c r="H324">
        <f t="shared" si="65"/>
        <v>0</v>
      </c>
      <c r="I324">
        <f t="shared" si="66"/>
        <v>0</v>
      </c>
      <c r="J324">
        <f t="shared" si="67"/>
        <v>0</v>
      </c>
      <c r="K324">
        <f t="shared" si="68"/>
        <v>0</v>
      </c>
      <c r="L324">
        <f t="shared" si="69"/>
        <v>0</v>
      </c>
      <c r="M324">
        <f t="shared" si="70"/>
        <v>0</v>
      </c>
      <c r="N324">
        <f t="shared" si="71"/>
        <v>0</v>
      </c>
    </row>
    <row r="325" spans="1:14" x14ac:dyDescent="0.35">
      <c r="A325" s="17">
        <v>44972</v>
      </c>
      <c r="B325">
        <f>AVERAGE(Tableau2[[#This Row],[AWB]:[IAM]])</f>
        <v>-1.2164499151582785E-2</v>
      </c>
      <c r="C325">
        <f t="shared" si="60"/>
        <v>0</v>
      </c>
      <c r="D325">
        <f t="shared" si="61"/>
        <v>1</v>
      </c>
      <c r="E325">
        <f t="shared" si="62"/>
        <v>0</v>
      </c>
      <c r="F325">
        <f t="shared" si="63"/>
        <v>0</v>
      </c>
      <c r="G325">
        <f t="shared" si="64"/>
        <v>0</v>
      </c>
      <c r="H325">
        <f t="shared" si="65"/>
        <v>0</v>
      </c>
      <c r="I325">
        <f t="shared" si="66"/>
        <v>0</v>
      </c>
      <c r="J325">
        <f t="shared" si="67"/>
        <v>0</v>
      </c>
      <c r="K325">
        <f t="shared" si="68"/>
        <v>0</v>
      </c>
      <c r="L325">
        <f t="shared" si="69"/>
        <v>0</v>
      </c>
      <c r="M325">
        <f t="shared" si="70"/>
        <v>0</v>
      </c>
      <c r="N325">
        <f t="shared" si="71"/>
        <v>0</v>
      </c>
    </row>
    <row r="326" spans="1:14" x14ac:dyDescent="0.35">
      <c r="A326" s="17">
        <v>44973</v>
      </c>
      <c r="B326">
        <f>AVERAGE(Tableau2[[#This Row],[AWB]:[IAM]])</f>
        <v>7.7831222466447367E-3</v>
      </c>
      <c r="C326">
        <f t="shared" si="60"/>
        <v>0</v>
      </c>
      <c r="D326">
        <f t="shared" si="61"/>
        <v>1</v>
      </c>
      <c r="E326">
        <f t="shared" si="62"/>
        <v>0</v>
      </c>
      <c r="F326">
        <f t="shared" si="63"/>
        <v>0</v>
      </c>
      <c r="G326">
        <f t="shared" si="64"/>
        <v>0</v>
      </c>
      <c r="H326">
        <f t="shared" si="65"/>
        <v>0</v>
      </c>
      <c r="I326">
        <f t="shared" si="66"/>
        <v>0</v>
      </c>
      <c r="J326">
        <f t="shared" si="67"/>
        <v>0</v>
      </c>
      <c r="K326">
        <f t="shared" si="68"/>
        <v>0</v>
      </c>
      <c r="L326">
        <f t="shared" si="69"/>
        <v>0</v>
      </c>
      <c r="M326">
        <f t="shared" si="70"/>
        <v>0</v>
      </c>
      <c r="N326">
        <f t="shared" si="71"/>
        <v>0</v>
      </c>
    </row>
    <row r="327" spans="1:14" x14ac:dyDescent="0.35">
      <c r="A327" s="17">
        <v>44981</v>
      </c>
      <c r="B327">
        <f>AVERAGE(Tableau2[[#This Row],[AWB]:[IAM]])</f>
        <v>2.3947391821067553E-2</v>
      </c>
      <c r="C327">
        <f t="shared" si="60"/>
        <v>0</v>
      </c>
      <c r="D327">
        <f t="shared" si="61"/>
        <v>1</v>
      </c>
      <c r="E327">
        <f t="shared" si="62"/>
        <v>0</v>
      </c>
      <c r="F327">
        <f t="shared" si="63"/>
        <v>0</v>
      </c>
      <c r="G327">
        <f t="shared" si="64"/>
        <v>0</v>
      </c>
      <c r="H327">
        <f t="shared" si="65"/>
        <v>0</v>
      </c>
      <c r="I327">
        <f t="shared" si="66"/>
        <v>0</v>
      </c>
      <c r="J327">
        <f t="shared" si="67"/>
        <v>0</v>
      </c>
      <c r="K327">
        <f t="shared" si="68"/>
        <v>0</v>
      </c>
      <c r="L327">
        <f t="shared" si="69"/>
        <v>0</v>
      </c>
      <c r="M327">
        <f t="shared" si="70"/>
        <v>0</v>
      </c>
      <c r="N327">
        <f t="shared" si="71"/>
        <v>0</v>
      </c>
    </row>
    <row r="328" spans="1:14" x14ac:dyDescent="0.35">
      <c r="A328" s="17">
        <v>44987</v>
      </c>
      <c r="B328">
        <f>AVERAGE(Tableau2[[#This Row],[AWB]:[IAM]])</f>
        <v>-7.864371791423036E-4</v>
      </c>
      <c r="C328">
        <f t="shared" si="60"/>
        <v>0</v>
      </c>
      <c r="D328">
        <f t="shared" si="61"/>
        <v>0</v>
      </c>
      <c r="E328">
        <f t="shared" si="62"/>
        <v>1</v>
      </c>
      <c r="F328">
        <f t="shared" si="63"/>
        <v>0</v>
      </c>
      <c r="G328">
        <f t="shared" si="64"/>
        <v>0</v>
      </c>
      <c r="H328">
        <f t="shared" si="65"/>
        <v>0</v>
      </c>
      <c r="I328">
        <f t="shared" si="66"/>
        <v>0</v>
      </c>
      <c r="J328">
        <f t="shared" si="67"/>
        <v>0</v>
      </c>
      <c r="K328">
        <f t="shared" si="68"/>
        <v>0</v>
      </c>
      <c r="L328">
        <f t="shared" si="69"/>
        <v>0</v>
      </c>
      <c r="M328">
        <f t="shared" si="70"/>
        <v>0</v>
      </c>
      <c r="N328">
        <f t="shared" si="71"/>
        <v>0</v>
      </c>
    </row>
    <row r="329" spans="1:14" x14ac:dyDescent="0.35">
      <c r="A329" s="17">
        <v>45007</v>
      </c>
      <c r="B329">
        <f>AVERAGE(Tableau2[[#This Row],[AWB]:[IAM]])</f>
        <v>-3.9378124459740864E-2</v>
      </c>
      <c r="C329">
        <f t="shared" si="60"/>
        <v>0</v>
      </c>
      <c r="D329">
        <f t="shared" si="61"/>
        <v>0</v>
      </c>
      <c r="E329">
        <f t="shared" si="62"/>
        <v>1</v>
      </c>
      <c r="F329">
        <f t="shared" si="63"/>
        <v>0</v>
      </c>
      <c r="G329">
        <f t="shared" si="64"/>
        <v>0</v>
      </c>
      <c r="H329">
        <f t="shared" si="65"/>
        <v>0</v>
      </c>
      <c r="I329">
        <f t="shared" si="66"/>
        <v>0</v>
      </c>
      <c r="J329">
        <f t="shared" si="67"/>
        <v>0</v>
      </c>
      <c r="K329">
        <f t="shared" si="68"/>
        <v>0</v>
      </c>
      <c r="L329">
        <f t="shared" si="69"/>
        <v>0</v>
      </c>
      <c r="M329">
        <f t="shared" si="70"/>
        <v>0</v>
      </c>
      <c r="N329">
        <f t="shared" si="71"/>
        <v>0</v>
      </c>
    </row>
    <row r="330" spans="1:14" x14ac:dyDescent="0.35">
      <c r="A330" s="17">
        <v>45014</v>
      </c>
      <c r="B330">
        <f>AVERAGE(Tableau2[[#This Row],[AWB]:[IAM]])</f>
        <v>1.8606747811117255E-3</v>
      </c>
      <c r="C330">
        <f t="shared" si="60"/>
        <v>0</v>
      </c>
      <c r="D330">
        <f t="shared" si="61"/>
        <v>0</v>
      </c>
      <c r="E330">
        <f t="shared" si="62"/>
        <v>1</v>
      </c>
      <c r="F330">
        <f t="shared" si="63"/>
        <v>0</v>
      </c>
      <c r="G330">
        <f t="shared" si="64"/>
        <v>0</v>
      </c>
      <c r="H330">
        <f t="shared" si="65"/>
        <v>0</v>
      </c>
      <c r="I330">
        <f t="shared" si="66"/>
        <v>0</v>
      </c>
      <c r="J330">
        <f t="shared" si="67"/>
        <v>0</v>
      </c>
      <c r="K330">
        <f t="shared" si="68"/>
        <v>0</v>
      </c>
      <c r="L330">
        <f t="shared" si="69"/>
        <v>0</v>
      </c>
      <c r="M330">
        <f t="shared" si="70"/>
        <v>0</v>
      </c>
      <c r="N330">
        <f t="shared" si="71"/>
        <v>0</v>
      </c>
    </row>
    <row r="331" spans="1:14" x14ac:dyDescent="0.35">
      <c r="A331" s="17">
        <v>45015</v>
      </c>
      <c r="B331">
        <f>AVERAGE(Tableau2[[#This Row],[AWB]:[IAM]])</f>
        <v>-1.0217970045713377E-4</v>
      </c>
      <c r="C331">
        <f t="shared" si="60"/>
        <v>0</v>
      </c>
      <c r="D331">
        <f t="shared" si="61"/>
        <v>0</v>
      </c>
      <c r="E331">
        <f t="shared" si="62"/>
        <v>1</v>
      </c>
      <c r="F331">
        <f t="shared" si="63"/>
        <v>0</v>
      </c>
      <c r="G331">
        <f t="shared" si="64"/>
        <v>0</v>
      </c>
      <c r="H331">
        <f t="shared" si="65"/>
        <v>0</v>
      </c>
      <c r="I331">
        <f t="shared" si="66"/>
        <v>0</v>
      </c>
      <c r="J331">
        <f t="shared" si="67"/>
        <v>0</v>
      </c>
      <c r="K331">
        <f t="shared" si="68"/>
        <v>0</v>
      </c>
      <c r="L331">
        <f t="shared" si="69"/>
        <v>0</v>
      </c>
      <c r="M331">
        <f t="shared" si="70"/>
        <v>0</v>
      </c>
      <c r="N331">
        <f t="shared" si="71"/>
        <v>0</v>
      </c>
    </row>
    <row r="332" spans="1:14" x14ac:dyDescent="0.35">
      <c r="A332" s="17">
        <v>45016</v>
      </c>
      <c r="B332">
        <f>AVERAGE(Tableau2[[#This Row],[AWB]:[IAM]])</f>
        <v>-4.979768933895793E-3</v>
      </c>
      <c r="C332">
        <f t="shared" si="60"/>
        <v>0</v>
      </c>
      <c r="D332">
        <f t="shared" si="61"/>
        <v>0</v>
      </c>
      <c r="E332">
        <f t="shared" si="62"/>
        <v>1</v>
      </c>
      <c r="F332">
        <f t="shared" si="63"/>
        <v>0</v>
      </c>
      <c r="G332">
        <f t="shared" si="64"/>
        <v>0</v>
      </c>
      <c r="H332">
        <f t="shared" si="65"/>
        <v>0</v>
      </c>
      <c r="I332">
        <f t="shared" si="66"/>
        <v>0</v>
      </c>
      <c r="J332">
        <f t="shared" si="67"/>
        <v>0</v>
      </c>
      <c r="K332">
        <f t="shared" si="68"/>
        <v>0</v>
      </c>
      <c r="L332">
        <f t="shared" si="69"/>
        <v>0</v>
      </c>
      <c r="M332">
        <f t="shared" si="70"/>
        <v>0</v>
      </c>
      <c r="N332">
        <f t="shared" si="71"/>
        <v>0</v>
      </c>
    </row>
    <row r="333" spans="1:14" x14ac:dyDescent="0.35">
      <c r="A333" s="17">
        <v>45022</v>
      </c>
      <c r="B333">
        <f>AVERAGE(Tableau2[[#This Row],[AWB]:[IAM]])</f>
        <v>7.1786658423858988E-3</v>
      </c>
      <c r="C333">
        <f t="shared" si="60"/>
        <v>0</v>
      </c>
      <c r="D333">
        <f t="shared" si="61"/>
        <v>0</v>
      </c>
      <c r="E333">
        <f t="shared" si="62"/>
        <v>0</v>
      </c>
      <c r="F333">
        <f t="shared" si="63"/>
        <v>1</v>
      </c>
      <c r="G333">
        <f t="shared" si="64"/>
        <v>0</v>
      </c>
      <c r="H333">
        <f t="shared" si="65"/>
        <v>0</v>
      </c>
      <c r="I333">
        <f t="shared" si="66"/>
        <v>0</v>
      </c>
      <c r="J333">
        <f t="shared" si="67"/>
        <v>0</v>
      </c>
      <c r="K333">
        <f t="shared" si="68"/>
        <v>0</v>
      </c>
      <c r="L333">
        <f t="shared" si="69"/>
        <v>0</v>
      </c>
      <c r="M333">
        <f t="shared" si="70"/>
        <v>0</v>
      </c>
      <c r="N333">
        <f t="shared" si="71"/>
        <v>0</v>
      </c>
    </row>
    <row r="334" spans="1:14" x14ac:dyDescent="0.35">
      <c r="A334" s="17">
        <v>45029</v>
      </c>
      <c r="B334">
        <f>AVERAGE(Tableau2[[#This Row],[AWB]:[IAM]])</f>
        <v>-6.9003072312834495E-3</v>
      </c>
      <c r="C334">
        <f t="shared" si="60"/>
        <v>0</v>
      </c>
      <c r="D334">
        <f t="shared" si="61"/>
        <v>0</v>
      </c>
      <c r="E334">
        <f t="shared" si="62"/>
        <v>0</v>
      </c>
      <c r="F334">
        <f t="shared" si="63"/>
        <v>1</v>
      </c>
      <c r="G334">
        <f t="shared" si="64"/>
        <v>0</v>
      </c>
      <c r="H334">
        <f t="shared" si="65"/>
        <v>0</v>
      </c>
      <c r="I334">
        <f t="shared" si="66"/>
        <v>0</v>
      </c>
      <c r="J334">
        <f t="shared" si="67"/>
        <v>0</v>
      </c>
      <c r="K334">
        <f t="shared" si="68"/>
        <v>0</v>
      </c>
      <c r="L334">
        <f t="shared" si="69"/>
        <v>0</v>
      </c>
      <c r="M334">
        <f t="shared" si="70"/>
        <v>0</v>
      </c>
      <c r="N334">
        <f t="shared" si="71"/>
        <v>0</v>
      </c>
    </row>
    <row r="335" spans="1:14" x14ac:dyDescent="0.35">
      <c r="A335" s="17">
        <v>45037</v>
      </c>
      <c r="B335">
        <f>AVERAGE(Tableau2[[#This Row],[AWB]:[IAM]])</f>
        <v>5.5409458666314058E-3</v>
      </c>
      <c r="C335">
        <f t="shared" si="60"/>
        <v>0</v>
      </c>
      <c r="D335">
        <f t="shared" si="61"/>
        <v>0</v>
      </c>
      <c r="E335">
        <f t="shared" si="62"/>
        <v>0</v>
      </c>
      <c r="F335">
        <f t="shared" si="63"/>
        <v>1</v>
      </c>
      <c r="G335">
        <f t="shared" si="64"/>
        <v>0</v>
      </c>
      <c r="H335">
        <f t="shared" si="65"/>
        <v>0</v>
      </c>
      <c r="I335">
        <f t="shared" si="66"/>
        <v>0</v>
      </c>
      <c r="J335">
        <f t="shared" si="67"/>
        <v>0</v>
      </c>
      <c r="K335">
        <f t="shared" si="68"/>
        <v>0</v>
      </c>
      <c r="L335">
        <f t="shared" si="69"/>
        <v>0</v>
      </c>
      <c r="M335">
        <f t="shared" si="70"/>
        <v>0</v>
      </c>
      <c r="N335">
        <f t="shared" si="71"/>
        <v>0</v>
      </c>
    </row>
    <row r="336" spans="1:14" x14ac:dyDescent="0.35">
      <c r="A336" s="17">
        <v>45041</v>
      </c>
      <c r="B336">
        <f>AVERAGE(Tableau2[[#This Row],[AWB]:[IAM]])</f>
        <v>-4.2833400480462381E-3</v>
      </c>
      <c r="C336">
        <f t="shared" si="60"/>
        <v>0</v>
      </c>
      <c r="D336">
        <f t="shared" si="61"/>
        <v>0</v>
      </c>
      <c r="E336">
        <f t="shared" si="62"/>
        <v>0</v>
      </c>
      <c r="F336">
        <f t="shared" si="63"/>
        <v>1</v>
      </c>
      <c r="G336">
        <f t="shared" si="64"/>
        <v>0</v>
      </c>
      <c r="H336">
        <f t="shared" si="65"/>
        <v>0</v>
      </c>
      <c r="I336">
        <f t="shared" si="66"/>
        <v>0</v>
      </c>
      <c r="J336">
        <f t="shared" si="67"/>
        <v>0</v>
      </c>
      <c r="K336">
        <f t="shared" si="68"/>
        <v>0</v>
      </c>
      <c r="L336">
        <f t="shared" si="69"/>
        <v>0</v>
      </c>
      <c r="M336">
        <f t="shared" si="70"/>
        <v>0</v>
      </c>
      <c r="N336">
        <f t="shared" si="71"/>
        <v>0</v>
      </c>
    </row>
    <row r="337" spans="1:14" x14ac:dyDescent="0.35">
      <c r="A337" s="17">
        <v>45050</v>
      </c>
      <c r="B337">
        <f>AVERAGE(Tableau2[[#This Row],[AWB]:[IAM]])</f>
        <v>1.5767851915846478E-2</v>
      </c>
      <c r="C337">
        <f t="shared" si="60"/>
        <v>0</v>
      </c>
      <c r="D337">
        <f t="shared" si="61"/>
        <v>0</v>
      </c>
      <c r="E337">
        <f t="shared" si="62"/>
        <v>0</v>
      </c>
      <c r="F337">
        <f t="shared" si="63"/>
        <v>0</v>
      </c>
      <c r="G337">
        <f t="shared" si="64"/>
        <v>1</v>
      </c>
      <c r="H337">
        <f t="shared" si="65"/>
        <v>0</v>
      </c>
      <c r="I337">
        <f t="shared" si="66"/>
        <v>0</v>
      </c>
      <c r="J337">
        <f t="shared" si="67"/>
        <v>0</v>
      </c>
      <c r="K337">
        <f t="shared" si="68"/>
        <v>0</v>
      </c>
      <c r="L337">
        <f t="shared" si="69"/>
        <v>0</v>
      </c>
      <c r="M337">
        <f t="shared" si="70"/>
        <v>0</v>
      </c>
      <c r="N337">
        <f t="shared" si="71"/>
        <v>0</v>
      </c>
    </row>
    <row r="338" spans="1:14" x14ac:dyDescent="0.35">
      <c r="A338" s="17">
        <v>45056</v>
      </c>
      <c r="B338">
        <f>AVERAGE(Tableau2[[#This Row],[AWB]:[IAM]])</f>
        <v>2.3111954529779578E-2</v>
      </c>
      <c r="C338">
        <f t="shared" si="60"/>
        <v>0</v>
      </c>
      <c r="D338">
        <f t="shared" si="61"/>
        <v>0</v>
      </c>
      <c r="E338">
        <f t="shared" si="62"/>
        <v>0</v>
      </c>
      <c r="F338">
        <f t="shared" si="63"/>
        <v>0</v>
      </c>
      <c r="G338">
        <f t="shared" si="64"/>
        <v>1</v>
      </c>
      <c r="H338">
        <f t="shared" si="65"/>
        <v>0</v>
      </c>
      <c r="I338">
        <f t="shared" si="66"/>
        <v>0</v>
      </c>
      <c r="J338">
        <f t="shared" si="67"/>
        <v>0</v>
      </c>
      <c r="K338">
        <f t="shared" si="68"/>
        <v>0</v>
      </c>
      <c r="L338">
        <f t="shared" si="69"/>
        <v>0</v>
      </c>
      <c r="M338">
        <f t="shared" si="70"/>
        <v>0</v>
      </c>
      <c r="N338">
        <f t="shared" si="71"/>
        <v>0</v>
      </c>
    </row>
    <row r="339" spans="1:14" x14ac:dyDescent="0.35">
      <c r="A339" s="17">
        <v>45057</v>
      </c>
      <c r="B339">
        <f>AVERAGE(Tableau2[[#This Row],[AWB]:[IAM]])</f>
        <v>7.6321989052918014E-3</v>
      </c>
      <c r="C339">
        <f t="shared" si="60"/>
        <v>0</v>
      </c>
      <c r="D339">
        <f t="shared" si="61"/>
        <v>0</v>
      </c>
      <c r="E339">
        <f t="shared" si="62"/>
        <v>0</v>
      </c>
      <c r="F339">
        <f t="shared" si="63"/>
        <v>0</v>
      </c>
      <c r="G339">
        <f t="shared" si="64"/>
        <v>1</v>
      </c>
      <c r="H339">
        <f t="shared" si="65"/>
        <v>0</v>
      </c>
      <c r="I339">
        <f t="shared" si="66"/>
        <v>0</v>
      </c>
      <c r="J339">
        <f t="shared" si="67"/>
        <v>0</v>
      </c>
      <c r="K339">
        <f t="shared" si="68"/>
        <v>0</v>
      </c>
      <c r="L339">
        <f t="shared" si="69"/>
        <v>0</v>
      </c>
      <c r="M339">
        <f t="shared" si="70"/>
        <v>0</v>
      </c>
      <c r="N339">
        <f t="shared" si="71"/>
        <v>0</v>
      </c>
    </row>
    <row r="340" spans="1:14" x14ac:dyDescent="0.35">
      <c r="A340" s="17">
        <v>45058</v>
      </c>
      <c r="B340">
        <f>AVERAGE(Tableau2[[#This Row],[AWB]:[IAM]])</f>
        <v>7.1940210529168542E-3</v>
      </c>
      <c r="C340">
        <f t="shared" si="60"/>
        <v>0</v>
      </c>
      <c r="D340">
        <f t="shared" si="61"/>
        <v>0</v>
      </c>
      <c r="E340">
        <f t="shared" si="62"/>
        <v>0</v>
      </c>
      <c r="F340">
        <f t="shared" si="63"/>
        <v>0</v>
      </c>
      <c r="G340">
        <f t="shared" si="64"/>
        <v>1</v>
      </c>
      <c r="H340">
        <f t="shared" si="65"/>
        <v>0</v>
      </c>
      <c r="I340">
        <f t="shared" si="66"/>
        <v>0</v>
      </c>
      <c r="J340">
        <f t="shared" si="67"/>
        <v>0</v>
      </c>
      <c r="K340">
        <f t="shared" si="68"/>
        <v>0</v>
      </c>
      <c r="L340">
        <f t="shared" si="69"/>
        <v>0</v>
      </c>
      <c r="M340">
        <f t="shared" si="70"/>
        <v>0</v>
      </c>
      <c r="N340">
        <f t="shared" si="71"/>
        <v>0</v>
      </c>
    </row>
    <row r="341" spans="1:14" x14ac:dyDescent="0.35">
      <c r="A341" s="17">
        <v>45061</v>
      </c>
      <c r="B341">
        <f>AVERAGE(Tableau2[[#This Row],[AWB]:[IAM]])</f>
        <v>3.5502961892838495E-3</v>
      </c>
      <c r="C341">
        <f t="shared" si="60"/>
        <v>0</v>
      </c>
      <c r="D341">
        <f t="shared" si="61"/>
        <v>0</v>
      </c>
      <c r="E341">
        <f t="shared" si="62"/>
        <v>0</v>
      </c>
      <c r="F341">
        <f t="shared" si="63"/>
        <v>0</v>
      </c>
      <c r="G341">
        <f t="shared" si="64"/>
        <v>1</v>
      </c>
      <c r="H341">
        <f t="shared" si="65"/>
        <v>0</v>
      </c>
      <c r="I341">
        <f t="shared" si="66"/>
        <v>0</v>
      </c>
      <c r="J341">
        <f t="shared" si="67"/>
        <v>0</v>
      </c>
      <c r="K341">
        <f t="shared" si="68"/>
        <v>0</v>
      </c>
      <c r="L341">
        <f t="shared" si="69"/>
        <v>0</v>
      </c>
      <c r="M341">
        <f t="shared" si="70"/>
        <v>0</v>
      </c>
      <c r="N341">
        <f t="shared" si="71"/>
        <v>0</v>
      </c>
    </row>
    <row r="342" spans="1:14" x14ac:dyDescent="0.35">
      <c r="A342" s="17">
        <v>45062</v>
      </c>
      <c r="B342">
        <f>AVERAGE(Tableau2[[#This Row],[AWB]:[IAM]])</f>
        <v>6.9724294952999179E-3</v>
      </c>
      <c r="C342">
        <f t="shared" si="60"/>
        <v>0</v>
      </c>
      <c r="D342">
        <f t="shared" si="61"/>
        <v>0</v>
      </c>
      <c r="E342">
        <f t="shared" si="62"/>
        <v>0</v>
      </c>
      <c r="F342">
        <f t="shared" si="63"/>
        <v>0</v>
      </c>
      <c r="G342">
        <f t="shared" si="64"/>
        <v>1</v>
      </c>
      <c r="H342">
        <f t="shared" si="65"/>
        <v>0</v>
      </c>
      <c r="I342">
        <f t="shared" si="66"/>
        <v>0</v>
      </c>
      <c r="J342">
        <f t="shared" si="67"/>
        <v>0</v>
      </c>
      <c r="K342">
        <f t="shared" si="68"/>
        <v>0</v>
      </c>
      <c r="L342">
        <f t="shared" si="69"/>
        <v>0</v>
      </c>
      <c r="M342">
        <f t="shared" si="70"/>
        <v>0</v>
      </c>
      <c r="N342">
        <f t="shared" si="71"/>
        <v>0</v>
      </c>
    </row>
    <row r="343" spans="1:14" x14ac:dyDescent="0.35">
      <c r="A343" s="17">
        <v>45063</v>
      </c>
      <c r="B343">
        <f>AVERAGE(Tableau2[[#This Row],[AWB]:[IAM]])</f>
        <v>-9.3232619731631293E-3</v>
      </c>
      <c r="C343">
        <f t="shared" si="60"/>
        <v>0</v>
      </c>
      <c r="D343">
        <f t="shared" si="61"/>
        <v>0</v>
      </c>
      <c r="E343">
        <f t="shared" si="62"/>
        <v>0</v>
      </c>
      <c r="F343">
        <f t="shared" si="63"/>
        <v>0</v>
      </c>
      <c r="G343">
        <f t="shared" si="64"/>
        <v>1</v>
      </c>
      <c r="H343">
        <f t="shared" si="65"/>
        <v>0</v>
      </c>
      <c r="I343">
        <f t="shared" si="66"/>
        <v>0</v>
      </c>
      <c r="J343">
        <f t="shared" si="67"/>
        <v>0</v>
      </c>
      <c r="K343">
        <f t="shared" si="68"/>
        <v>0</v>
      </c>
      <c r="L343">
        <f t="shared" si="69"/>
        <v>0</v>
      </c>
      <c r="M343">
        <f t="shared" si="70"/>
        <v>0</v>
      </c>
      <c r="N343">
        <f t="shared" si="71"/>
        <v>0</v>
      </c>
    </row>
    <row r="344" spans="1:14" x14ac:dyDescent="0.35">
      <c r="A344" s="17">
        <v>45070</v>
      </c>
      <c r="B344">
        <f>AVERAGE(Tableau2[[#This Row],[AWB]:[IAM]])</f>
        <v>7.1117486499851458E-3</v>
      </c>
      <c r="C344">
        <f t="shared" si="60"/>
        <v>0</v>
      </c>
      <c r="D344">
        <f t="shared" si="61"/>
        <v>0</v>
      </c>
      <c r="E344">
        <f t="shared" si="62"/>
        <v>0</v>
      </c>
      <c r="F344">
        <f t="shared" si="63"/>
        <v>0</v>
      </c>
      <c r="G344">
        <f t="shared" si="64"/>
        <v>1</v>
      </c>
      <c r="H344">
        <f t="shared" si="65"/>
        <v>0</v>
      </c>
      <c r="I344">
        <f t="shared" si="66"/>
        <v>0</v>
      </c>
      <c r="J344">
        <f t="shared" si="67"/>
        <v>0</v>
      </c>
      <c r="K344">
        <f t="shared" si="68"/>
        <v>0</v>
      </c>
      <c r="L344">
        <f t="shared" si="69"/>
        <v>0</v>
      </c>
      <c r="M344">
        <f t="shared" si="70"/>
        <v>0</v>
      </c>
      <c r="N344">
        <f t="shared" si="71"/>
        <v>0</v>
      </c>
    </row>
    <row r="345" spans="1:14" x14ac:dyDescent="0.35">
      <c r="A345" s="17">
        <v>45072</v>
      </c>
      <c r="B345">
        <f>AVERAGE(Tableau2[[#This Row],[AWB]:[IAM]])</f>
        <v>-1.551651624881741E-3</v>
      </c>
      <c r="C345">
        <f t="shared" si="60"/>
        <v>0</v>
      </c>
      <c r="D345">
        <f t="shared" si="61"/>
        <v>0</v>
      </c>
      <c r="E345">
        <f t="shared" si="62"/>
        <v>0</v>
      </c>
      <c r="F345">
        <f t="shared" si="63"/>
        <v>0</v>
      </c>
      <c r="G345">
        <f t="shared" si="64"/>
        <v>1</v>
      </c>
      <c r="H345">
        <f t="shared" si="65"/>
        <v>0</v>
      </c>
      <c r="I345">
        <f t="shared" si="66"/>
        <v>0</v>
      </c>
      <c r="J345">
        <f t="shared" si="67"/>
        <v>0</v>
      </c>
      <c r="K345">
        <f t="shared" si="68"/>
        <v>0</v>
      </c>
      <c r="L345">
        <f t="shared" si="69"/>
        <v>0</v>
      </c>
      <c r="M345">
        <f t="shared" si="70"/>
        <v>0</v>
      </c>
      <c r="N345">
        <f t="shared" si="71"/>
        <v>0</v>
      </c>
    </row>
    <row r="346" spans="1:14" x14ac:dyDescent="0.35">
      <c r="A346" s="17">
        <v>45077</v>
      </c>
      <c r="B346">
        <f>AVERAGE(Tableau2[[#This Row],[AWB]:[IAM]])</f>
        <v>2.6522474508008244E-2</v>
      </c>
      <c r="C346">
        <f t="shared" si="60"/>
        <v>0</v>
      </c>
      <c r="D346">
        <f t="shared" si="61"/>
        <v>0</v>
      </c>
      <c r="E346">
        <f t="shared" si="62"/>
        <v>0</v>
      </c>
      <c r="F346">
        <f t="shared" si="63"/>
        <v>0</v>
      </c>
      <c r="G346">
        <f t="shared" si="64"/>
        <v>1</v>
      </c>
      <c r="H346">
        <f t="shared" si="65"/>
        <v>0</v>
      </c>
      <c r="I346">
        <f t="shared" si="66"/>
        <v>0</v>
      </c>
      <c r="J346">
        <f t="shared" si="67"/>
        <v>0</v>
      </c>
      <c r="K346">
        <f t="shared" si="68"/>
        <v>0</v>
      </c>
      <c r="L346">
        <f t="shared" si="69"/>
        <v>0</v>
      </c>
      <c r="M346">
        <f t="shared" si="70"/>
        <v>0</v>
      </c>
      <c r="N346">
        <f t="shared" si="71"/>
        <v>0</v>
      </c>
    </row>
    <row r="347" spans="1:14" x14ac:dyDescent="0.35">
      <c r="A347" s="17">
        <v>45079</v>
      </c>
      <c r="B347">
        <f>AVERAGE(Tableau2[[#This Row],[AWB]:[IAM]])</f>
        <v>1.2121902499761273E-2</v>
      </c>
      <c r="C347">
        <f t="shared" si="60"/>
        <v>0</v>
      </c>
      <c r="D347">
        <f t="shared" si="61"/>
        <v>0</v>
      </c>
      <c r="E347">
        <f t="shared" si="62"/>
        <v>0</v>
      </c>
      <c r="F347">
        <f t="shared" si="63"/>
        <v>0</v>
      </c>
      <c r="G347">
        <f t="shared" si="64"/>
        <v>0</v>
      </c>
      <c r="H347">
        <f t="shared" si="65"/>
        <v>1</v>
      </c>
      <c r="I347">
        <f t="shared" si="66"/>
        <v>0</v>
      </c>
      <c r="J347">
        <f t="shared" si="67"/>
        <v>0</v>
      </c>
      <c r="K347">
        <f t="shared" si="68"/>
        <v>0</v>
      </c>
      <c r="L347">
        <f t="shared" si="69"/>
        <v>0</v>
      </c>
      <c r="M347">
        <f t="shared" si="70"/>
        <v>0</v>
      </c>
      <c r="N347">
        <f t="shared" si="71"/>
        <v>0</v>
      </c>
    </row>
    <row r="348" spans="1:14" x14ac:dyDescent="0.35">
      <c r="A348" s="17">
        <v>45082</v>
      </c>
      <c r="B348">
        <f>AVERAGE(Tableau2[[#This Row],[AWB]:[IAM]])</f>
        <v>1.302861885035106E-3</v>
      </c>
      <c r="C348">
        <f t="shared" si="60"/>
        <v>0</v>
      </c>
      <c r="D348">
        <f t="shared" si="61"/>
        <v>0</v>
      </c>
      <c r="E348">
        <f t="shared" si="62"/>
        <v>0</v>
      </c>
      <c r="F348">
        <f t="shared" si="63"/>
        <v>0</v>
      </c>
      <c r="G348">
        <f t="shared" si="64"/>
        <v>0</v>
      </c>
      <c r="H348">
        <f t="shared" si="65"/>
        <v>1</v>
      </c>
      <c r="I348">
        <f t="shared" si="66"/>
        <v>0</v>
      </c>
      <c r="J348">
        <f t="shared" si="67"/>
        <v>0</v>
      </c>
      <c r="K348">
        <f t="shared" si="68"/>
        <v>0</v>
      </c>
      <c r="L348">
        <f t="shared" si="69"/>
        <v>0</v>
      </c>
      <c r="M348">
        <f t="shared" si="70"/>
        <v>0</v>
      </c>
      <c r="N348">
        <f t="shared" si="71"/>
        <v>0</v>
      </c>
    </row>
    <row r="349" spans="1:14" x14ac:dyDescent="0.35">
      <c r="A349" s="17">
        <v>45084</v>
      </c>
      <c r="B349">
        <f>AVERAGE(Tableau2[[#This Row],[AWB]:[IAM]])</f>
        <v>-5.5445934744559385E-3</v>
      </c>
      <c r="C349">
        <f t="shared" si="60"/>
        <v>0</v>
      </c>
      <c r="D349">
        <f t="shared" si="61"/>
        <v>0</v>
      </c>
      <c r="E349">
        <f t="shared" si="62"/>
        <v>0</v>
      </c>
      <c r="F349">
        <f t="shared" si="63"/>
        <v>0</v>
      </c>
      <c r="G349">
        <f t="shared" si="64"/>
        <v>0</v>
      </c>
      <c r="H349">
        <f t="shared" si="65"/>
        <v>1</v>
      </c>
      <c r="I349">
        <f t="shared" si="66"/>
        <v>0</v>
      </c>
      <c r="J349">
        <f t="shared" si="67"/>
        <v>0</v>
      </c>
      <c r="K349">
        <f t="shared" si="68"/>
        <v>0</v>
      </c>
      <c r="L349">
        <f t="shared" si="69"/>
        <v>0</v>
      </c>
      <c r="M349">
        <f t="shared" si="70"/>
        <v>0</v>
      </c>
      <c r="N349">
        <f t="shared" si="71"/>
        <v>0</v>
      </c>
    </row>
    <row r="350" spans="1:14" x14ac:dyDescent="0.35">
      <c r="A350" s="17">
        <v>45089</v>
      </c>
      <c r="B350">
        <f>AVERAGE(Tableau2[[#This Row],[AWB]:[IAM]])</f>
        <v>9.9951972564175364E-4</v>
      </c>
      <c r="C350">
        <f t="shared" si="60"/>
        <v>0</v>
      </c>
      <c r="D350">
        <f t="shared" si="61"/>
        <v>0</v>
      </c>
      <c r="E350">
        <f t="shared" si="62"/>
        <v>0</v>
      </c>
      <c r="F350">
        <f t="shared" si="63"/>
        <v>0</v>
      </c>
      <c r="G350">
        <f t="shared" si="64"/>
        <v>0</v>
      </c>
      <c r="H350">
        <f t="shared" si="65"/>
        <v>1</v>
      </c>
      <c r="I350">
        <f t="shared" si="66"/>
        <v>0</v>
      </c>
      <c r="J350">
        <f t="shared" si="67"/>
        <v>0</v>
      </c>
      <c r="K350">
        <f t="shared" si="68"/>
        <v>0</v>
      </c>
      <c r="L350">
        <f t="shared" si="69"/>
        <v>0</v>
      </c>
      <c r="M350">
        <f t="shared" si="70"/>
        <v>0</v>
      </c>
      <c r="N350">
        <f t="shared" si="71"/>
        <v>0</v>
      </c>
    </row>
    <row r="351" spans="1:14" x14ac:dyDescent="0.35">
      <c r="A351" s="17">
        <v>45091</v>
      </c>
      <c r="B351">
        <f>AVERAGE(Tableau2[[#This Row],[AWB]:[IAM]])</f>
        <v>2.2179784825201811E-2</v>
      </c>
      <c r="C351">
        <f t="shared" si="60"/>
        <v>0</v>
      </c>
      <c r="D351">
        <f t="shared" si="61"/>
        <v>0</v>
      </c>
      <c r="E351">
        <f t="shared" si="62"/>
        <v>0</v>
      </c>
      <c r="F351">
        <f t="shared" si="63"/>
        <v>0</v>
      </c>
      <c r="G351">
        <f t="shared" si="64"/>
        <v>0</v>
      </c>
      <c r="H351">
        <f t="shared" si="65"/>
        <v>1</v>
      </c>
      <c r="I351">
        <f t="shared" si="66"/>
        <v>0</v>
      </c>
      <c r="J351">
        <f t="shared" si="67"/>
        <v>0</v>
      </c>
      <c r="K351">
        <f t="shared" si="68"/>
        <v>0</v>
      </c>
      <c r="L351">
        <f t="shared" si="69"/>
        <v>0</v>
      </c>
      <c r="M351">
        <f t="shared" si="70"/>
        <v>0</v>
      </c>
      <c r="N351">
        <f t="shared" si="71"/>
        <v>0</v>
      </c>
    </row>
    <row r="352" spans="1:14" x14ac:dyDescent="0.35">
      <c r="A352" s="17">
        <v>45097</v>
      </c>
      <c r="B352">
        <f>AVERAGE(Tableau2[[#This Row],[AWB]:[IAM]])</f>
        <v>4.1671193802005818E-2</v>
      </c>
      <c r="C352">
        <f t="shared" si="60"/>
        <v>0</v>
      </c>
      <c r="D352">
        <f t="shared" si="61"/>
        <v>0</v>
      </c>
      <c r="E352">
        <f t="shared" si="62"/>
        <v>0</v>
      </c>
      <c r="F352">
        <f t="shared" si="63"/>
        <v>0</v>
      </c>
      <c r="G352">
        <f t="shared" si="64"/>
        <v>0</v>
      </c>
      <c r="H352">
        <f t="shared" si="65"/>
        <v>1</v>
      </c>
      <c r="I352">
        <f t="shared" si="66"/>
        <v>0</v>
      </c>
      <c r="J352">
        <f t="shared" si="67"/>
        <v>0</v>
      </c>
      <c r="K352">
        <f t="shared" si="68"/>
        <v>0</v>
      </c>
      <c r="L352">
        <f t="shared" si="69"/>
        <v>0</v>
      </c>
      <c r="M352">
        <f t="shared" si="70"/>
        <v>0</v>
      </c>
      <c r="N352">
        <f t="shared" si="71"/>
        <v>0</v>
      </c>
    </row>
    <row r="353" spans="1:14" x14ac:dyDescent="0.35">
      <c r="A353" s="17">
        <v>45099</v>
      </c>
      <c r="B353">
        <f>AVERAGE(Tableau2[[#This Row],[AWB]:[IAM]])</f>
        <v>-1.4577040572939544E-2</v>
      </c>
      <c r="C353">
        <f t="shared" si="60"/>
        <v>0</v>
      </c>
      <c r="D353">
        <f t="shared" si="61"/>
        <v>0</v>
      </c>
      <c r="E353">
        <f t="shared" si="62"/>
        <v>0</v>
      </c>
      <c r="F353">
        <f t="shared" si="63"/>
        <v>0</v>
      </c>
      <c r="G353">
        <f t="shared" si="64"/>
        <v>0</v>
      </c>
      <c r="H353">
        <f t="shared" si="65"/>
        <v>1</v>
      </c>
      <c r="I353">
        <f t="shared" si="66"/>
        <v>0</v>
      </c>
      <c r="J353">
        <f t="shared" si="67"/>
        <v>0</v>
      </c>
      <c r="K353">
        <f t="shared" si="68"/>
        <v>0</v>
      </c>
      <c r="L353">
        <f t="shared" si="69"/>
        <v>0</v>
      </c>
      <c r="M353">
        <f t="shared" si="70"/>
        <v>0</v>
      </c>
      <c r="N353">
        <f t="shared" si="71"/>
        <v>0</v>
      </c>
    </row>
    <row r="354" spans="1:14" x14ac:dyDescent="0.35">
      <c r="A354" s="17">
        <v>45100</v>
      </c>
      <c r="B354">
        <f>AVERAGE(Tableau2[[#This Row],[AWB]:[IAM]])</f>
        <v>5.8313657069652665E-4</v>
      </c>
      <c r="C354">
        <f t="shared" si="60"/>
        <v>0</v>
      </c>
      <c r="D354">
        <f t="shared" si="61"/>
        <v>0</v>
      </c>
      <c r="E354">
        <f t="shared" si="62"/>
        <v>0</v>
      </c>
      <c r="F354">
        <f t="shared" si="63"/>
        <v>0</v>
      </c>
      <c r="G354">
        <f t="shared" si="64"/>
        <v>0</v>
      </c>
      <c r="H354">
        <f t="shared" si="65"/>
        <v>1</v>
      </c>
      <c r="I354">
        <f t="shared" si="66"/>
        <v>0</v>
      </c>
      <c r="J354">
        <f t="shared" si="67"/>
        <v>0</v>
      </c>
      <c r="K354">
        <f t="shared" si="68"/>
        <v>0</v>
      </c>
      <c r="L354">
        <f t="shared" si="69"/>
        <v>0</v>
      </c>
      <c r="M354">
        <f t="shared" si="70"/>
        <v>0</v>
      </c>
      <c r="N354">
        <f t="shared" si="71"/>
        <v>0</v>
      </c>
    </row>
    <row r="355" spans="1:14" x14ac:dyDescent="0.35">
      <c r="A355" s="17">
        <v>45104</v>
      </c>
      <c r="B355">
        <f>AVERAGE(Tableau2[[#This Row],[AWB]:[IAM]])</f>
        <v>4.0377816659529575E-3</v>
      </c>
      <c r="C355">
        <f t="shared" si="60"/>
        <v>0</v>
      </c>
      <c r="D355">
        <f t="shared" si="61"/>
        <v>0</v>
      </c>
      <c r="E355">
        <f t="shared" si="62"/>
        <v>0</v>
      </c>
      <c r="F355">
        <f t="shared" si="63"/>
        <v>0</v>
      </c>
      <c r="G355">
        <f t="shared" si="64"/>
        <v>0</v>
      </c>
      <c r="H355">
        <f t="shared" si="65"/>
        <v>1</v>
      </c>
      <c r="I355">
        <f t="shared" si="66"/>
        <v>0</v>
      </c>
      <c r="J355">
        <f t="shared" si="67"/>
        <v>0</v>
      </c>
      <c r="K355">
        <f t="shared" si="68"/>
        <v>0</v>
      </c>
      <c r="L355">
        <f t="shared" si="69"/>
        <v>0</v>
      </c>
      <c r="M355">
        <f t="shared" si="70"/>
        <v>0</v>
      </c>
      <c r="N355">
        <f t="shared" si="71"/>
        <v>0</v>
      </c>
    </row>
    <row r="356" spans="1:14" x14ac:dyDescent="0.35">
      <c r="A356" s="17">
        <v>45105</v>
      </c>
      <c r="B356">
        <f>AVERAGE(Tableau2[[#This Row],[AWB]:[IAM]])</f>
        <v>6.67136827112896E-3</v>
      </c>
      <c r="C356">
        <f t="shared" si="60"/>
        <v>0</v>
      </c>
      <c r="D356">
        <f t="shared" si="61"/>
        <v>0</v>
      </c>
      <c r="E356">
        <f t="shared" si="62"/>
        <v>0</v>
      </c>
      <c r="F356">
        <f t="shared" si="63"/>
        <v>0</v>
      </c>
      <c r="G356">
        <f t="shared" si="64"/>
        <v>0</v>
      </c>
      <c r="H356">
        <f t="shared" si="65"/>
        <v>1</v>
      </c>
      <c r="I356">
        <f t="shared" si="66"/>
        <v>0</v>
      </c>
      <c r="J356">
        <f t="shared" si="67"/>
        <v>0</v>
      </c>
      <c r="K356">
        <f t="shared" si="68"/>
        <v>0</v>
      </c>
      <c r="L356">
        <f t="shared" si="69"/>
        <v>0</v>
      </c>
      <c r="M356">
        <f t="shared" si="70"/>
        <v>0</v>
      </c>
      <c r="N356">
        <f t="shared" si="71"/>
        <v>0</v>
      </c>
    </row>
    <row r="357" spans="1:14" x14ac:dyDescent="0.35">
      <c r="A357" s="17">
        <v>45113</v>
      </c>
      <c r="B357">
        <f>AVERAGE(Tableau2[[#This Row],[AWB]:[IAM]])</f>
        <v>2.0023761693349108E-2</v>
      </c>
      <c r="C357">
        <f t="shared" si="60"/>
        <v>0</v>
      </c>
      <c r="D357">
        <f t="shared" si="61"/>
        <v>0</v>
      </c>
      <c r="E357">
        <f t="shared" si="62"/>
        <v>0</v>
      </c>
      <c r="F357">
        <f t="shared" si="63"/>
        <v>0</v>
      </c>
      <c r="G357">
        <f t="shared" si="64"/>
        <v>0</v>
      </c>
      <c r="H357">
        <f t="shared" si="65"/>
        <v>0</v>
      </c>
      <c r="I357">
        <f t="shared" si="66"/>
        <v>1</v>
      </c>
      <c r="J357">
        <f t="shared" si="67"/>
        <v>0</v>
      </c>
      <c r="K357">
        <f t="shared" si="68"/>
        <v>0</v>
      </c>
      <c r="L357">
        <f t="shared" si="69"/>
        <v>0</v>
      </c>
      <c r="M357">
        <f t="shared" si="70"/>
        <v>0</v>
      </c>
      <c r="N357">
        <f t="shared" si="71"/>
        <v>0</v>
      </c>
    </row>
    <row r="358" spans="1:14" x14ac:dyDescent="0.35">
      <c r="A358" s="17">
        <v>45114</v>
      </c>
      <c r="B358">
        <f>AVERAGE(Tableau2[[#This Row],[AWB]:[IAM]])</f>
        <v>-4.2743028104680397E-3</v>
      </c>
      <c r="C358">
        <f t="shared" si="60"/>
        <v>0</v>
      </c>
      <c r="D358">
        <f t="shared" si="61"/>
        <v>0</v>
      </c>
      <c r="E358">
        <f t="shared" si="62"/>
        <v>0</v>
      </c>
      <c r="F358">
        <f t="shared" si="63"/>
        <v>0</v>
      </c>
      <c r="G358">
        <f t="shared" si="64"/>
        <v>0</v>
      </c>
      <c r="H358">
        <f t="shared" si="65"/>
        <v>0</v>
      </c>
      <c r="I358">
        <f t="shared" si="66"/>
        <v>1</v>
      </c>
      <c r="J358">
        <f t="shared" si="67"/>
        <v>0</v>
      </c>
      <c r="K358">
        <f t="shared" si="68"/>
        <v>0</v>
      </c>
      <c r="L358">
        <f t="shared" si="69"/>
        <v>0</v>
      </c>
      <c r="M358">
        <f t="shared" si="70"/>
        <v>0</v>
      </c>
      <c r="N358">
        <f t="shared" si="71"/>
        <v>0</v>
      </c>
    </row>
    <row r="359" spans="1:14" x14ac:dyDescent="0.35">
      <c r="A359" s="17">
        <v>45117</v>
      </c>
      <c r="B359">
        <f>AVERAGE(Tableau2[[#This Row],[AWB]:[IAM]])</f>
        <v>-5.8779018873270543E-3</v>
      </c>
      <c r="C359">
        <f t="shared" si="60"/>
        <v>0</v>
      </c>
      <c r="D359">
        <f t="shared" si="61"/>
        <v>0</v>
      </c>
      <c r="E359">
        <f t="shared" si="62"/>
        <v>0</v>
      </c>
      <c r="F359">
        <f t="shared" si="63"/>
        <v>0</v>
      </c>
      <c r="G359">
        <f t="shared" si="64"/>
        <v>0</v>
      </c>
      <c r="H359">
        <f t="shared" si="65"/>
        <v>0</v>
      </c>
      <c r="I359">
        <f t="shared" si="66"/>
        <v>1</v>
      </c>
      <c r="J359">
        <f t="shared" si="67"/>
        <v>0</v>
      </c>
      <c r="K359">
        <f t="shared" si="68"/>
        <v>0</v>
      </c>
      <c r="L359">
        <f t="shared" si="69"/>
        <v>0</v>
      </c>
      <c r="M359">
        <f t="shared" si="70"/>
        <v>0</v>
      </c>
      <c r="N359">
        <f t="shared" si="71"/>
        <v>0</v>
      </c>
    </row>
    <row r="360" spans="1:14" x14ac:dyDescent="0.35">
      <c r="A360" s="17">
        <v>45121</v>
      </c>
      <c r="B360">
        <f>AVERAGE(Tableau2[[#This Row],[AWB]:[IAM]])</f>
        <v>-8.4561238878214547E-3</v>
      </c>
      <c r="C360">
        <f t="shared" si="60"/>
        <v>0</v>
      </c>
      <c r="D360">
        <f t="shared" si="61"/>
        <v>0</v>
      </c>
      <c r="E360">
        <f t="shared" si="62"/>
        <v>0</v>
      </c>
      <c r="F360">
        <f t="shared" si="63"/>
        <v>0</v>
      </c>
      <c r="G360">
        <f t="shared" si="64"/>
        <v>0</v>
      </c>
      <c r="H360">
        <f t="shared" si="65"/>
        <v>0</v>
      </c>
      <c r="I360">
        <f t="shared" si="66"/>
        <v>1</v>
      </c>
      <c r="J360">
        <f t="shared" si="67"/>
        <v>0</v>
      </c>
      <c r="K360">
        <f t="shared" si="68"/>
        <v>0</v>
      </c>
      <c r="L360">
        <f t="shared" si="69"/>
        <v>0</v>
      </c>
      <c r="M360">
        <f t="shared" si="70"/>
        <v>0</v>
      </c>
      <c r="N360">
        <f t="shared" si="71"/>
        <v>0</v>
      </c>
    </row>
    <row r="361" spans="1:14" x14ac:dyDescent="0.35">
      <c r="A361" s="17">
        <v>45125</v>
      </c>
      <c r="B361">
        <f>AVERAGE(Tableau2[[#This Row],[AWB]:[IAM]])</f>
        <v>9.6090840579821576E-3</v>
      </c>
      <c r="C361">
        <f t="shared" si="60"/>
        <v>0</v>
      </c>
      <c r="D361">
        <f t="shared" si="61"/>
        <v>0</v>
      </c>
      <c r="E361">
        <f t="shared" si="62"/>
        <v>0</v>
      </c>
      <c r="F361">
        <f t="shared" si="63"/>
        <v>0</v>
      </c>
      <c r="G361">
        <f t="shared" si="64"/>
        <v>0</v>
      </c>
      <c r="H361">
        <f t="shared" si="65"/>
        <v>0</v>
      </c>
      <c r="I361">
        <f t="shared" si="66"/>
        <v>1</v>
      </c>
      <c r="J361">
        <f t="shared" si="67"/>
        <v>0</v>
      </c>
      <c r="K361">
        <f t="shared" si="68"/>
        <v>0</v>
      </c>
      <c r="L361">
        <f t="shared" si="69"/>
        <v>0</v>
      </c>
      <c r="M361">
        <f t="shared" si="70"/>
        <v>0</v>
      </c>
      <c r="N361">
        <f t="shared" si="71"/>
        <v>0</v>
      </c>
    </row>
    <row r="362" spans="1:14" x14ac:dyDescent="0.35">
      <c r="A362" s="17">
        <v>45135</v>
      </c>
      <c r="B362">
        <f>AVERAGE(Tableau2[[#This Row],[AWB]:[IAM]])</f>
        <v>2.1666727956338904E-2</v>
      </c>
      <c r="C362">
        <f t="shared" si="60"/>
        <v>0</v>
      </c>
      <c r="D362">
        <f t="shared" si="61"/>
        <v>0</v>
      </c>
      <c r="E362">
        <f t="shared" si="62"/>
        <v>0</v>
      </c>
      <c r="F362">
        <f t="shared" si="63"/>
        <v>0</v>
      </c>
      <c r="G362">
        <f t="shared" si="64"/>
        <v>0</v>
      </c>
      <c r="H362">
        <f t="shared" si="65"/>
        <v>0</v>
      </c>
      <c r="I362">
        <f t="shared" si="66"/>
        <v>1</v>
      </c>
      <c r="J362">
        <f t="shared" si="67"/>
        <v>0</v>
      </c>
      <c r="K362">
        <f t="shared" si="68"/>
        <v>0</v>
      </c>
      <c r="L362">
        <f t="shared" si="69"/>
        <v>0</v>
      </c>
      <c r="M362">
        <f t="shared" si="70"/>
        <v>0</v>
      </c>
      <c r="N362">
        <f t="shared" si="71"/>
        <v>0</v>
      </c>
    </row>
    <row r="363" spans="1:14" x14ac:dyDescent="0.35">
      <c r="A363" s="17">
        <v>45139</v>
      </c>
      <c r="B363">
        <f>AVERAGE(Tableau2[[#This Row],[AWB]:[IAM]])</f>
        <v>-1.6939251716009541E-3</v>
      </c>
      <c r="C363">
        <f t="shared" si="60"/>
        <v>0</v>
      </c>
      <c r="D363">
        <f t="shared" si="61"/>
        <v>0</v>
      </c>
      <c r="E363">
        <f t="shared" si="62"/>
        <v>0</v>
      </c>
      <c r="F363">
        <f t="shared" si="63"/>
        <v>0</v>
      </c>
      <c r="G363">
        <f t="shared" si="64"/>
        <v>0</v>
      </c>
      <c r="H363">
        <f t="shared" si="65"/>
        <v>0</v>
      </c>
      <c r="I363">
        <f t="shared" si="66"/>
        <v>0</v>
      </c>
      <c r="J363">
        <f t="shared" si="67"/>
        <v>1</v>
      </c>
      <c r="K363">
        <f t="shared" si="68"/>
        <v>0</v>
      </c>
      <c r="L363">
        <f t="shared" si="69"/>
        <v>0</v>
      </c>
      <c r="M363">
        <f t="shared" si="70"/>
        <v>0</v>
      </c>
      <c r="N363">
        <f t="shared" si="71"/>
        <v>0</v>
      </c>
    </row>
    <row r="364" spans="1:14" x14ac:dyDescent="0.35">
      <c r="A364" s="17">
        <v>45140</v>
      </c>
      <c r="B364">
        <f>AVERAGE(Tableau2[[#This Row],[AWB]:[IAM]])</f>
        <v>6.4842539056498187E-3</v>
      </c>
      <c r="C364">
        <f t="shared" si="60"/>
        <v>0</v>
      </c>
      <c r="D364">
        <f t="shared" si="61"/>
        <v>0</v>
      </c>
      <c r="E364">
        <f t="shared" si="62"/>
        <v>0</v>
      </c>
      <c r="F364">
        <f t="shared" si="63"/>
        <v>0</v>
      </c>
      <c r="G364">
        <f t="shared" si="64"/>
        <v>0</v>
      </c>
      <c r="H364">
        <f t="shared" si="65"/>
        <v>0</v>
      </c>
      <c r="I364">
        <f t="shared" si="66"/>
        <v>0</v>
      </c>
      <c r="J364">
        <f t="shared" si="67"/>
        <v>1</v>
      </c>
      <c r="K364">
        <f t="shared" si="68"/>
        <v>0</v>
      </c>
      <c r="L364">
        <f t="shared" si="69"/>
        <v>0</v>
      </c>
      <c r="M364">
        <f t="shared" si="70"/>
        <v>0</v>
      </c>
      <c r="N364">
        <f t="shared" si="71"/>
        <v>0</v>
      </c>
    </row>
    <row r="365" spans="1:14" x14ac:dyDescent="0.35">
      <c r="A365" s="17">
        <v>45141</v>
      </c>
      <c r="B365">
        <f>AVERAGE(Tableau2[[#This Row],[AWB]:[IAM]])</f>
        <v>-4.1198055998207623E-3</v>
      </c>
      <c r="C365">
        <f t="shared" si="60"/>
        <v>0</v>
      </c>
      <c r="D365">
        <f t="shared" si="61"/>
        <v>0</v>
      </c>
      <c r="E365">
        <f t="shared" si="62"/>
        <v>0</v>
      </c>
      <c r="F365">
        <f t="shared" si="63"/>
        <v>0</v>
      </c>
      <c r="G365">
        <f t="shared" si="64"/>
        <v>0</v>
      </c>
      <c r="H365">
        <f t="shared" si="65"/>
        <v>0</v>
      </c>
      <c r="I365">
        <f t="shared" si="66"/>
        <v>0</v>
      </c>
      <c r="J365">
        <f t="shared" si="67"/>
        <v>1</v>
      </c>
      <c r="K365">
        <f t="shared" si="68"/>
        <v>0</v>
      </c>
      <c r="L365">
        <f t="shared" si="69"/>
        <v>0</v>
      </c>
      <c r="M365">
        <f t="shared" si="70"/>
        <v>0</v>
      </c>
      <c r="N365">
        <f t="shared" si="71"/>
        <v>0</v>
      </c>
    </row>
    <row r="366" spans="1:14" x14ac:dyDescent="0.35">
      <c r="A366" s="17">
        <v>45145</v>
      </c>
      <c r="B366">
        <f>AVERAGE(Tableau2[[#This Row],[AWB]:[IAM]])</f>
        <v>-4.8739937044015302E-3</v>
      </c>
      <c r="C366">
        <f t="shared" si="60"/>
        <v>0</v>
      </c>
      <c r="D366">
        <f t="shared" si="61"/>
        <v>0</v>
      </c>
      <c r="E366">
        <f t="shared" si="62"/>
        <v>0</v>
      </c>
      <c r="F366">
        <f t="shared" si="63"/>
        <v>0</v>
      </c>
      <c r="G366">
        <f t="shared" si="64"/>
        <v>0</v>
      </c>
      <c r="H366">
        <f t="shared" si="65"/>
        <v>0</v>
      </c>
      <c r="I366">
        <f t="shared" si="66"/>
        <v>0</v>
      </c>
      <c r="J366">
        <f t="shared" si="67"/>
        <v>1</v>
      </c>
      <c r="K366">
        <f t="shared" si="68"/>
        <v>0</v>
      </c>
      <c r="L366">
        <f t="shared" si="69"/>
        <v>0</v>
      </c>
      <c r="M366">
        <f t="shared" si="70"/>
        <v>0</v>
      </c>
      <c r="N366">
        <f t="shared" si="71"/>
        <v>0</v>
      </c>
    </row>
    <row r="367" spans="1:14" x14ac:dyDescent="0.35">
      <c r="A367" s="17">
        <v>45146</v>
      </c>
      <c r="B367">
        <f>AVERAGE(Tableau2[[#This Row],[AWB]:[IAM]])</f>
        <v>-4.243670457914169E-3</v>
      </c>
      <c r="C367">
        <f t="shared" si="60"/>
        <v>0</v>
      </c>
      <c r="D367">
        <f t="shared" si="61"/>
        <v>0</v>
      </c>
      <c r="E367">
        <f t="shared" si="62"/>
        <v>0</v>
      </c>
      <c r="F367">
        <f t="shared" si="63"/>
        <v>0</v>
      </c>
      <c r="G367">
        <f t="shared" si="64"/>
        <v>0</v>
      </c>
      <c r="H367">
        <f t="shared" si="65"/>
        <v>0</v>
      </c>
      <c r="I367">
        <f t="shared" si="66"/>
        <v>0</v>
      </c>
      <c r="J367">
        <f t="shared" si="67"/>
        <v>1</v>
      </c>
      <c r="K367">
        <f t="shared" si="68"/>
        <v>0</v>
      </c>
      <c r="L367">
        <f t="shared" si="69"/>
        <v>0</v>
      </c>
      <c r="M367">
        <f t="shared" si="70"/>
        <v>0</v>
      </c>
      <c r="N367">
        <f t="shared" si="71"/>
        <v>0</v>
      </c>
    </row>
    <row r="368" spans="1:14" x14ac:dyDescent="0.35">
      <c r="A368" s="17">
        <v>45147</v>
      </c>
      <c r="B368">
        <f>AVERAGE(Tableau2[[#This Row],[AWB]:[IAM]])</f>
        <v>-4.4411205454391424E-3</v>
      </c>
      <c r="C368">
        <f t="shared" si="60"/>
        <v>0</v>
      </c>
      <c r="D368">
        <f t="shared" si="61"/>
        <v>0</v>
      </c>
      <c r="E368">
        <f t="shared" si="62"/>
        <v>0</v>
      </c>
      <c r="F368">
        <f t="shared" si="63"/>
        <v>0</v>
      </c>
      <c r="G368">
        <f t="shared" si="64"/>
        <v>0</v>
      </c>
      <c r="H368">
        <f t="shared" si="65"/>
        <v>0</v>
      </c>
      <c r="I368">
        <f t="shared" si="66"/>
        <v>0</v>
      </c>
      <c r="J368">
        <f t="shared" si="67"/>
        <v>1</v>
      </c>
      <c r="K368">
        <f t="shared" si="68"/>
        <v>0</v>
      </c>
      <c r="L368">
        <f t="shared" si="69"/>
        <v>0</v>
      </c>
      <c r="M368">
        <f t="shared" si="70"/>
        <v>0</v>
      </c>
      <c r="N368">
        <f t="shared" si="71"/>
        <v>0</v>
      </c>
    </row>
    <row r="369" spans="1:14" x14ac:dyDescent="0.35">
      <c r="A369" s="17">
        <v>45148</v>
      </c>
      <c r="B369">
        <f>AVERAGE(Tableau2[[#This Row],[AWB]:[IAM]])</f>
        <v>-1.6203952021279686E-4</v>
      </c>
      <c r="C369">
        <f t="shared" si="60"/>
        <v>0</v>
      </c>
      <c r="D369">
        <f t="shared" si="61"/>
        <v>0</v>
      </c>
      <c r="E369">
        <f t="shared" si="62"/>
        <v>0</v>
      </c>
      <c r="F369">
        <f t="shared" si="63"/>
        <v>0</v>
      </c>
      <c r="G369">
        <f t="shared" si="64"/>
        <v>0</v>
      </c>
      <c r="H369">
        <f t="shared" si="65"/>
        <v>0</v>
      </c>
      <c r="I369">
        <f t="shared" si="66"/>
        <v>0</v>
      </c>
      <c r="J369">
        <f t="shared" si="67"/>
        <v>1</v>
      </c>
      <c r="K369">
        <f t="shared" si="68"/>
        <v>0</v>
      </c>
      <c r="L369">
        <f t="shared" si="69"/>
        <v>0</v>
      </c>
      <c r="M369">
        <f t="shared" si="70"/>
        <v>0</v>
      </c>
      <c r="N369">
        <f t="shared" si="71"/>
        <v>0</v>
      </c>
    </row>
    <row r="370" spans="1:14" x14ac:dyDescent="0.35">
      <c r="A370" s="17">
        <v>45149</v>
      </c>
      <c r="B370">
        <f>AVERAGE(Tableau2[[#This Row],[AWB]:[IAM]])</f>
        <v>3.7122194123454751E-3</v>
      </c>
      <c r="C370">
        <f t="shared" si="60"/>
        <v>0</v>
      </c>
      <c r="D370">
        <f t="shared" si="61"/>
        <v>0</v>
      </c>
      <c r="E370">
        <f t="shared" si="62"/>
        <v>0</v>
      </c>
      <c r="F370">
        <f t="shared" si="63"/>
        <v>0</v>
      </c>
      <c r="G370">
        <f t="shared" si="64"/>
        <v>0</v>
      </c>
      <c r="H370">
        <f t="shared" si="65"/>
        <v>0</v>
      </c>
      <c r="I370">
        <f t="shared" si="66"/>
        <v>0</v>
      </c>
      <c r="J370">
        <f t="shared" si="67"/>
        <v>1</v>
      </c>
      <c r="K370">
        <f t="shared" si="68"/>
        <v>0</v>
      </c>
      <c r="L370">
        <f t="shared" si="69"/>
        <v>0</v>
      </c>
      <c r="M370">
        <f t="shared" si="70"/>
        <v>0</v>
      </c>
      <c r="N370">
        <f t="shared" si="71"/>
        <v>0</v>
      </c>
    </row>
    <row r="371" spans="1:14" x14ac:dyDescent="0.35">
      <c r="A371" s="17">
        <v>45156</v>
      </c>
      <c r="B371">
        <f>AVERAGE(Tableau2[[#This Row],[AWB]:[IAM]])</f>
        <v>-5.3671231906313082E-3</v>
      </c>
      <c r="C371">
        <f t="shared" si="60"/>
        <v>0</v>
      </c>
      <c r="D371">
        <f t="shared" si="61"/>
        <v>0</v>
      </c>
      <c r="E371">
        <f t="shared" si="62"/>
        <v>0</v>
      </c>
      <c r="F371">
        <f t="shared" si="63"/>
        <v>0</v>
      </c>
      <c r="G371">
        <f t="shared" si="64"/>
        <v>0</v>
      </c>
      <c r="H371">
        <f t="shared" si="65"/>
        <v>0</v>
      </c>
      <c r="I371">
        <f t="shared" si="66"/>
        <v>0</v>
      </c>
      <c r="J371">
        <f t="shared" si="67"/>
        <v>1</v>
      </c>
      <c r="K371">
        <f t="shared" si="68"/>
        <v>0</v>
      </c>
      <c r="L371">
        <f t="shared" si="69"/>
        <v>0</v>
      </c>
      <c r="M371">
        <f t="shared" si="70"/>
        <v>0</v>
      </c>
      <c r="N371">
        <f t="shared" si="71"/>
        <v>0</v>
      </c>
    </row>
    <row r="372" spans="1:14" x14ac:dyDescent="0.35">
      <c r="A372" s="17">
        <v>45161</v>
      </c>
      <c r="B372">
        <f>AVERAGE(Tableau2[[#This Row],[AWB]:[IAM]])</f>
        <v>-1.2088426587586716E-2</v>
      </c>
      <c r="C372">
        <f t="shared" si="60"/>
        <v>0</v>
      </c>
      <c r="D372">
        <f t="shared" si="61"/>
        <v>0</v>
      </c>
      <c r="E372">
        <f t="shared" si="62"/>
        <v>0</v>
      </c>
      <c r="F372">
        <f t="shared" si="63"/>
        <v>0</v>
      </c>
      <c r="G372">
        <f t="shared" si="64"/>
        <v>0</v>
      </c>
      <c r="H372">
        <f t="shared" si="65"/>
        <v>0</v>
      </c>
      <c r="I372">
        <f t="shared" si="66"/>
        <v>0</v>
      </c>
      <c r="J372">
        <f t="shared" si="67"/>
        <v>1</v>
      </c>
      <c r="K372">
        <f t="shared" si="68"/>
        <v>0</v>
      </c>
      <c r="L372">
        <f t="shared" si="69"/>
        <v>0</v>
      </c>
      <c r="M372">
        <f t="shared" si="70"/>
        <v>0</v>
      </c>
      <c r="N372">
        <f t="shared" si="71"/>
        <v>0</v>
      </c>
    </row>
    <row r="373" spans="1:14" x14ac:dyDescent="0.35">
      <c r="A373" s="17">
        <v>45166</v>
      </c>
      <c r="B373">
        <f>AVERAGE(Tableau2[[#This Row],[AWB]:[IAM]])</f>
        <v>-3.6244080445305971E-3</v>
      </c>
      <c r="C373">
        <f t="shared" si="60"/>
        <v>0</v>
      </c>
      <c r="D373">
        <f t="shared" si="61"/>
        <v>0</v>
      </c>
      <c r="E373">
        <f t="shared" si="62"/>
        <v>0</v>
      </c>
      <c r="F373">
        <f t="shared" si="63"/>
        <v>0</v>
      </c>
      <c r="G373">
        <f t="shared" si="64"/>
        <v>0</v>
      </c>
      <c r="H373">
        <f t="shared" si="65"/>
        <v>0</v>
      </c>
      <c r="I373">
        <f t="shared" si="66"/>
        <v>0</v>
      </c>
      <c r="J373">
        <f t="shared" si="67"/>
        <v>1</v>
      </c>
      <c r="K373">
        <f t="shared" si="68"/>
        <v>0</v>
      </c>
      <c r="L373">
        <f t="shared" si="69"/>
        <v>0</v>
      </c>
      <c r="M373">
        <f t="shared" si="70"/>
        <v>0</v>
      </c>
      <c r="N373">
        <f t="shared" si="71"/>
        <v>0</v>
      </c>
    </row>
    <row r="374" spans="1:14" x14ac:dyDescent="0.35">
      <c r="A374" s="17">
        <v>45167</v>
      </c>
      <c r="B374">
        <f>AVERAGE(Tableau2[[#This Row],[AWB]:[IAM]])</f>
        <v>1.8233747781731943E-3</v>
      </c>
      <c r="C374">
        <f t="shared" si="60"/>
        <v>0</v>
      </c>
      <c r="D374">
        <f t="shared" si="61"/>
        <v>0</v>
      </c>
      <c r="E374">
        <f t="shared" si="62"/>
        <v>0</v>
      </c>
      <c r="F374">
        <f t="shared" si="63"/>
        <v>0</v>
      </c>
      <c r="G374">
        <f t="shared" si="64"/>
        <v>0</v>
      </c>
      <c r="H374">
        <f t="shared" si="65"/>
        <v>0</v>
      </c>
      <c r="I374">
        <f t="shared" si="66"/>
        <v>0</v>
      </c>
      <c r="J374">
        <f t="shared" si="67"/>
        <v>1</v>
      </c>
      <c r="K374">
        <f t="shared" si="68"/>
        <v>0</v>
      </c>
      <c r="L374">
        <f t="shared" si="69"/>
        <v>0</v>
      </c>
      <c r="M374">
        <f t="shared" si="70"/>
        <v>0</v>
      </c>
      <c r="N374">
        <f t="shared" si="71"/>
        <v>0</v>
      </c>
    </row>
    <row r="375" spans="1:14" x14ac:dyDescent="0.35">
      <c r="A375" s="17">
        <v>45168</v>
      </c>
      <c r="B375">
        <f>AVERAGE(Tableau2[[#This Row],[AWB]:[IAM]])</f>
        <v>1.4524549523182077E-2</v>
      </c>
      <c r="C375">
        <f t="shared" si="60"/>
        <v>0</v>
      </c>
      <c r="D375">
        <f t="shared" si="61"/>
        <v>0</v>
      </c>
      <c r="E375">
        <f t="shared" si="62"/>
        <v>0</v>
      </c>
      <c r="F375">
        <f t="shared" si="63"/>
        <v>0</v>
      </c>
      <c r="G375">
        <f t="shared" si="64"/>
        <v>0</v>
      </c>
      <c r="H375">
        <f t="shared" si="65"/>
        <v>0</v>
      </c>
      <c r="I375">
        <f t="shared" si="66"/>
        <v>0</v>
      </c>
      <c r="J375">
        <f t="shared" si="67"/>
        <v>1</v>
      </c>
      <c r="K375">
        <f t="shared" si="68"/>
        <v>0</v>
      </c>
      <c r="L375">
        <f t="shared" si="69"/>
        <v>0</v>
      </c>
      <c r="M375">
        <f t="shared" si="70"/>
        <v>0</v>
      </c>
      <c r="N375">
        <f t="shared" si="71"/>
        <v>0</v>
      </c>
    </row>
    <row r="376" spans="1:14" x14ac:dyDescent="0.35">
      <c r="A376" s="17">
        <v>45175</v>
      </c>
      <c r="B376">
        <f>AVERAGE(Tableau2[[#This Row],[AWB]:[IAM]])</f>
        <v>3.8012943226404879E-3</v>
      </c>
      <c r="C376">
        <f t="shared" si="60"/>
        <v>0</v>
      </c>
      <c r="D376">
        <f t="shared" si="61"/>
        <v>0</v>
      </c>
      <c r="E376">
        <f t="shared" si="62"/>
        <v>0</v>
      </c>
      <c r="F376">
        <f t="shared" si="63"/>
        <v>0</v>
      </c>
      <c r="G376">
        <f t="shared" si="64"/>
        <v>0</v>
      </c>
      <c r="H376">
        <f t="shared" si="65"/>
        <v>0</v>
      </c>
      <c r="I376">
        <f t="shared" si="66"/>
        <v>0</v>
      </c>
      <c r="J376">
        <f t="shared" si="67"/>
        <v>0</v>
      </c>
      <c r="K376">
        <f t="shared" si="68"/>
        <v>1</v>
      </c>
      <c r="L376">
        <f t="shared" si="69"/>
        <v>0</v>
      </c>
      <c r="M376">
        <f t="shared" si="70"/>
        <v>0</v>
      </c>
      <c r="N376">
        <f t="shared" si="71"/>
        <v>0</v>
      </c>
    </row>
    <row r="377" spans="1:14" x14ac:dyDescent="0.35">
      <c r="A377" s="17">
        <v>45176</v>
      </c>
      <c r="B377">
        <f>AVERAGE(Tableau2[[#This Row],[AWB]:[IAM]])</f>
        <v>-5.2513373220885329E-3</v>
      </c>
      <c r="C377">
        <f t="shared" si="60"/>
        <v>0</v>
      </c>
      <c r="D377">
        <f t="shared" si="61"/>
        <v>0</v>
      </c>
      <c r="E377">
        <f t="shared" si="62"/>
        <v>0</v>
      </c>
      <c r="F377">
        <f t="shared" si="63"/>
        <v>0</v>
      </c>
      <c r="G377">
        <f t="shared" si="64"/>
        <v>0</v>
      </c>
      <c r="H377">
        <f t="shared" si="65"/>
        <v>0</v>
      </c>
      <c r="I377">
        <f t="shared" si="66"/>
        <v>0</v>
      </c>
      <c r="J377">
        <f t="shared" si="67"/>
        <v>0</v>
      </c>
      <c r="K377">
        <f t="shared" si="68"/>
        <v>1</v>
      </c>
      <c r="L377">
        <f t="shared" si="69"/>
        <v>0</v>
      </c>
      <c r="M377">
        <f t="shared" si="70"/>
        <v>0</v>
      </c>
      <c r="N377">
        <f t="shared" si="71"/>
        <v>0</v>
      </c>
    </row>
    <row r="378" spans="1:14" x14ac:dyDescent="0.35">
      <c r="A378" s="17">
        <v>45177</v>
      </c>
      <c r="B378">
        <f>AVERAGE(Tableau2[[#This Row],[AWB]:[IAM]])</f>
        <v>-6.44054810458452E-4</v>
      </c>
      <c r="C378">
        <f t="shared" si="60"/>
        <v>0</v>
      </c>
      <c r="D378">
        <f t="shared" si="61"/>
        <v>0</v>
      </c>
      <c r="E378">
        <f t="shared" si="62"/>
        <v>0</v>
      </c>
      <c r="F378">
        <f t="shared" si="63"/>
        <v>0</v>
      </c>
      <c r="G378">
        <f t="shared" si="64"/>
        <v>0</v>
      </c>
      <c r="H378">
        <f t="shared" si="65"/>
        <v>0</v>
      </c>
      <c r="I378">
        <f t="shared" si="66"/>
        <v>0</v>
      </c>
      <c r="J378">
        <f t="shared" si="67"/>
        <v>0</v>
      </c>
      <c r="K378">
        <f t="shared" si="68"/>
        <v>1</v>
      </c>
      <c r="L378">
        <f t="shared" si="69"/>
        <v>0</v>
      </c>
      <c r="M378">
        <f t="shared" si="70"/>
        <v>0</v>
      </c>
      <c r="N378">
        <f t="shared" si="71"/>
        <v>0</v>
      </c>
    </row>
    <row r="379" spans="1:14" x14ac:dyDescent="0.35">
      <c r="A379" s="17">
        <v>45180</v>
      </c>
      <c r="B379">
        <f>AVERAGE(Tableau2[[#This Row],[AWB]:[IAM]])</f>
        <v>2.8560575107578088E-3</v>
      </c>
      <c r="C379">
        <f t="shared" si="60"/>
        <v>0</v>
      </c>
      <c r="D379">
        <f t="shared" si="61"/>
        <v>0</v>
      </c>
      <c r="E379">
        <f t="shared" si="62"/>
        <v>0</v>
      </c>
      <c r="F379">
        <f t="shared" si="63"/>
        <v>0</v>
      </c>
      <c r="G379">
        <f t="shared" si="64"/>
        <v>0</v>
      </c>
      <c r="H379">
        <f t="shared" si="65"/>
        <v>0</v>
      </c>
      <c r="I379">
        <f t="shared" si="66"/>
        <v>0</v>
      </c>
      <c r="J379">
        <f t="shared" si="67"/>
        <v>0</v>
      </c>
      <c r="K379">
        <f t="shared" si="68"/>
        <v>1</v>
      </c>
      <c r="L379">
        <f t="shared" si="69"/>
        <v>0</v>
      </c>
      <c r="M379">
        <f t="shared" si="70"/>
        <v>0</v>
      </c>
      <c r="N379">
        <f t="shared" si="71"/>
        <v>0</v>
      </c>
    </row>
    <row r="380" spans="1:14" x14ac:dyDescent="0.35">
      <c r="A380" s="17">
        <v>45183</v>
      </c>
      <c r="B380">
        <f>AVERAGE(Tableau2[[#This Row],[AWB]:[IAM]])</f>
        <v>1.9991808477454038E-2</v>
      </c>
      <c r="C380">
        <f t="shared" si="60"/>
        <v>0</v>
      </c>
      <c r="D380">
        <f t="shared" si="61"/>
        <v>0</v>
      </c>
      <c r="E380">
        <f t="shared" si="62"/>
        <v>0</v>
      </c>
      <c r="F380">
        <f t="shared" si="63"/>
        <v>0</v>
      </c>
      <c r="G380">
        <f t="shared" si="64"/>
        <v>0</v>
      </c>
      <c r="H380">
        <f t="shared" si="65"/>
        <v>0</v>
      </c>
      <c r="I380">
        <f t="shared" si="66"/>
        <v>0</v>
      </c>
      <c r="J380">
        <f t="shared" si="67"/>
        <v>0</v>
      </c>
      <c r="K380">
        <f t="shared" si="68"/>
        <v>1</v>
      </c>
      <c r="L380">
        <f t="shared" si="69"/>
        <v>0</v>
      </c>
      <c r="M380">
        <f t="shared" si="70"/>
        <v>0</v>
      </c>
      <c r="N380">
        <f t="shared" si="71"/>
        <v>0</v>
      </c>
    </row>
    <row r="381" spans="1:14" x14ac:dyDescent="0.35">
      <c r="A381" s="17">
        <v>45184</v>
      </c>
      <c r="B381">
        <f>AVERAGE(Tableau2[[#This Row],[AWB]:[IAM]])</f>
        <v>1.6867996121697718E-3</v>
      </c>
      <c r="C381">
        <f t="shared" si="60"/>
        <v>0</v>
      </c>
      <c r="D381">
        <f t="shared" si="61"/>
        <v>0</v>
      </c>
      <c r="E381">
        <f t="shared" si="62"/>
        <v>0</v>
      </c>
      <c r="F381">
        <f t="shared" si="63"/>
        <v>0</v>
      </c>
      <c r="G381">
        <f t="shared" si="64"/>
        <v>0</v>
      </c>
      <c r="H381">
        <f t="shared" si="65"/>
        <v>0</v>
      </c>
      <c r="I381">
        <f t="shared" si="66"/>
        <v>0</v>
      </c>
      <c r="J381">
        <f t="shared" si="67"/>
        <v>0</v>
      </c>
      <c r="K381">
        <f t="shared" si="68"/>
        <v>1</v>
      </c>
      <c r="L381">
        <f t="shared" si="69"/>
        <v>0</v>
      </c>
      <c r="M381">
        <f t="shared" si="70"/>
        <v>0</v>
      </c>
      <c r="N381">
        <f t="shared" si="71"/>
        <v>0</v>
      </c>
    </row>
    <row r="382" spans="1:14" x14ac:dyDescent="0.35">
      <c r="A382" s="17">
        <v>45187</v>
      </c>
      <c r="B382">
        <f>AVERAGE(Tableau2[[#This Row],[AWB]:[IAM]])</f>
        <v>9.3560594869540881E-3</v>
      </c>
      <c r="C382">
        <f t="shared" si="60"/>
        <v>0</v>
      </c>
      <c r="D382">
        <f t="shared" si="61"/>
        <v>0</v>
      </c>
      <c r="E382">
        <f t="shared" si="62"/>
        <v>0</v>
      </c>
      <c r="F382">
        <f t="shared" si="63"/>
        <v>0</v>
      </c>
      <c r="G382">
        <f t="shared" si="64"/>
        <v>0</v>
      </c>
      <c r="H382">
        <f t="shared" si="65"/>
        <v>0</v>
      </c>
      <c r="I382">
        <f t="shared" si="66"/>
        <v>0</v>
      </c>
      <c r="J382">
        <f t="shared" si="67"/>
        <v>0</v>
      </c>
      <c r="K382">
        <f t="shared" si="68"/>
        <v>1</v>
      </c>
      <c r="L382">
        <f t="shared" si="69"/>
        <v>0</v>
      </c>
      <c r="M382">
        <f t="shared" si="70"/>
        <v>0</v>
      </c>
      <c r="N382">
        <f t="shared" si="71"/>
        <v>0</v>
      </c>
    </row>
    <row r="383" spans="1:14" x14ac:dyDescent="0.35">
      <c r="A383" s="17">
        <v>45189</v>
      </c>
      <c r="B383">
        <f>AVERAGE(Tableau2[[#This Row],[AWB]:[IAM]])</f>
        <v>1.2956715984459844E-2</v>
      </c>
      <c r="C383">
        <f t="shared" si="60"/>
        <v>0</v>
      </c>
      <c r="D383">
        <f t="shared" si="61"/>
        <v>0</v>
      </c>
      <c r="E383">
        <f t="shared" si="62"/>
        <v>0</v>
      </c>
      <c r="F383">
        <f t="shared" si="63"/>
        <v>0</v>
      </c>
      <c r="G383">
        <f t="shared" si="64"/>
        <v>0</v>
      </c>
      <c r="H383">
        <f t="shared" si="65"/>
        <v>0</v>
      </c>
      <c r="I383">
        <f t="shared" si="66"/>
        <v>0</v>
      </c>
      <c r="J383">
        <f t="shared" si="67"/>
        <v>0</v>
      </c>
      <c r="K383">
        <f t="shared" si="68"/>
        <v>1</v>
      </c>
      <c r="L383">
        <f t="shared" si="69"/>
        <v>0</v>
      </c>
      <c r="M383">
        <f t="shared" si="70"/>
        <v>0</v>
      </c>
      <c r="N383">
        <f t="shared" si="71"/>
        <v>0</v>
      </c>
    </row>
    <row r="384" spans="1:14" x14ac:dyDescent="0.35">
      <c r="A384" s="17">
        <v>45190</v>
      </c>
      <c r="B384">
        <f>AVERAGE(Tableau2[[#This Row],[AWB]:[IAM]])</f>
        <v>-4.1762452364417442E-4</v>
      </c>
      <c r="C384">
        <f t="shared" si="60"/>
        <v>0</v>
      </c>
      <c r="D384">
        <f t="shared" si="61"/>
        <v>0</v>
      </c>
      <c r="E384">
        <f t="shared" si="62"/>
        <v>0</v>
      </c>
      <c r="F384">
        <f t="shared" si="63"/>
        <v>0</v>
      </c>
      <c r="G384">
        <f t="shared" si="64"/>
        <v>0</v>
      </c>
      <c r="H384">
        <f t="shared" si="65"/>
        <v>0</v>
      </c>
      <c r="I384">
        <f t="shared" si="66"/>
        <v>0</v>
      </c>
      <c r="J384">
        <f t="shared" si="67"/>
        <v>0</v>
      </c>
      <c r="K384">
        <f t="shared" si="68"/>
        <v>1</v>
      </c>
      <c r="L384">
        <f t="shared" si="69"/>
        <v>0</v>
      </c>
      <c r="M384">
        <f t="shared" si="70"/>
        <v>0</v>
      </c>
      <c r="N384">
        <f t="shared" si="71"/>
        <v>0</v>
      </c>
    </row>
    <row r="385" spans="1:14" x14ac:dyDescent="0.35">
      <c r="A385" s="17">
        <v>45191</v>
      </c>
      <c r="B385">
        <f>AVERAGE(Tableau2[[#This Row],[AWB]:[IAM]])</f>
        <v>7.6252956940011376E-3</v>
      </c>
      <c r="C385">
        <f t="shared" si="60"/>
        <v>0</v>
      </c>
      <c r="D385">
        <f t="shared" si="61"/>
        <v>0</v>
      </c>
      <c r="E385">
        <f t="shared" si="62"/>
        <v>0</v>
      </c>
      <c r="F385">
        <f t="shared" si="63"/>
        <v>0</v>
      </c>
      <c r="G385">
        <f t="shared" si="64"/>
        <v>0</v>
      </c>
      <c r="H385">
        <f t="shared" si="65"/>
        <v>0</v>
      </c>
      <c r="I385">
        <f t="shared" si="66"/>
        <v>0</v>
      </c>
      <c r="J385">
        <f t="shared" si="67"/>
        <v>0</v>
      </c>
      <c r="K385">
        <f t="shared" si="68"/>
        <v>1</v>
      </c>
      <c r="L385">
        <f t="shared" si="69"/>
        <v>0</v>
      </c>
      <c r="M385">
        <f t="shared" si="70"/>
        <v>0</v>
      </c>
      <c r="N385">
        <f t="shared" si="71"/>
        <v>0</v>
      </c>
    </row>
    <row r="386" spans="1:14" x14ac:dyDescent="0.35">
      <c r="A386" s="17">
        <v>45195</v>
      </c>
      <c r="B386">
        <f>AVERAGE(Tableau2[[#This Row],[AWB]:[IAM]])</f>
        <v>-2.0330928866594457E-3</v>
      </c>
      <c r="C386">
        <f t="shared" ref="C386:C449" si="72">IF(MONTH(A386)=1,1,0)</f>
        <v>0</v>
      </c>
      <c r="D386">
        <f t="shared" ref="D386:D449" si="73">IF(MONTH(A386)=2,1,0)</f>
        <v>0</v>
      </c>
      <c r="E386">
        <f t="shared" ref="E386:E449" si="74">IF(MONTH(A386)=3,1,0)</f>
        <v>0</v>
      </c>
      <c r="F386">
        <f t="shared" ref="F386:F449" si="75">IF(MONTH(A386)=4,1,0)</f>
        <v>0</v>
      </c>
      <c r="G386">
        <f t="shared" ref="G386:G449" si="76">IF(MONTH(A386)=5,1,0)</f>
        <v>0</v>
      </c>
      <c r="H386">
        <f t="shared" ref="H386:H449" si="77">IF(MONTH(A386)=6,1,0)</f>
        <v>0</v>
      </c>
      <c r="I386">
        <f t="shared" ref="I386:I449" si="78">IF(MONTH(A386)=7,1,0)</f>
        <v>0</v>
      </c>
      <c r="J386">
        <f t="shared" ref="J386:J449" si="79">IF(MONTH(A386)=8,1,0)</f>
        <v>0</v>
      </c>
      <c r="K386">
        <f t="shared" ref="K386:K449" si="80">IF(MONTH(A386)=9,1,0)</f>
        <v>1</v>
      </c>
      <c r="L386">
        <f t="shared" ref="L386:L449" si="81">IF(MONTH(A386)=10,1,0)</f>
        <v>0</v>
      </c>
      <c r="M386">
        <f t="shared" ref="M386:M449" si="82">IF(MONTH(A386)=11,1,0)</f>
        <v>0</v>
      </c>
      <c r="N386">
        <f t="shared" ref="N386:N449" si="83">IF(MONTH(A386)=12,1,0)</f>
        <v>0</v>
      </c>
    </row>
    <row r="387" spans="1:14" x14ac:dyDescent="0.35">
      <c r="A387" s="17">
        <v>45196</v>
      </c>
      <c r="B387">
        <f>AVERAGE(Tableau2[[#This Row],[AWB]:[IAM]])</f>
        <v>-6.4239043312533178E-4</v>
      </c>
      <c r="C387">
        <f t="shared" si="72"/>
        <v>0</v>
      </c>
      <c r="D387">
        <f t="shared" si="73"/>
        <v>0</v>
      </c>
      <c r="E387">
        <f t="shared" si="74"/>
        <v>0</v>
      </c>
      <c r="F387">
        <f t="shared" si="75"/>
        <v>0</v>
      </c>
      <c r="G387">
        <f t="shared" si="76"/>
        <v>0</v>
      </c>
      <c r="H387">
        <f t="shared" si="77"/>
        <v>0</v>
      </c>
      <c r="I387">
        <f t="shared" si="78"/>
        <v>0</v>
      </c>
      <c r="J387">
        <f t="shared" si="79"/>
        <v>0</v>
      </c>
      <c r="K387">
        <f t="shared" si="80"/>
        <v>1</v>
      </c>
      <c r="L387">
        <f t="shared" si="81"/>
        <v>0</v>
      </c>
      <c r="M387">
        <f t="shared" si="82"/>
        <v>0</v>
      </c>
      <c r="N387">
        <f t="shared" si="83"/>
        <v>0</v>
      </c>
    </row>
    <row r="388" spans="1:14" x14ac:dyDescent="0.35">
      <c r="A388" s="17">
        <v>45202</v>
      </c>
      <c r="B388">
        <f>AVERAGE(Tableau2[[#This Row],[AWB]:[IAM]])</f>
        <v>-2.330033531861914E-2</v>
      </c>
      <c r="C388">
        <f t="shared" si="72"/>
        <v>0</v>
      </c>
      <c r="D388">
        <f t="shared" si="73"/>
        <v>0</v>
      </c>
      <c r="E388">
        <f t="shared" si="74"/>
        <v>0</v>
      </c>
      <c r="F388">
        <f t="shared" si="75"/>
        <v>0</v>
      </c>
      <c r="G388">
        <f t="shared" si="76"/>
        <v>0</v>
      </c>
      <c r="H388">
        <f t="shared" si="77"/>
        <v>0</v>
      </c>
      <c r="I388">
        <f t="shared" si="78"/>
        <v>0</v>
      </c>
      <c r="J388">
        <f t="shared" si="79"/>
        <v>0</v>
      </c>
      <c r="K388">
        <f t="shared" si="80"/>
        <v>0</v>
      </c>
      <c r="L388">
        <f t="shared" si="81"/>
        <v>1</v>
      </c>
      <c r="M388">
        <f t="shared" si="82"/>
        <v>0</v>
      </c>
      <c r="N388">
        <f t="shared" si="83"/>
        <v>0</v>
      </c>
    </row>
    <row r="389" spans="1:14" x14ac:dyDescent="0.35">
      <c r="A389" s="17">
        <v>45203</v>
      </c>
      <c r="B389">
        <f>AVERAGE(Tableau2[[#This Row],[AWB]:[IAM]])</f>
        <v>-9.4985883523152556E-3</v>
      </c>
      <c r="C389">
        <f t="shared" si="72"/>
        <v>0</v>
      </c>
      <c r="D389">
        <f t="shared" si="73"/>
        <v>0</v>
      </c>
      <c r="E389">
        <f t="shared" si="74"/>
        <v>0</v>
      </c>
      <c r="F389">
        <f t="shared" si="75"/>
        <v>0</v>
      </c>
      <c r="G389">
        <f t="shared" si="76"/>
        <v>0</v>
      </c>
      <c r="H389">
        <f t="shared" si="77"/>
        <v>0</v>
      </c>
      <c r="I389">
        <f t="shared" si="78"/>
        <v>0</v>
      </c>
      <c r="J389">
        <f t="shared" si="79"/>
        <v>0</v>
      </c>
      <c r="K389">
        <f t="shared" si="80"/>
        <v>0</v>
      </c>
      <c r="L389">
        <f t="shared" si="81"/>
        <v>1</v>
      </c>
      <c r="M389">
        <f t="shared" si="82"/>
        <v>0</v>
      </c>
      <c r="N389">
        <f t="shared" si="83"/>
        <v>0</v>
      </c>
    </row>
    <row r="390" spans="1:14" x14ac:dyDescent="0.35">
      <c r="A390" s="17">
        <v>45204</v>
      </c>
      <c r="B390">
        <f>AVERAGE(Tableau2[[#This Row],[AWB]:[IAM]])</f>
        <v>4.3548822673438327E-2</v>
      </c>
      <c r="C390">
        <f t="shared" si="72"/>
        <v>0</v>
      </c>
      <c r="D390">
        <f t="shared" si="73"/>
        <v>0</v>
      </c>
      <c r="E390">
        <f t="shared" si="74"/>
        <v>0</v>
      </c>
      <c r="F390">
        <f t="shared" si="75"/>
        <v>0</v>
      </c>
      <c r="G390">
        <f t="shared" si="76"/>
        <v>0</v>
      </c>
      <c r="H390">
        <f t="shared" si="77"/>
        <v>0</v>
      </c>
      <c r="I390">
        <f t="shared" si="78"/>
        <v>0</v>
      </c>
      <c r="J390">
        <f t="shared" si="79"/>
        <v>0</v>
      </c>
      <c r="K390">
        <f t="shared" si="80"/>
        <v>0</v>
      </c>
      <c r="L390">
        <f t="shared" si="81"/>
        <v>1</v>
      </c>
      <c r="M390">
        <f t="shared" si="82"/>
        <v>0</v>
      </c>
      <c r="N390">
        <f t="shared" si="83"/>
        <v>0</v>
      </c>
    </row>
    <row r="391" spans="1:14" x14ac:dyDescent="0.35">
      <c r="A391" s="17">
        <v>45205</v>
      </c>
      <c r="B391">
        <f>AVERAGE(Tableau2[[#This Row],[AWB]:[IAM]])</f>
        <v>4.9593444564959861E-3</v>
      </c>
      <c r="C391">
        <f t="shared" si="72"/>
        <v>0</v>
      </c>
      <c r="D391">
        <f t="shared" si="73"/>
        <v>0</v>
      </c>
      <c r="E391">
        <f t="shared" si="74"/>
        <v>0</v>
      </c>
      <c r="F391">
        <f t="shared" si="75"/>
        <v>0</v>
      </c>
      <c r="G391">
        <f t="shared" si="76"/>
        <v>0</v>
      </c>
      <c r="H391">
        <f t="shared" si="77"/>
        <v>0</v>
      </c>
      <c r="I391">
        <f t="shared" si="78"/>
        <v>0</v>
      </c>
      <c r="J391">
        <f t="shared" si="79"/>
        <v>0</v>
      </c>
      <c r="K391">
        <f t="shared" si="80"/>
        <v>0</v>
      </c>
      <c r="L391">
        <f t="shared" si="81"/>
        <v>1</v>
      </c>
      <c r="M391">
        <f t="shared" si="82"/>
        <v>0</v>
      </c>
      <c r="N391">
        <f t="shared" si="83"/>
        <v>0</v>
      </c>
    </row>
    <row r="392" spans="1:14" x14ac:dyDescent="0.35">
      <c r="A392" s="17">
        <v>45217</v>
      </c>
      <c r="B392">
        <f>AVERAGE(Tableau2[[#This Row],[AWB]:[IAM]])</f>
        <v>1.3478146541231329E-2</v>
      </c>
      <c r="C392">
        <f t="shared" si="72"/>
        <v>0</v>
      </c>
      <c r="D392">
        <f t="shared" si="73"/>
        <v>0</v>
      </c>
      <c r="E392">
        <f t="shared" si="74"/>
        <v>0</v>
      </c>
      <c r="F392">
        <f t="shared" si="75"/>
        <v>0</v>
      </c>
      <c r="G392">
        <f t="shared" si="76"/>
        <v>0</v>
      </c>
      <c r="H392">
        <f t="shared" si="77"/>
        <v>0</v>
      </c>
      <c r="I392">
        <f t="shared" si="78"/>
        <v>0</v>
      </c>
      <c r="J392">
        <f t="shared" si="79"/>
        <v>0</v>
      </c>
      <c r="K392">
        <f t="shared" si="80"/>
        <v>0</v>
      </c>
      <c r="L392">
        <f t="shared" si="81"/>
        <v>1</v>
      </c>
      <c r="M392">
        <f t="shared" si="82"/>
        <v>0</v>
      </c>
      <c r="N392">
        <f t="shared" si="83"/>
        <v>0</v>
      </c>
    </row>
    <row r="393" spans="1:14" x14ac:dyDescent="0.35">
      <c r="A393" s="17">
        <v>45240</v>
      </c>
      <c r="B393">
        <f>AVERAGE(Tableau2[[#This Row],[AWB]:[IAM]])</f>
        <v>-2.0176591541679504E-2</v>
      </c>
      <c r="C393">
        <f t="shared" si="72"/>
        <v>0</v>
      </c>
      <c r="D393">
        <f t="shared" si="73"/>
        <v>0</v>
      </c>
      <c r="E393">
        <f t="shared" si="74"/>
        <v>0</v>
      </c>
      <c r="F393">
        <f t="shared" si="75"/>
        <v>0</v>
      </c>
      <c r="G393">
        <f t="shared" si="76"/>
        <v>0</v>
      </c>
      <c r="H393">
        <f t="shared" si="77"/>
        <v>0</v>
      </c>
      <c r="I393">
        <f t="shared" si="78"/>
        <v>0</v>
      </c>
      <c r="J393">
        <f t="shared" si="79"/>
        <v>0</v>
      </c>
      <c r="K393">
        <f t="shared" si="80"/>
        <v>0</v>
      </c>
      <c r="L393">
        <f t="shared" si="81"/>
        <v>0</v>
      </c>
      <c r="M393">
        <f t="shared" si="82"/>
        <v>1</v>
      </c>
      <c r="N393">
        <f t="shared" si="83"/>
        <v>0</v>
      </c>
    </row>
    <row r="394" spans="1:14" x14ac:dyDescent="0.35">
      <c r="A394" s="17">
        <v>45247</v>
      </c>
      <c r="B394">
        <f>AVERAGE(Tableau2[[#This Row],[AWB]:[IAM]])</f>
        <v>-2.4905295106096462E-3</v>
      </c>
      <c r="C394">
        <f t="shared" si="72"/>
        <v>0</v>
      </c>
      <c r="D394">
        <f t="shared" si="73"/>
        <v>0</v>
      </c>
      <c r="E394">
        <f t="shared" si="74"/>
        <v>0</v>
      </c>
      <c r="F394">
        <f t="shared" si="75"/>
        <v>0</v>
      </c>
      <c r="G394">
        <f t="shared" si="76"/>
        <v>0</v>
      </c>
      <c r="H394">
        <f t="shared" si="77"/>
        <v>0</v>
      </c>
      <c r="I394">
        <f t="shared" si="78"/>
        <v>0</v>
      </c>
      <c r="J394">
        <f t="shared" si="79"/>
        <v>0</v>
      </c>
      <c r="K394">
        <f t="shared" si="80"/>
        <v>0</v>
      </c>
      <c r="L394">
        <f t="shared" si="81"/>
        <v>0</v>
      </c>
      <c r="M394">
        <f t="shared" si="82"/>
        <v>1</v>
      </c>
      <c r="N394">
        <f t="shared" si="83"/>
        <v>0</v>
      </c>
    </row>
    <row r="395" spans="1:14" x14ac:dyDescent="0.35">
      <c r="A395" s="17">
        <v>45251</v>
      </c>
      <c r="B395">
        <f>AVERAGE(Tableau2[[#This Row],[AWB]:[IAM]])</f>
        <v>2.5554650086388226E-3</v>
      </c>
      <c r="C395">
        <f t="shared" si="72"/>
        <v>0</v>
      </c>
      <c r="D395">
        <f t="shared" si="73"/>
        <v>0</v>
      </c>
      <c r="E395">
        <f t="shared" si="74"/>
        <v>0</v>
      </c>
      <c r="F395">
        <f t="shared" si="75"/>
        <v>0</v>
      </c>
      <c r="G395">
        <f t="shared" si="76"/>
        <v>0</v>
      </c>
      <c r="H395">
        <f t="shared" si="77"/>
        <v>0</v>
      </c>
      <c r="I395">
        <f t="shared" si="78"/>
        <v>0</v>
      </c>
      <c r="J395">
        <f t="shared" si="79"/>
        <v>0</v>
      </c>
      <c r="K395">
        <f t="shared" si="80"/>
        <v>0</v>
      </c>
      <c r="L395">
        <f t="shared" si="81"/>
        <v>0</v>
      </c>
      <c r="M395">
        <f t="shared" si="82"/>
        <v>1</v>
      </c>
      <c r="N395">
        <f t="shared" si="83"/>
        <v>0</v>
      </c>
    </row>
    <row r="396" spans="1:14" x14ac:dyDescent="0.35">
      <c r="A396" s="17">
        <v>45258</v>
      </c>
      <c r="B396">
        <f>AVERAGE(Tableau2[[#This Row],[AWB]:[IAM]])</f>
        <v>-2.0601694515774205E-2</v>
      </c>
      <c r="C396">
        <f t="shared" si="72"/>
        <v>0</v>
      </c>
      <c r="D396">
        <f t="shared" si="73"/>
        <v>0</v>
      </c>
      <c r="E396">
        <f t="shared" si="74"/>
        <v>0</v>
      </c>
      <c r="F396">
        <f t="shared" si="75"/>
        <v>0</v>
      </c>
      <c r="G396">
        <f t="shared" si="76"/>
        <v>0</v>
      </c>
      <c r="H396">
        <f t="shared" si="77"/>
        <v>0</v>
      </c>
      <c r="I396">
        <f t="shared" si="78"/>
        <v>0</v>
      </c>
      <c r="J396">
        <f t="shared" si="79"/>
        <v>0</v>
      </c>
      <c r="K396">
        <f t="shared" si="80"/>
        <v>0</v>
      </c>
      <c r="L396">
        <f t="shared" si="81"/>
        <v>0</v>
      </c>
      <c r="M396">
        <f t="shared" si="82"/>
        <v>1</v>
      </c>
      <c r="N396">
        <f t="shared" si="83"/>
        <v>0</v>
      </c>
    </row>
    <row r="397" spans="1:14" x14ac:dyDescent="0.35">
      <c r="A397" s="17">
        <v>45261</v>
      </c>
      <c r="B397">
        <f>AVERAGE(Tableau2[[#This Row],[AWB]:[IAM]])</f>
        <v>-1.2579567921824247E-2</v>
      </c>
      <c r="C397">
        <f t="shared" si="72"/>
        <v>0</v>
      </c>
      <c r="D397">
        <f t="shared" si="73"/>
        <v>0</v>
      </c>
      <c r="E397">
        <f t="shared" si="74"/>
        <v>0</v>
      </c>
      <c r="F397">
        <f t="shared" si="75"/>
        <v>0</v>
      </c>
      <c r="G397">
        <f t="shared" si="76"/>
        <v>0</v>
      </c>
      <c r="H397">
        <f t="shared" si="77"/>
        <v>0</v>
      </c>
      <c r="I397">
        <f t="shared" si="78"/>
        <v>0</v>
      </c>
      <c r="J397">
        <f t="shared" si="79"/>
        <v>0</v>
      </c>
      <c r="K397">
        <f t="shared" si="80"/>
        <v>0</v>
      </c>
      <c r="L397">
        <f t="shared" si="81"/>
        <v>0</v>
      </c>
      <c r="M397">
        <f t="shared" si="82"/>
        <v>0</v>
      </c>
      <c r="N397">
        <f t="shared" si="83"/>
        <v>1</v>
      </c>
    </row>
    <row r="398" spans="1:14" x14ac:dyDescent="0.35">
      <c r="A398" s="17">
        <v>45264</v>
      </c>
      <c r="B398">
        <f>AVERAGE(Tableau2[[#This Row],[AWB]:[IAM]])</f>
        <v>3.7067278976639479E-3</v>
      </c>
      <c r="C398">
        <f t="shared" si="72"/>
        <v>0</v>
      </c>
      <c r="D398">
        <f t="shared" si="73"/>
        <v>0</v>
      </c>
      <c r="E398">
        <f t="shared" si="74"/>
        <v>0</v>
      </c>
      <c r="F398">
        <f t="shared" si="75"/>
        <v>0</v>
      </c>
      <c r="G398">
        <f t="shared" si="76"/>
        <v>0</v>
      </c>
      <c r="H398">
        <f t="shared" si="77"/>
        <v>0</v>
      </c>
      <c r="I398">
        <f t="shared" si="78"/>
        <v>0</v>
      </c>
      <c r="J398">
        <f t="shared" si="79"/>
        <v>0</v>
      </c>
      <c r="K398">
        <f t="shared" si="80"/>
        <v>0</v>
      </c>
      <c r="L398">
        <f t="shared" si="81"/>
        <v>0</v>
      </c>
      <c r="M398">
        <f t="shared" si="82"/>
        <v>0</v>
      </c>
      <c r="N398">
        <f t="shared" si="83"/>
        <v>1</v>
      </c>
    </row>
    <row r="399" spans="1:14" x14ac:dyDescent="0.35">
      <c r="A399" s="17">
        <v>45268</v>
      </c>
      <c r="B399">
        <f>AVERAGE(Tableau2[[#This Row],[AWB]:[IAM]])</f>
        <v>5.0444616167516923E-3</v>
      </c>
      <c r="C399">
        <f t="shared" si="72"/>
        <v>0</v>
      </c>
      <c r="D399">
        <f t="shared" si="73"/>
        <v>0</v>
      </c>
      <c r="E399">
        <f t="shared" si="74"/>
        <v>0</v>
      </c>
      <c r="F399">
        <f t="shared" si="75"/>
        <v>0</v>
      </c>
      <c r="G399">
        <f t="shared" si="76"/>
        <v>0</v>
      </c>
      <c r="H399">
        <f t="shared" si="77"/>
        <v>0</v>
      </c>
      <c r="I399">
        <f t="shared" si="78"/>
        <v>0</v>
      </c>
      <c r="J399">
        <f t="shared" si="79"/>
        <v>0</v>
      </c>
      <c r="K399">
        <f t="shared" si="80"/>
        <v>0</v>
      </c>
      <c r="L399">
        <f t="shared" si="81"/>
        <v>0</v>
      </c>
      <c r="M399">
        <f t="shared" si="82"/>
        <v>0</v>
      </c>
      <c r="N399">
        <f t="shared" si="83"/>
        <v>1</v>
      </c>
    </row>
    <row r="400" spans="1:14" x14ac:dyDescent="0.35">
      <c r="A400" s="17">
        <v>45271</v>
      </c>
      <c r="B400">
        <f>AVERAGE(Tableau2[[#This Row],[AWB]:[IAM]])</f>
        <v>6.377592567063101E-3</v>
      </c>
      <c r="C400">
        <f t="shared" si="72"/>
        <v>0</v>
      </c>
      <c r="D400">
        <f t="shared" si="73"/>
        <v>0</v>
      </c>
      <c r="E400">
        <f t="shared" si="74"/>
        <v>0</v>
      </c>
      <c r="F400">
        <f t="shared" si="75"/>
        <v>0</v>
      </c>
      <c r="G400">
        <f t="shared" si="76"/>
        <v>0</v>
      </c>
      <c r="H400">
        <f t="shared" si="77"/>
        <v>0</v>
      </c>
      <c r="I400">
        <f t="shared" si="78"/>
        <v>0</v>
      </c>
      <c r="J400">
        <f t="shared" si="79"/>
        <v>0</v>
      </c>
      <c r="K400">
        <f t="shared" si="80"/>
        <v>0</v>
      </c>
      <c r="L400">
        <f t="shared" si="81"/>
        <v>0</v>
      </c>
      <c r="M400">
        <f t="shared" si="82"/>
        <v>0</v>
      </c>
      <c r="N400">
        <f t="shared" si="83"/>
        <v>1</v>
      </c>
    </row>
    <row r="401" spans="1:14" x14ac:dyDescent="0.35">
      <c r="A401" s="17">
        <v>45272</v>
      </c>
      <c r="B401">
        <f>AVERAGE(Tableau2[[#This Row],[AWB]:[IAM]])</f>
        <v>7.2832059764387511E-4</v>
      </c>
      <c r="C401">
        <f t="shared" si="72"/>
        <v>0</v>
      </c>
      <c r="D401">
        <f t="shared" si="73"/>
        <v>0</v>
      </c>
      <c r="E401">
        <f t="shared" si="74"/>
        <v>0</v>
      </c>
      <c r="F401">
        <f t="shared" si="75"/>
        <v>0</v>
      </c>
      <c r="G401">
        <f t="shared" si="76"/>
        <v>0</v>
      </c>
      <c r="H401">
        <f t="shared" si="77"/>
        <v>0</v>
      </c>
      <c r="I401">
        <f t="shared" si="78"/>
        <v>0</v>
      </c>
      <c r="J401">
        <f t="shared" si="79"/>
        <v>0</v>
      </c>
      <c r="K401">
        <f t="shared" si="80"/>
        <v>0</v>
      </c>
      <c r="L401">
        <f t="shared" si="81"/>
        <v>0</v>
      </c>
      <c r="M401">
        <f t="shared" si="82"/>
        <v>0</v>
      </c>
      <c r="N401">
        <f t="shared" si="83"/>
        <v>1</v>
      </c>
    </row>
    <row r="402" spans="1:14" x14ac:dyDescent="0.35">
      <c r="A402" s="17">
        <v>45273</v>
      </c>
      <c r="B402">
        <f>AVERAGE(Tableau2[[#This Row],[AWB]:[IAM]])</f>
        <v>6.9199819164322048E-3</v>
      </c>
      <c r="C402">
        <f t="shared" si="72"/>
        <v>0</v>
      </c>
      <c r="D402">
        <f t="shared" si="73"/>
        <v>0</v>
      </c>
      <c r="E402">
        <f t="shared" si="74"/>
        <v>0</v>
      </c>
      <c r="F402">
        <f t="shared" si="75"/>
        <v>0</v>
      </c>
      <c r="G402">
        <f t="shared" si="76"/>
        <v>0</v>
      </c>
      <c r="H402">
        <f t="shared" si="77"/>
        <v>0</v>
      </c>
      <c r="I402">
        <f t="shared" si="78"/>
        <v>0</v>
      </c>
      <c r="J402">
        <f t="shared" si="79"/>
        <v>0</v>
      </c>
      <c r="K402">
        <f t="shared" si="80"/>
        <v>0</v>
      </c>
      <c r="L402">
        <f t="shared" si="81"/>
        <v>0</v>
      </c>
      <c r="M402">
        <f t="shared" si="82"/>
        <v>0</v>
      </c>
      <c r="N402">
        <f t="shared" si="83"/>
        <v>1</v>
      </c>
    </row>
    <row r="403" spans="1:14" x14ac:dyDescent="0.35">
      <c r="A403" s="17">
        <v>45274</v>
      </c>
      <c r="B403">
        <f>AVERAGE(Tableau2[[#This Row],[AWB]:[IAM]])</f>
        <v>9.8250783358236494E-3</v>
      </c>
      <c r="C403">
        <f t="shared" si="72"/>
        <v>0</v>
      </c>
      <c r="D403">
        <f t="shared" si="73"/>
        <v>0</v>
      </c>
      <c r="E403">
        <f t="shared" si="74"/>
        <v>0</v>
      </c>
      <c r="F403">
        <f t="shared" si="75"/>
        <v>0</v>
      </c>
      <c r="G403">
        <f t="shared" si="76"/>
        <v>0</v>
      </c>
      <c r="H403">
        <f t="shared" si="77"/>
        <v>0</v>
      </c>
      <c r="I403">
        <f t="shared" si="78"/>
        <v>0</v>
      </c>
      <c r="J403">
        <f t="shared" si="79"/>
        <v>0</v>
      </c>
      <c r="K403">
        <f t="shared" si="80"/>
        <v>0</v>
      </c>
      <c r="L403">
        <f t="shared" si="81"/>
        <v>0</v>
      </c>
      <c r="M403">
        <f t="shared" si="82"/>
        <v>0</v>
      </c>
      <c r="N403">
        <f t="shared" si="83"/>
        <v>1</v>
      </c>
    </row>
    <row r="404" spans="1:14" x14ac:dyDescent="0.35">
      <c r="A404" s="17">
        <v>45275</v>
      </c>
      <c r="B404">
        <f>AVERAGE(Tableau2[[#This Row],[AWB]:[IAM]])</f>
        <v>-6.9454136170158938E-4</v>
      </c>
      <c r="C404">
        <f t="shared" si="72"/>
        <v>0</v>
      </c>
      <c r="D404">
        <f t="shared" si="73"/>
        <v>0</v>
      </c>
      <c r="E404">
        <f t="shared" si="74"/>
        <v>0</v>
      </c>
      <c r="F404">
        <f t="shared" si="75"/>
        <v>0</v>
      </c>
      <c r="G404">
        <f t="shared" si="76"/>
        <v>0</v>
      </c>
      <c r="H404">
        <f t="shared" si="77"/>
        <v>0</v>
      </c>
      <c r="I404">
        <f t="shared" si="78"/>
        <v>0</v>
      </c>
      <c r="J404">
        <f t="shared" si="79"/>
        <v>0</v>
      </c>
      <c r="K404">
        <f t="shared" si="80"/>
        <v>0</v>
      </c>
      <c r="L404">
        <f t="shared" si="81"/>
        <v>0</v>
      </c>
      <c r="M404">
        <f t="shared" si="82"/>
        <v>0</v>
      </c>
      <c r="N404">
        <f t="shared" si="83"/>
        <v>1</v>
      </c>
    </row>
    <row r="405" spans="1:14" x14ac:dyDescent="0.35">
      <c r="A405" s="17">
        <v>45279</v>
      </c>
      <c r="B405">
        <f>AVERAGE(Tableau2[[#This Row],[AWB]:[IAM]])</f>
        <v>3.9215946792013935E-3</v>
      </c>
      <c r="C405">
        <f t="shared" si="72"/>
        <v>0</v>
      </c>
      <c r="D405">
        <f t="shared" si="73"/>
        <v>0</v>
      </c>
      <c r="E405">
        <f t="shared" si="74"/>
        <v>0</v>
      </c>
      <c r="F405">
        <f t="shared" si="75"/>
        <v>0</v>
      </c>
      <c r="G405">
        <f t="shared" si="76"/>
        <v>0</v>
      </c>
      <c r="H405">
        <f t="shared" si="77"/>
        <v>0</v>
      </c>
      <c r="I405">
        <f t="shared" si="78"/>
        <v>0</v>
      </c>
      <c r="J405">
        <f t="shared" si="79"/>
        <v>0</v>
      </c>
      <c r="K405">
        <f t="shared" si="80"/>
        <v>0</v>
      </c>
      <c r="L405">
        <f t="shared" si="81"/>
        <v>0</v>
      </c>
      <c r="M405">
        <f t="shared" si="82"/>
        <v>0</v>
      </c>
      <c r="N405">
        <f t="shared" si="83"/>
        <v>1</v>
      </c>
    </row>
    <row r="406" spans="1:14" x14ac:dyDescent="0.35">
      <c r="A406" s="17">
        <v>45280</v>
      </c>
      <c r="B406">
        <f>AVERAGE(Tableau2[[#This Row],[AWB]:[IAM]])</f>
        <v>2.2500919108643012E-3</v>
      </c>
      <c r="C406">
        <f t="shared" si="72"/>
        <v>0</v>
      </c>
      <c r="D406">
        <f t="shared" si="73"/>
        <v>0</v>
      </c>
      <c r="E406">
        <f t="shared" si="74"/>
        <v>0</v>
      </c>
      <c r="F406">
        <f t="shared" si="75"/>
        <v>0</v>
      </c>
      <c r="G406">
        <f t="shared" si="76"/>
        <v>0</v>
      </c>
      <c r="H406">
        <f t="shared" si="77"/>
        <v>0</v>
      </c>
      <c r="I406">
        <f t="shared" si="78"/>
        <v>0</v>
      </c>
      <c r="J406">
        <f t="shared" si="79"/>
        <v>0</v>
      </c>
      <c r="K406">
        <f t="shared" si="80"/>
        <v>0</v>
      </c>
      <c r="L406">
        <f t="shared" si="81"/>
        <v>0</v>
      </c>
      <c r="M406">
        <f t="shared" si="82"/>
        <v>0</v>
      </c>
      <c r="N406">
        <f t="shared" si="83"/>
        <v>1</v>
      </c>
    </row>
    <row r="407" spans="1:14" x14ac:dyDescent="0.35">
      <c r="A407" s="17">
        <v>45281</v>
      </c>
      <c r="B407">
        <f>AVERAGE(Tableau2[[#This Row],[AWB]:[IAM]])</f>
        <v>-5.118724580630815E-3</v>
      </c>
      <c r="C407">
        <f t="shared" si="72"/>
        <v>0</v>
      </c>
      <c r="D407">
        <f t="shared" si="73"/>
        <v>0</v>
      </c>
      <c r="E407">
        <f t="shared" si="74"/>
        <v>0</v>
      </c>
      <c r="F407">
        <f t="shared" si="75"/>
        <v>0</v>
      </c>
      <c r="G407">
        <f t="shared" si="76"/>
        <v>0</v>
      </c>
      <c r="H407">
        <f t="shared" si="77"/>
        <v>0</v>
      </c>
      <c r="I407">
        <f t="shared" si="78"/>
        <v>0</v>
      </c>
      <c r="J407">
        <f t="shared" si="79"/>
        <v>0</v>
      </c>
      <c r="K407">
        <f t="shared" si="80"/>
        <v>0</v>
      </c>
      <c r="L407">
        <f t="shared" si="81"/>
        <v>0</v>
      </c>
      <c r="M407">
        <f t="shared" si="82"/>
        <v>0</v>
      </c>
      <c r="N407">
        <f t="shared" si="83"/>
        <v>1</v>
      </c>
    </row>
    <row r="408" spans="1:14" x14ac:dyDescent="0.35">
      <c r="A408" s="17">
        <v>45282</v>
      </c>
      <c r="B408">
        <f>AVERAGE(Tableau2[[#This Row],[AWB]:[IAM]])</f>
        <v>-1.0626184536957559E-3</v>
      </c>
      <c r="C408">
        <f t="shared" si="72"/>
        <v>0</v>
      </c>
      <c r="D408">
        <f t="shared" si="73"/>
        <v>0</v>
      </c>
      <c r="E408">
        <f t="shared" si="74"/>
        <v>0</v>
      </c>
      <c r="F408">
        <f t="shared" si="75"/>
        <v>0</v>
      </c>
      <c r="G408">
        <f t="shared" si="76"/>
        <v>0</v>
      </c>
      <c r="H408">
        <f t="shared" si="77"/>
        <v>0</v>
      </c>
      <c r="I408">
        <f t="shared" si="78"/>
        <v>0</v>
      </c>
      <c r="J408">
        <f t="shared" si="79"/>
        <v>0</v>
      </c>
      <c r="K408">
        <f t="shared" si="80"/>
        <v>0</v>
      </c>
      <c r="L408">
        <f t="shared" si="81"/>
        <v>0</v>
      </c>
      <c r="M408">
        <f t="shared" si="82"/>
        <v>0</v>
      </c>
      <c r="N408">
        <f t="shared" si="83"/>
        <v>1</v>
      </c>
    </row>
    <row r="409" spans="1:14" x14ac:dyDescent="0.35">
      <c r="A409" s="17">
        <v>45287</v>
      </c>
      <c r="B409">
        <f>AVERAGE(Tableau2[[#This Row],[AWB]:[IAM]])</f>
        <v>6.6443747001654623E-4</v>
      </c>
      <c r="C409">
        <f t="shared" si="72"/>
        <v>0</v>
      </c>
      <c r="D409">
        <f t="shared" si="73"/>
        <v>0</v>
      </c>
      <c r="E409">
        <f t="shared" si="74"/>
        <v>0</v>
      </c>
      <c r="F409">
        <f t="shared" si="75"/>
        <v>0</v>
      </c>
      <c r="G409">
        <f t="shared" si="76"/>
        <v>0</v>
      </c>
      <c r="H409">
        <f t="shared" si="77"/>
        <v>0</v>
      </c>
      <c r="I409">
        <f t="shared" si="78"/>
        <v>0</v>
      </c>
      <c r="J409">
        <f t="shared" si="79"/>
        <v>0</v>
      </c>
      <c r="K409">
        <f t="shared" si="80"/>
        <v>0</v>
      </c>
      <c r="L409">
        <f t="shared" si="81"/>
        <v>0</v>
      </c>
      <c r="M409">
        <f t="shared" si="82"/>
        <v>0</v>
      </c>
      <c r="N409">
        <f t="shared" si="83"/>
        <v>1</v>
      </c>
    </row>
    <row r="410" spans="1:14" x14ac:dyDescent="0.35">
      <c r="A410" s="17">
        <v>45288</v>
      </c>
      <c r="B410">
        <f>AVERAGE(Tableau2[[#This Row],[AWB]:[IAM]])</f>
        <v>-1.2303286470905181E-2</v>
      </c>
      <c r="C410">
        <f t="shared" si="72"/>
        <v>0</v>
      </c>
      <c r="D410">
        <f t="shared" si="73"/>
        <v>0</v>
      </c>
      <c r="E410">
        <f t="shared" si="74"/>
        <v>0</v>
      </c>
      <c r="F410">
        <f t="shared" si="75"/>
        <v>0</v>
      </c>
      <c r="G410">
        <f t="shared" si="76"/>
        <v>0</v>
      </c>
      <c r="H410">
        <f t="shared" si="77"/>
        <v>0</v>
      </c>
      <c r="I410">
        <f t="shared" si="78"/>
        <v>0</v>
      </c>
      <c r="J410">
        <f t="shared" si="79"/>
        <v>0</v>
      </c>
      <c r="K410">
        <f t="shared" si="80"/>
        <v>0</v>
      </c>
      <c r="L410">
        <f t="shared" si="81"/>
        <v>0</v>
      </c>
      <c r="M410">
        <f t="shared" si="82"/>
        <v>0</v>
      </c>
      <c r="N410">
        <f t="shared" si="83"/>
        <v>1</v>
      </c>
    </row>
    <row r="411" spans="1:14" x14ac:dyDescent="0.35">
      <c r="A411" s="17">
        <v>45289</v>
      </c>
      <c r="B411">
        <f>AVERAGE(Tableau2[[#This Row],[AWB]:[IAM]])</f>
        <v>1.1561811240754763E-2</v>
      </c>
      <c r="C411">
        <f t="shared" si="72"/>
        <v>0</v>
      </c>
      <c r="D411">
        <f t="shared" si="73"/>
        <v>0</v>
      </c>
      <c r="E411">
        <f t="shared" si="74"/>
        <v>0</v>
      </c>
      <c r="F411">
        <f t="shared" si="75"/>
        <v>0</v>
      </c>
      <c r="G411">
        <f t="shared" si="76"/>
        <v>0</v>
      </c>
      <c r="H411">
        <f t="shared" si="77"/>
        <v>0</v>
      </c>
      <c r="I411">
        <f t="shared" si="78"/>
        <v>0</v>
      </c>
      <c r="J411">
        <f t="shared" si="79"/>
        <v>0</v>
      </c>
      <c r="K411">
        <f t="shared" si="80"/>
        <v>0</v>
      </c>
      <c r="L411">
        <f t="shared" si="81"/>
        <v>0</v>
      </c>
      <c r="M411">
        <f t="shared" si="82"/>
        <v>0</v>
      </c>
      <c r="N411">
        <f t="shared" si="83"/>
        <v>1</v>
      </c>
    </row>
    <row r="412" spans="1:14" x14ac:dyDescent="0.35">
      <c r="A412" s="17">
        <v>45294</v>
      </c>
      <c r="B412">
        <f>AVERAGE(Tableau2[[#This Row],[AWB]:[IAM]])</f>
        <v>2.4361968998225018E-2</v>
      </c>
      <c r="C412">
        <f t="shared" si="72"/>
        <v>1</v>
      </c>
      <c r="D412">
        <f t="shared" si="73"/>
        <v>0</v>
      </c>
      <c r="E412">
        <f t="shared" si="74"/>
        <v>0</v>
      </c>
      <c r="F412">
        <f t="shared" si="75"/>
        <v>0</v>
      </c>
      <c r="G412">
        <f t="shared" si="76"/>
        <v>0</v>
      </c>
      <c r="H412">
        <f t="shared" si="77"/>
        <v>0</v>
      </c>
      <c r="I412">
        <f t="shared" si="78"/>
        <v>0</v>
      </c>
      <c r="J412">
        <f t="shared" si="79"/>
        <v>0</v>
      </c>
      <c r="K412">
        <f t="shared" si="80"/>
        <v>0</v>
      </c>
      <c r="L412">
        <f t="shared" si="81"/>
        <v>0</v>
      </c>
      <c r="M412">
        <f t="shared" si="82"/>
        <v>0</v>
      </c>
      <c r="N412">
        <f t="shared" si="83"/>
        <v>0</v>
      </c>
    </row>
    <row r="413" spans="1:14" x14ac:dyDescent="0.35">
      <c r="A413" s="17">
        <v>45295</v>
      </c>
      <c r="B413">
        <f>AVERAGE(Tableau2[[#This Row],[AWB]:[IAM]])</f>
        <v>8.9299731374992714E-3</v>
      </c>
      <c r="C413">
        <f t="shared" si="72"/>
        <v>1</v>
      </c>
      <c r="D413">
        <f t="shared" si="73"/>
        <v>0</v>
      </c>
      <c r="E413">
        <f t="shared" si="74"/>
        <v>0</v>
      </c>
      <c r="F413">
        <f t="shared" si="75"/>
        <v>0</v>
      </c>
      <c r="G413">
        <f t="shared" si="76"/>
        <v>0</v>
      </c>
      <c r="H413">
        <f t="shared" si="77"/>
        <v>0</v>
      </c>
      <c r="I413">
        <f t="shared" si="78"/>
        <v>0</v>
      </c>
      <c r="J413">
        <f t="shared" si="79"/>
        <v>0</v>
      </c>
      <c r="K413">
        <f t="shared" si="80"/>
        <v>0</v>
      </c>
      <c r="L413">
        <f t="shared" si="81"/>
        <v>0</v>
      </c>
      <c r="M413">
        <f t="shared" si="82"/>
        <v>0</v>
      </c>
      <c r="N413">
        <f t="shared" si="83"/>
        <v>0</v>
      </c>
    </row>
    <row r="414" spans="1:14" x14ac:dyDescent="0.35">
      <c r="A414" s="17">
        <v>45296</v>
      </c>
      <c r="B414">
        <f>AVERAGE(Tableau2[[#This Row],[AWB]:[IAM]])</f>
        <v>9.3443072607116168E-3</v>
      </c>
      <c r="C414">
        <f t="shared" si="72"/>
        <v>1</v>
      </c>
      <c r="D414">
        <f t="shared" si="73"/>
        <v>0</v>
      </c>
      <c r="E414">
        <f t="shared" si="74"/>
        <v>0</v>
      </c>
      <c r="F414">
        <f t="shared" si="75"/>
        <v>0</v>
      </c>
      <c r="G414">
        <f t="shared" si="76"/>
        <v>0</v>
      </c>
      <c r="H414">
        <f t="shared" si="77"/>
        <v>0</v>
      </c>
      <c r="I414">
        <f t="shared" si="78"/>
        <v>0</v>
      </c>
      <c r="J414">
        <f t="shared" si="79"/>
        <v>0</v>
      </c>
      <c r="K414">
        <f t="shared" si="80"/>
        <v>0</v>
      </c>
      <c r="L414">
        <f t="shared" si="81"/>
        <v>0</v>
      </c>
      <c r="M414">
        <f t="shared" si="82"/>
        <v>0</v>
      </c>
      <c r="N414">
        <f t="shared" si="83"/>
        <v>0</v>
      </c>
    </row>
    <row r="415" spans="1:14" x14ac:dyDescent="0.35">
      <c r="A415" s="17">
        <v>45299</v>
      </c>
      <c r="B415">
        <f>AVERAGE(Tableau2[[#This Row],[AWB]:[IAM]])</f>
        <v>9.1447429305033176E-3</v>
      </c>
      <c r="C415">
        <f t="shared" si="72"/>
        <v>1</v>
      </c>
      <c r="D415">
        <f t="shared" si="73"/>
        <v>0</v>
      </c>
      <c r="E415">
        <f t="shared" si="74"/>
        <v>0</v>
      </c>
      <c r="F415">
        <f t="shared" si="75"/>
        <v>0</v>
      </c>
      <c r="G415">
        <f t="shared" si="76"/>
        <v>0</v>
      </c>
      <c r="H415">
        <f t="shared" si="77"/>
        <v>0</v>
      </c>
      <c r="I415">
        <f t="shared" si="78"/>
        <v>0</v>
      </c>
      <c r="J415">
        <f t="shared" si="79"/>
        <v>0</v>
      </c>
      <c r="K415">
        <f t="shared" si="80"/>
        <v>0</v>
      </c>
      <c r="L415">
        <f t="shared" si="81"/>
        <v>0</v>
      </c>
      <c r="M415">
        <f t="shared" si="82"/>
        <v>0</v>
      </c>
      <c r="N415">
        <f t="shared" si="83"/>
        <v>0</v>
      </c>
    </row>
    <row r="416" spans="1:14" x14ac:dyDescent="0.35">
      <c r="A416" s="17">
        <v>45301</v>
      </c>
      <c r="B416">
        <f>AVERAGE(Tableau2[[#This Row],[AWB]:[IAM]])</f>
        <v>5.6754576823004202E-3</v>
      </c>
      <c r="C416">
        <f t="shared" si="72"/>
        <v>1</v>
      </c>
      <c r="D416">
        <f t="shared" si="73"/>
        <v>0</v>
      </c>
      <c r="E416">
        <f t="shared" si="74"/>
        <v>0</v>
      </c>
      <c r="F416">
        <f t="shared" si="75"/>
        <v>0</v>
      </c>
      <c r="G416">
        <f t="shared" si="76"/>
        <v>0</v>
      </c>
      <c r="H416">
        <f t="shared" si="77"/>
        <v>0</v>
      </c>
      <c r="I416">
        <f t="shared" si="78"/>
        <v>0</v>
      </c>
      <c r="J416">
        <f t="shared" si="79"/>
        <v>0</v>
      </c>
      <c r="K416">
        <f t="shared" si="80"/>
        <v>0</v>
      </c>
      <c r="L416">
        <f t="shared" si="81"/>
        <v>0</v>
      </c>
      <c r="M416">
        <f t="shared" si="82"/>
        <v>0</v>
      </c>
      <c r="N416">
        <f t="shared" si="83"/>
        <v>0</v>
      </c>
    </row>
    <row r="417" spans="1:14" x14ac:dyDescent="0.35">
      <c r="A417" s="17">
        <v>45303</v>
      </c>
      <c r="B417">
        <f>AVERAGE(Tableau2[[#This Row],[AWB]:[IAM]])</f>
        <v>-3.1477665361057203E-3</v>
      </c>
      <c r="C417">
        <f t="shared" si="72"/>
        <v>1</v>
      </c>
      <c r="D417">
        <f t="shared" si="73"/>
        <v>0</v>
      </c>
      <c r="E417">
        <f t="shared" si="74"/>
        <v>0</v>
      </c>
      <c r="F417">
        <f t="shared" si="75"/>
        <v>0</v>
      </c>
      <c r="G417">
        <f t="shared" si="76"/>
        <v>0</v>
      </c>
      <c r="H417">
        <f t="shared" si="77"/>
        <v>0</v>
      </c>
      <c r="I417">
        <f t="shared" si="78"/>
        <v>0</v>
      </c>
      <c r="J417">
        <f t="shared" si="79"/>
        <v>0</v>
      </c>
      <c r="K417">
        <f t="shared" si="80"/>
        <v>0</v>
      </c>
      <c r="L417">
        <f t="shared" si="81"/>
        <v>0</v>
      </c>
      <c r="M417">
        <f t="shared" si="82"/>
        <v>0</v>
      </c>
      <c r="N417">
        <f t="shared" si="83"/>
        <v>0</v>
      </c>
    </row>
    <row r="418" spans="1:14" x14ac:dyDescent="0.35">
      <c r="A418" s="17">
        <v>45307</v>
      </c>
      <c r="B418">
        <f>AVERAGE(Tableau2[[#This Row],[AWB]:[IAM]])</f>
        <v>-2.6010728062863706E-4</v>
      </c>
      <c r="C418">
        <f t="shared" si="72"/>
        <v>1</v>
      </c>
      <c r="D418">
        <f t="shared" si="73"/>
        <v>0</v>
      </c>
      <c r="E418">
        <f t="shared" si="74"/>
        <v>0</v>
      </c>
      <c r="F418">
        <f t="shared" si="75"/>
        <v>0</v>
      </c>
      <c r="G418">
        <f t="shared" si="76"/>
        <v>0</v>
      </c>
      <c r="H418">
        <f t="shared" si="77"/>
        <v>0</v>
      </c>
      <c r="I418">
        <f t="shared" si="78"/>
        <v>0</v>
      </c>
      <c r="J418">
        <f t="shared" si="79"/>
        <v>0</v>
      </c>
      <c r="K418">
        <f t="shared" si="80"/>
        <v>0</v>
      </c>
      <c r="L418">
        <f t="shared" si="81"/>
        <v>0</v>
      </c>
      <c r="M418">
        <f t="shared" si="82"/>
        <v>0</v>
      </c>
      <c r="N418">
        <f t="shared" si="83"/>
        <v>0</v>
      </c>
    </row>
    <row r="419" spans="1:14" x14ac:dyDescent="0.35">
      <c r="A419" s="17">
        <v>45308</v>
      </c>
      <c r="B419">
        <f>AVERAGE(Tableau2[[#This Row],[AWB]:[IAM]])</f>
        <v>7.9482357693420047E-3</v>
      </c>
      <c r="C419">
        <f t="shared" si="72"/>
        <v>1</v>
      </c>
      <c r="D419">
        <f t="shared" si="73"/>
        <v>0</v>
      </c>
      <c r="E419">
        <f t="shared" si="74"/>
        <v>0</v>
      </c>
      <c r="F419">
        <f t="shared" si="75"/>
        <v>0</v>
      </c>
      <c r="G419">
        <f t="shared" si="76"/>
        <v>0</v>
      </c>
      <c r="H419">
        <f t="shared" si="77"/>
        <v>0</v>
      </c>
      <c r="I419">
        <f t="shared" si="78"/>
        <v>0</v>
      </c>
      <c r="J419">
        <f t="shared" si="79"/>
        <v>0</v>
      </c>
      <c r="K419">
        <f t="shared" si="80"/>
        <v>0</v>
      </c>
      <c r="L419">
        <f t="shared" si="81"/>
        <v>0</v>
      </c>
      <c r="M419">
        <f t="shared" si="82"/>
        <v>0</v>
      </c>
      <c r="N419">
        <f t="shared" si="83"/>
        <v>0</v>
      </c>
    </row>
    <row r="420" spans="1:14" x14ac:dyDescent="0.35">
      <c r="A420" s="17">
        <v>45309</v>
      </c>
      <c r="B420">
        <f>AVERAGE(Tableau2[[#This Row],[AWB]:[IAM]])</f>
        <v>1.1560572931015074E-2</v>
      </c>
      <c r="C420">
        <f t="shared" si="72"/>
        <v>1</v>
      </c>
      <c r="D420">
        <f t="shared" si="73"/>
        <v>0</v>
      </c>
      <c r="E420">
        <f t="shared" si="74"/>
        <v>0</v>
      </c>
      <c r="F420">
        <f t="shared" si="75"/>
        <v>0</v>
      </c>
      <c r="G420">
        <f t="shared" si="76"/>
        <v>0</v>
      </c>
      <c r="H420">
        <f t="shared" si="77"/>
        <v>0</v>
      </c>
      <c r="I420">
        <f t="shared" si="78"/>
        <v>0</v>
      </c>
      <c r="J420">
        <f t="shared" si="79"/>
        <v>0</v>
      </c>
      <c r="K420">
        <f t="shared" si="80"/>
        <v>0</v>
      </c>
      <c r="L420">
        <f t="shared" si="81"/>
        <v>0</v>
      </c>
      <c r="M420">
        <f t="shared" si="82"/>
        <v>0</v>
      </c>
      <c r="N420">
        <f t="shared" si="83"/>
        <v>0</v>
      </c>
    </row>
    <row r="421" spans="1:14" x14ac:dyDescent="0.35">
      <c r="A421" s="17">
        <v>45310</v>
      </c>
      <c r="B421">
        <f>AVERAGE(Tableau2[[#This Row],[AWB]:[IAM]])</f>
        <v>-1.5280852850327021E-3</v>
      </c>
      <c r="C421">
        <f t="shared" si="72"/>
        <v>1</v>
      </c>
      <c r="D421">
        <f t="shared" si="73"/>
        <v>0</v>
      </c>
      <c r="E421">
        <f t="shared" si="74"/>
        <v>0</v>
      </c>
      <c r="F421">
        <f t="shared" si="75"/>
        <v>0</v>
      </c>
      <c r="G421">
        <f t="shared" si="76"/>
        <v>0</v>
      </c>
      <c r="H421">
        <f t="shared" si="77"/>
        <v>0</v>
      </c>
      <c r="I421">
        <f t="shared" si="78"/>
        <v>0</v>
      </c>
      <c r="J421">
        <f t="shared" si="79"/>
        <v>0</v>
      </c>
      <c r="K421">
        <f t="shared" si="80"/>
        <v>0</v>
      </c>
      <c r="L421">
        <f t="shared" si="81"/>
        <v>0</v>
      </c>
      <c r="M421">
        <f t="shared" si="82"/>
        <v>0</v>
      </c>
      <c r="N421">
        <f t="shared" si="83"/>
        <v>0</v>
      </c>
    </row>
    <row r="422" spans="1:14" x14ac:dyDescent="0.35">
      <c r="A422" s="17">
        <v>45314</v>
      </c>
      <c r="B422">
        <f>AVERAGE(Tableau2[[#This Row],[AWB]:[IAM]])</f>
        <v>1.0866867705643834E-2</v>
      </c>
      <c r="C422">
        <f t="shared" si="72"/>
        <v>1</v>
      </c>
      <c r="D422">
        <f t="shared" si="73"/>
        <v>0</v>
      </c>
      <c r="E422">
        <f t="shared" si="74"/>
        <v>0</v>
      </c>
      <c r="F422">
        <f t="shared" si="75"/>
        <v>0</v>
      </c>
      <c r="G422">
        <f t="shared" si="76"/>
        <v>0</v>
      </c>
      <c r="H422">
        <f t="shared" si="77"/>
        <v>0</v>
      </c>
      <c r="I422">
        <f t="shared" si="78"/>
        <v>0</v>
      </c>
      <c r="J422">
        <f t="shared" si="79"/>
        <v>0</v>
      </c>
      <c r="K422">
        <f t="shared" si="80"/>
        <v>0</v>
      </c>
      <c r="L422">
        <f t="shared" si="81"/>
        <v>0</v>
      </c>
      <c r="M422">
        <f t="shared" si="82"/>
        <v>0</v>
      </c>
      <c r="N422">
        <f t="shared" si="83"/>
        <v>0</v>
      </c>
    </row>
    <row r="423" spans="1:14" x14ac:dyDescent="0.35">
      <c r="A423" s="17">
        <v>45315</v>
      </c>
      <c r="B423">
        <f>AVERAGE(Tableau2[[#This Row],[AWB]:[IAM]])</f>
        <v>-1.280504830818247E-4</v>
      </c>
      <c r="C423">
        <f t="shared" si="72"/>
        <v>1</v>
      </c>
      <c r="D423">
        <f t="shared" si="73"/>
        <v>0</v>
      </c>
      <c r="E423">
        <f t="shared" si="74"/>
        <v>0</v>
      </c>
      <c r="F423">
        <f t="shared" si="75"/>
        <v>0</v>
      </c>
      <c r="G423">
        <f t="shared" si="76"/>
        <v>0</v>
      </c>
      <c r="H423">
        <f t="shared" si="77"/>
        <v>0</v>
      </c>
      <c r="I423">
        <f t="shared" si="78"/>
        <v>0</v>
      </c>
      <c r="J423">
        <f t="shared" si="79"/>
        <v>0</v>
      </c>
      <c r="K423">
        <f t="shared" si="80"/>
        <v>0</v>
      </c>
      <c r="L423">
        <f t="shared" si="81"/>
        <v>0</v>
      </c>
      <c r="M423">
        <f t="shared" si="82"/>
        <v>0</v>
      </c>
      <c r="N423">
        <f t="shared" si="83"/>
        <v>0</v>
      </c>
    </row>
    <row r="424" spans="1:14" x14ac:dyDescent="0.35">
      <c r="A424" s="17">
        <v>45317</v>
      </c>
      <c r="B424">
        <f>AVERAGE(Tableau2[[#This Row],[AWB]:[IAM]])</f>
        <v>-8.2643457014937721E-3</v>
      </c>
      <c r="C424">
        <f t="shared" si="72"/>
        <v>1</v>
      </c>
      <c r="D424">
        <f t="shared" si="73"/>
        <v>0</v>
      </c>
      <c r="E424">
        <f t="shared" si="74"/>
        <v>0</v>
      </c>
      <c r="F424">
        <f t="shared" si="75"/>
        <v>0</v>
      </c>
      <c r="G424">
        <f t="shared" si="76"/>
        <v>0</v>
      </c>
      <c r="H424">
        <f t="shared" si="77"/>
        <v>0</v>
      </c>
      <c r="I424">
        <f t="shared" si="78"/>
        <v>0</v>
      </c>
      <c r="J424">
        <f t="shared" si="79"/>
        <v>0</v>
      </c>
      <c r="K424">
        <f t="shared" si="80"/>
        <v>0</v>
      </c>
      <c r="L424">
        <f t="shared" si="81"/>
        <v>0</v>
      </c>
      <c r="M424">
        <f t="shared" si="82"/>
        <v>0</v>
      </c>
      <c r="N424">
        <f t="shared" si="83"/>
        <v>0</v>
      </c>
    </row>
    <row r="425" spans="1:14" x14ac:dyDescent="0.35">
      <c r="A425" s="17">
        <v>45320</v>
      </c>
      <c r="B425">
        <f>AVERAGE(Tableau2[[#This Row],[AWB]:[IAM]])</f>
        <v>-9.9035214407789222E-3</v>
      </c>
      <c r="C425">
        <f t="shared" si="72"/>
        <v>1</v>
      </c>
      <c r="D425">
        <f t="shared" si="73"/>
        <v>0</v>
      </c>
      <c r="E425">
        <f t="shared" si="74"/>
        <v>0</v>
      </c>
      <c r="F425">
        <f t="shared" si="75"/>
        <v>0</v>
      </c>
      <c r="G425">
        <f t="shared" si="76"/>
        <v>0</v>
      </c>
      <c r="H425">
        <f t="shared" si="77"/>
        <v>0</v>
      </c>
      <c r="I425">
        <f t="shared" si="78"/>
        <v>0</v>
      </c>
      <c r="J425">
        <f t="shared" si="79"/>
        <v>0</v>
      </c>
      <c r="K425">
        <f t="shared" si="80"/>
        <v>0</v>
      </c>
      <c r="L425">
        <f t="shared" si="81"/>
        <v>0</v>
      </c>
      <c r="M425">
        <f t="shared" si="82"/>
        <v>0</v>
      </c>
      <c r="N425">
        <f t="shared" si="83"/>
        <v>0</v>
      </c>
    </row>
    <row r="426" spans="1:14" x14ac:dyDescent="0.35">
      <c r="A426" s="17">
        <v>45321</v>
      </c>
      <c r="B426">
        <f>AVERAGE(Tableau2[[#This Row],[AWB]:[IAM]])</f>
        <v>1.4804625851323552E-4</v>
      </c>
      <c r="C426">
        <f t="shared" si="72"/>
        <v>1</v>
      </c>
      <c r="D426">
        <f t="shared" si="73"/>
        <v>0</v>
      </c>
      <c r="E426">
        <f t="shared" si="74"/>
        <v>0</v>
      </c>
      <c r="F426">
        <f t="shared" si="75"/>
        <v>0</v>
      </c>
      <c r="G426">
        <f t="shared" si="76"/>
        <v>0</v>
      </c>
      <c r="H426">
        <f t="shared" si="77"/>
        <v>0</v>
      </c>
      <c r="I426">
        <f t="shared" si="78"/>
        <v>0</v>
      </c>
      <c r="J426">
        <f t="shared" si="79"/>
        <v>0</v>
      </c>
      <c r="K426">
        <f t="shared" si="80"/>
        <v>0</v>
      </c>
      <c r="L426">
        <f t="shared" si="81"/>
        <v>0</v>
      </c>
      <c r="M426">
        <f t="shared" si="82"/>
        <v>0</v>
      </c>
      <c r="N426">
        <f t="shared" si="83"/>
        <v>0</v>
      </c>
    </row>
    <row r="427" spans="1:14" x14ac:dyDescent="0.35">
      <c r="A427" s="17">
        <v>45323</v>
      </c>
      <c r="B427">
        <f>AVERAGE(Tableau2[[#This Row],[AWB]:[IAM]])</f>
        <v>1.0063438472418839E-3</v>
      </c>
      <c r="C427">
        <f t="shared" si="72"/>
        <v>0</v>
      </c>
      <c r="D427">
        <f t="shared" si="73"/>
        <v>1</v>
      </c>
      <c r="E427">
        <f t="shared" si="74"/>
        <v>0</v>
      </c>
      <c r="F427">
        <f t="shared" si="75"/>
        <v>0</v>
      </c>
      <c r="G427">
        <f t="shared" si="76"/>
        <v>0</v>
      </c>
      <c r="H427">
        <f t="shared" si="77"/>
        <v>0</v>
      </c>
      <c r="I427">
        <f t="shared" si="78"/>
        <v>0</v>
      </c>
      <c r="J427">
        <f t="shared" si="79"/>
        <v>0</v>
      </c>
      <c r="K427">
        <f t="shared" si="80"/>
        <v>0</v>
      </c>
      <c r="L427">
        <f t="shared" si="81"/>
        <v>0</v>
      </c>
      <c r="M427">
        <f t="shared" si="82"/>
        <v>0</v>
      </c>
      <c r="N427">
        <f t="shared" si="83"/>
        <v>0</v>
      </c>
    </row>
    <row r="428" spans="1:14" x14ac:dyDescent="0.35">
      <c r="A428" s="17">
        <v>45324</v>
      </c>
      <c r="B428">
        <f>AVERAGE(Tableau2[[#This Row],[AWB]:[IAM]])</f>
        <v>-6.3074514875748845E-3</v>
      </c>
      <c r="C428">
        <f t="shared" si="72"/>
        <v>0</v>
      </c>
      <c r="D428">
        <f t="shared" si="73"/>
        <v>1</v>
      </c>
      <c r="E428">
        <f t="shared" si="74"/>
        <v>0</v>
      </c>
      <c r="F428">
        <f t="shared" si="75"/>
        <v>0</v>
      </c>
      <c r="G428">
        <f t="shared" si="76"/>
        <v>0</v>
      </c>
      <c r="H428">
        <f t="shared" si="77"/>
        <v>0</v>
      </c>
      <c r="I428">
        <f t="shared" si="78"/>
        <v>0</v>
      </c>
      <c r="J428">
        <f t="shared" si="79"/>
        <v>0</v>
      </c>
      <c r="K428">
        <f t="shared" si="80"/>
        <v>0</v>
      </c>
      <c r="L428">
        <f t="shared" si="81"/>
        <v>0</v>
      </c>
      <c r="M428">
        <f t="shared" si="82"/>
        <v>0</v>
      </c>
      <c r="N428">
        <f t="shared" si="83"/>
        <v>0</v>
      </c>
    </row>
    <row r="429" spans="1:14" x14ac:dyDescent="0.35">
      <c r="A429" s="17">
        <v>45328</v>
      </c>
      <c r="B429">
        <f>AVERAGE(Tableau2[[#This Row],[AWB]:[IAM]])</f>
        <v>7.4496326150192685E-3</v>
      </c>
      <c r="C429">
        <f t="shared" si="72"/>
        <v>0</v>
      </c>
      <c r="D429">
        <f t="shared" si="73"/>
        <v>1</v>
      </c>
      <c r="E429">
        <f t="shared" si="74"/>
        <v>0</v>
      </c>
      <c r="F429">
        <f t="shared" si="75"/>
        <v>0</v>
      </c>
      <c r="G429">
        <f t="shared" si="76"/>
        <v>0</v>
      </c>
      <c r="H429">
        <f t="shared" si="77"/>
        <v>0</v>
      </c>
      <c r="I429">
        <f t="shared" si="78"/>
        <v>0</v>
      </c>
      <c r="J429">
        <f t="shared" si="79"/>
        <v>0</v>
      </c>
      <c r="K429">
        <f t="shared" si="80"/>
        <v>0</v>
      </c>
      <c r="L429">
        <f t="shared" si="81"/>
        <v>0</v>
      </c>
      <c r="M429">
        <f t="shared" si="82"/>
        <v>0</v>
      </c>
      <c r="N429">
        <f t="shared" si="83"/>
        <v>0</v>
      </c>
    </row>
    <row r="430" spans="1:14" x14ac:dyDescent="0.35">
      <c r="A430" s="17">
        <v>45329</v>
      </c>
      <c r="B430">
        <f>AVERAGE(Tableau2[[#This Row],[AWB]:[IAM]])</f>
        <v>-2.2123119646331613E-3</v>
      </c>
      <c r="C430">
        <f t="shared" si="72"/>
        <v>0</v>
      </c>
      <c r="D430">
        <f t="shared" si="73"/>
        <v>1</v>
      </c>
      <c r="E430">
        <f t="shared" si="74"/>
        <v>0</v>
      </c>
      <c r="F430">
        <f t="shared" si="75"/>
        <v>0</v>
      </c>
      <c r="G430">
        <f t="shared" si="76"/>
        <v>0</v>
      </c>
      <c r="H430">
        <f t="shared" si="77"/>
        <v>0</v>
      </c>
      <c r="I430">
        <f t="shared" si="78"/>
        <v>0</v>
      </c>
      <c r="J430">
        <f t="shared" si="79"/>
        <v>0</v>
      </c>
      <c r="K430">
        <f t="shared" si="80"/>
        <v>0</v>
      </c>
      <c r="L430">
        <f t="shared" si="81"/>
        <v>0</v>
      </c>
      <c r="M430">
        <f t="shared" si="82"/>
        <v>0</v>
      </c>
      <c r="N430">
        <f t="shared" si="83"/>
        <v>0</v>
      </c>
    </row>
    <row r="431" spans="1:14" x14ac:dyDescent="0.35">
      <c r="A431" s="17">
        <v>45331</v>
      </c>
      <c r="B431">
        <f>AVERAGE(Tableau2[[#This Row],[AWB]:[IAM]])</f>
        <v>4.3805928149943862E-3</v>
      </c>
      <c r="C431">
        <f t="shared" si="72"/>
        <v>0</v>
      </c>
      <c r="D431">
        <f t="shared" si="73"/>
        <v>1</v>
      </c>
      <c r="E431">
        <f t="shared" si="74"/>
        <v>0</v>
      </c>
      <c r="F431">
        <f t="shared" si="75"/>
        <v>0</v>
      </c>
      <c r="G431">
        <f t="shared" si="76"/>
        <v>0</v>
      </c>
      <c r="H431">
        <f t="shared" si="77"/>
        <v>0</v>
      </c>
      <c r="I431">
        <f t="shared" si="78"/>
        <v>0</v>
      </c>
      <c r="J431">
        <f t="shared" si="79"/>
        <v>0</v>
      </c>
      <c r="K431">
        <f t="shared" si="80"/>
        <v>0</v>
      </c>
      <c r="L431">
        <f t="shared" si="81"/>
        <v>0</v>
      </c>
      <c r="M431">
        <f t="shared" si="82"/>
        <v>0</v>
      </c>
      <c r="N431">
        <f t="shared" si="83"/>
        <v>0</v>
      </c>
    </row>
    <row r="432" spans="1:14" x14ac:dyDescent="0.35">
      <c r="A432" s="17">
        <v>45334</v>
      </c>
      <c r="B432">
        <f>AVERAGE(Tableau2[[#This Row],[AWB]:[IAM]])</f>
        <v>-6.8456245906384704E-4</v>
      </c>
      <c r="C432">
        <f t="shared" si="72"/>
        <v>0</v>
      </c>
      <c r="D432">
        <f t="shared" si="73"/>
        <v>1</v>
      </c>
      <c r="E432">
        <f t="shared" si="74"/>
        <v>0</v>
      </c>
      <c r="F432">
        <f t="shared" si="75"/>
        <v>0</v>
      </c>
      <c r="G432">
        <f t="shared" si="76"/>
        <v>0</v>
      </c>
      <c r="H432">
        <f t="shared" si="77"/>
        <v>0</v>
      </c>
      <c r="I432">
        <f t="shared" si="78"/>
        <v>0</v>
      </c>
      <c r="J432">
        <f t="shared" si="79"/>
        <v>0</v>
      </c>
      <c r="K432">
        <f t="shared" si="80"/>
        <v>0</v>
      </c>
      <c r="L432">
        <f t="shared" si="81"/>
        <v>0</v>
      </c>
      <c r="M432">
        <f t="shared" si="82"/>
        <v>0</v>
      </c>
      <c r="N432">
        <f t="shared" si="83"/>
        <v>0</v>
      </c>
    </row>
    <row r="433" spans="1:14" x14ac:dyDescent="0.35">
      <c r="A433" s="17">
        <v>45335</v>
      </c>
      <c r="B433">
        <f>AVERAGE(Tableau2[[#This Row],[AWB]:[IAM]])</f>
        <v>-2.3644421315006264E-3</v>
      </c>
      <c r="C433">
        <f t="shared" si="72"/>
        <v>0</v>
      </c>
      <c r="D433">
        <f t="shared" si="73"/>
        <v>1</v>
      </c>
      <c r="E433">
        <f t="shared" si="74"/>
        <v>0</v>
      </c>
      <c r="F433">
        <f t="shared" si="75"/>
        <v>0</v>
      </c>
      <c r="G433">
        <f t="shared" si="76"/>
        <v>0</v>
      </c>
      <c r="H433">
        <f t="shared" si="77"/>
        <v>0</v>
      </c>
      <c r="I433">
        <f t="shared" si="78"/>
        <v>0</v>
      </c>
      <c r="J433">
        <f t="shared" si="79"/>
        <v>0</v>
      </c>
      <c r="K433">
        <f t="shared" si="80"/>
        <v>0</v>
      </c>
      <c r="L433">
        <f t="shared" si="81"/>
        <v>0</v>
      </c>
      <c r="M433">
        <f t="shared" si="82"/>
        <v>0</v>
      </c>
      <c r="N433">
        <f t="shared" si="83"/>
        <v>0</v>
      </c>
    </row>
    <row r="434" spans="1:14" x14ac:dyDescent="0.35">
      <c r="A434" s="17">
        <v>45336</v>
      </c>
      <c r="B434">
        <f>AVERAGE(Tableau2[[#This Row],[AWB]:[IAM]])</f>
        <v>3.6292478707455589E-3</v>
      </c>
      <c r="C434">
        <f t="shared" si="72"/>
        <v>0</v>
      </c>
      <c r="D434">
        <f t="shared" si="73"/>
        <v>1</v>
      </c>
      <c r="E434">
        <f t="shared" si="74"/>
        <v>0</v>
      </c>
      <c r="F434">
        <f t="shared" si="75"/>
        <v>0</v>
      </c>
      <c r="G434">
        <f t="shared" si="76"/>
        <v>0</v>
      </c>
      <c r="H434">
        <f t="shared" si="77"/>
        <v>0</v>
      </c>
      <c r="I434">
        <f t="shared" si="78"/>
        <v>0</v>
      </c>
      <c r="J434">
        <f t="shared" si="79"/>
        <v>0</v>
      </c>
      <c r="K434">
        <f t="shared" si="80"/>
        <v>0</v>
      </c>
      <c r="L434">
        <f t="shared" si="81"/>
        <v>0</v>
      </c>
      <c r="M434">
        <f t="shared" si="82"/>
        <v>0</v>
      </c>
      <c r="N434">
        <f t="shared" si="83"/>
        <v>0</v>
      </c>
    </row>
    <row r="435" spans="1:14" x14ac:dyDescent="0.35">
      <c r="A435" s="17">
        <v>45338</v>
      </c>
      <c r="B435">
        <f>AVERAGE(Tableau2[[#This Row],[AWB]:[IAM]])</f>
        <v>1.5973598139742543E-2</v>
      </c>
      <c r="C435">
        <f t="shared" si="72"/>
        <v>0</v>
      </c>
      <c r="D435">
        <f t="shared" si="73"/>
        <v>1</v>
      </c>
      <c r="E435">
        <f t="shared" si="74"/>
        <v>0</v>
      </c>
      <c r="F435">
        <f t="shared" si="75"/>
        <v>0</v>
      </c>
      <c r="G435">
        <f t="shared" si="76"/>
        <v>0</v>
      </c>
      <c r="H435">
        <f t="shared" si="77"/>
        <v>0</v>
      </c>
      <c r="I435">
        <f t="shared" si="78"/>
        <v>0</v>
      </c>
      <c r="J435">
        <f t="shared" si="79"/>
        <v>0</v>
      </c>
      <c r="K435">
        <f t="shared" si="80"/>
        <v>0</v>
      </c>
      <c r="L435">
        <f t="shared" si="81"/>
        <v>0</v>
      </c>
      <c r="M435">
        <f t="shared" si="82"/>
        <v>0</v>
      </c>
      <c r="N435">
        <f t="shared" si="83"/>
        <v>0</v>
      </c>
    </row>
    <row r="436" spans="1:14" x14ac:dyDescent="0.35">
      <c r="A436" s="17">
        <v>45343</v>
      </c>
      <c r="B436">
        <f>AVERAGE(Tableau2[[#This Row],[AWB]:[IAM]])</f>
        <v>4.5639794014993044E-3</v>
      </c>
      <c r="C436">
        <f t="shared" si="72"/>
        <v>0</v>
      </c>
      <c r="D436">
        <f t="shared" si="73"/>
        <v>1</v>
      </c>
      <c r="E436">
        <f t="shared" si="74"/>
        <v>0</v>
      </c>
      <c r="F436">
        <f t="shared" si="75"/>
        <v>0</v>
      </c>
      <c r="G436">
        <f t="shared" si="76"/>
        <v>0</v>
      </c>
      <c r="H436">
        <f t="shared" si="77"/>
        <v>0</v>
      </c>
      <c r="I436">
        <f t="shared" si="78"/>
        <v>0</v>
      </c>
      <c r="J436">
        <f t="shared" si="79"/>
        <v>0</v>
      </c>
      <c r="K436">
        <f t="shared" si="80"/>
        <v>0</v>
      </c>
      <c r="L436">
        <f t="shared" si="81"/>
        <v>0</v>
      </c>
      <c r="M436">
        <f t="shared" si="82"/>
        <v>0</v>
      </c>
      <c r="N436">
        <f t="shared" si="83"/>
        <v>0</v>
      </c>
    </row>
    <row r="437" spans="1:14" x14ac:dyDescent="0.35">
      <c r="A437" s="17">
        <v>45344</v>
      </c>
      <c r="B437">
        <f>AVERAGE(Tableau2[[#This Row],[AWB]:[IAM]])</f>
        <v>6.1002125241256941E-3</v>
      </c>
      <c r="C437">
        <f t="shared" si="72"/>
        <v>0</v>
      </c>
      <c r="D437">
        <f t="shared" si="73"/>
        <v>1</v>
      </c>
      <c r="E437">
        <f t="shared" si="74"/>
        <v>0</v>
      </c>
      <c r="F437">
        <f t="shared" si="75"/>
        <v>0</v>
      </c>
      <c r="G437">
        <f t="shared" si="76"/>
        <v>0</v>
      </c>
      <c r="H437">
        <f t="shared" si="77"/>
        <v>0</v>
      </c>
      <c r="I437">
        <f t="shared" si="78"/>
        <v>0</v>
      </c>
      <c r="J437">
        <f t="shared" si="79"/>
        <v>0</v>
      </c>
      <c r="K437">
        <f t="shared" si="80"/>
        <v>0</v>
      </c>
      <c r="L437">
        <f t="shared" si="81"/>
        <v>0</v>
      </c>
      <c r="M437">
        <f t="shared" si="82"/>
        <v>0</v>
      </c>
      <c r="N437">
        <f t="shared" si="83"/>
        <v>0</v>
      </c>
    </row>
    <row r="438" spans="1:14" x14ac:dyDescent="0.35">
      <c r="A438" s="17">
        <v>45345</v>
      </c>
      <c r="B438">
        <f>AVERAGE(Tableau2[[#This Row],[AWB]:[IAM]])</f>
        <v>1.3193837034364332E-2</v>
      </c>
      <c r="C438">
        <f t="shared" si="72"/>
        <v>0</v>
      </c>
      <c r="D438">
        <f t="shared" si="73"/>
        <v>1</v>
      </c>
      <c r="E438">
        <f t="shared" si="74"/>
        <v>0</v>
      </c>
      <c r="F438">
        <f t="shared" si="75"/>
        <v>0</v>
      </c>
      <c r="G438">
        <f t="shared" si="76"/>
        <v>0</v>
      </c>
      <c r="H438">
        <f t="shared" si="77"/>
        <v>0</v>
      </c>
      <c r="I438">
        <f t="shared" si="78"/>
        <v>0</v>
      </c>
      <c r="J438">
        <f t="shared" si="79"/>
        <v>0</v>
      </c>
      <c r="K438">
        <f t="shared" si="80"/>
        <v>0</v>
      </c>
      <c r="L438">
        <f t="shared" si="81"/>
        <v>0</v>
      </c>
      <c r="M438">
        <f t="shared" si="82"/>
        <v>0</v>
      </c>
      <c r="N438">
        <f t="shared" si="83"/>
        <v>0</v>
      </c>
    </row>
    <row r="439" spans="1:14" x14ac:dyDescent="0.35">
      <c r="A439" s="17">
        <v>45348</v>
      </c>
      <c r="B439">
        <f>AVERAGE(Tableau2[[#This Row],[AWB]:[IAM]])</f>
        <v>3.4671088537568855E-3</v>
      </c>
      <c r="C439">
        <f t="shared" si="72"/>
        <v>0</v>
      </c>
      <c r="D439">
        <f t="shared" si="73"/>
        <v>1</v>
      </c>
      <c r="E439">
        <f t="shared" si="74"/>
        <v>0</v>
      </c>
      <c r="F439">
        <f t="shared" si="75"/>
        <v>0</v>
      </c>
      <c r="G439">
        <f t="shared" si="76"/>
        <v>0</v>
      </c>
      <c r="H439">
        <f t="shared" si="77"/>
        <v>0</v>
      </c>
      <c r="I439">
        <f t="shared" si="78"/>
        <v>0</v>
      </c>
      <c r="J439">
        <f t="shared" si="79"/>
        <v>0</v>
      </c>
      <c r="K439">
        <f t="shared" si="80"/>
        <v>0</v>
      </c>
      <c r="L439">
        <f t="shared" si="81"/>
        <v>0</v>
      </c>
      <c r="M439">
        <f t="shared" si="82"/>
        <v>0</v>
      </c>
      <c r="N439">
        <f t="shared" si="83"/>
        <v>0</v>
      </c>
    </row>
    <row r="440" spans="1:14" x14ac:dyDescent="0.35">
      <c r="A440" s="17">
        <v>45349</v>
      </c>
      <c r="B440">
        <f>AVERAGE(Tableau2[[#This Row],[AWB]:[IAM]])</f>
        <v>-4.1571982168229198E-3</v>
      </c>
      <c r="C440">
        <f t="shared" si="72"/>
        <v>0</v>
      </c>
      <c r="D440">
        <f t="shared" si="73"/>
        <v>1</v>
      </c>
      <c r="E440">
        <f t="shared" si="74"/>
        <v>0</v>
      </c>
      <c r="F440">
        <f t="shared" si="75"/>
        <v>0</v>
      </c>
      <c r="G440">
        <f t="shared" si="76"/>
        <v>0</v>
      </c>
      <c r="H440">
        <f t="shared" si="77"/>
        <v>0</v>
      </c>
      <c r="I440">
        <f t="shared" si="78"/>
        <v>0</v>
      </c>
      <c r="J440">
        <f t="shared" si="79"/>
        <v>0</v>
      </c>
      <c r="K440">
        <f t="shared" si="80"/>
        <v>0</v>
      </c>
      <c r="L440">
        <f t="shared" si="81"/>
        <v>0</v>
      </c>
      <c r="M440">
        <f t="shared" si="82"/>
        <v>0</v>
      </c>
      <c r="N440">
        <f t="shared" si="83"/>
        <v>0</v>
      </c>
    </row>
    <row r="441" spans="1:14" x14ac:dyDescent="0.35">
      <c r="A441" s="17">
        <v>45350</v>
      </c>
      <c r="B441">
        <f>AVERAGE(Tableau2[[#This Row],[AWB]:[IAM]])</f>
        <v>1.895653977165155E-4</v>
      </c>
      <c r="C441">
        <f t="shared" si="72"/>
        <v>0</v>
      </c>
      <c r="D441">
        <f t="shared" si="73"/>
        <v>1</v>
      </c>
      <c r="E441">
        <f t="shared" si="74"/>
        <v>0</v>
      </c>
      <c r="F441">
        <f t="shared" si="75"/>
        <v>0</v>
      </c>
      <c r="G441">
        <f t="shared" si="76"/>
        <v>0</v>
      </c>
      <c r="H441">
        <f t="shared" si="77"/>
        <v>0</v>
      </c>
      <c r="I441">
        <f t="shared" si="78"/>
        <v>0</v>
      </c>
      <c r="J441">
        <f t="shared" si="79"/>
        <v>0</v>
      </c>
      <c r="K441">
        <f t="shared" si="80"/>
        <v>0</v>
      </c>
      <c r="L441">
        <f t="shared" si="81"/>
        <v>0</v>
      </c>
      <c r="M441">
        <f t="shared" si="82"/>
        <v>0</v>
      </c>
      <c r="N441">
        <f t="shared" si="83"/>
        <v>0</v>
      </c>
    </row>
    <row r="442" spans="1:14" x14ac:dyDescent="0.35">
      <c r="A442" s="17">
        <v>45351</v>
      </c>
      <c r="B442">
        <f>AVERAGE(Tableau2[[#This Row],[AWB]:[IAM]])</f>
        <v>-1.4183110452587596E-3</v>
      </c>
      <c r="C442">
        <f t="shared" si="72"/>
        <v>0</v>
      </c>
      <c r="D442">
        <f t="shared" si="73"/>
        <v>1</v>
      </c>
      <c r="E442">
        <f t="shared" si="74"/>
        <v>0</v>
      </c>
      <c r="F442">
        <f t="shared" si="75"/>
        <v>0</v>
      </c>
      <c r="G442">
        <f t="shared" si="76"/>
        <v>0</v>
      </c>
      <c r="H442">
        <f t="shared" si="77"/>
        <v>0</v>
      </c>
      <c r="I442">
        <f t="shared" si="78"/>
        <v>0</v>
      </c>
      <c r="J442">
        <f t="shared" si="79"/>
        <v>0</v>
      </c>
      <c r="K442">
        <f t="shared" si="80"/>
        <v>0</v>
      </c>
      <c r="L442">
        <f t="shared" si="81"/>
        <v>0</v>
      </c>
      <c r="M442">
        <f t="shared" si="82"/>
        <v>0</v>
      </c>
      <c r="N442">
        <f t="shared" si="83"/>
        <v>0</v>
      </c>
    </row>
    <row r="443" spans="1:14" x14ac:dyDescent="0.35">
      <c r="A443" s="17">
        <v>45352</v>
      </c>
      <c r="B443">
        <f>AVERAGE(Tableau2[[#This Row],[AWB]:[IAM]])</f>
        <v>4.0780086378167735E-3</v>
      </c>
      <c r="C443">
        <f t="shared" si="72"/>
        <v>0</v>
      </c>
      <c r="D443">
        <f t="shared" si="73"/>
        <v>0</v>
      </c>
      <c r="E443">
        <f t="shared" si="74"/>
        <v>1</v>
      </c>
      <c r="F443">
        <f t="shared" si="75"/>
        <v>0</v>
      </c>
      <c r="G443">
        <f t="shared" si="76"/>
        <v>0</v>
      </c>
      <c r="H443">
        <f t="shared" si="77"/>
        <v>0</v>
      </c>
      <c r="I443">
        <f t="shared" si="78"/>
        <v>0</v>
      </c>
      <c r="J443">
        <f t="shared" si="79"/>
        <v>0</v>
      </c>
      <c r="K443">
        <f t="shared" si="80"/>
        <v>0</v>
      </c>
      <c r="L443">
        <f t="shared" si="81"/>
        <v>0</v>
      </c>
      <c r="M443">
        <f t="shared" si="82"/>
        <v>0</v>
      </c>
      <c r="N443">
        <f t="shared" si="83"/>
        <v>0</v>
      </c>
    </row>
    <row r="444" spans="1:14" x14ac:dyDescent="0.35">
      <c r="A444" s="17">
        <v>45356</v>
      </c>
      <c r="B444">
        <f>AVERAGE(Tableau2[[#This Row],[AWB]:[IAM]])</f>
        <v>1.4581295203838338E-2</v>
      </c>
      <c r="C444">
        <f t="shared" si="72"/>
        <v>0</v>
      </c>
      <c r="D444">
        <f t="shared" si="73"/>
        <v>0</v>
      </c>
      <c r="E444">
        <f t="shared" si="74"/>
        <v>1</v>
      </c>
      <c r="F444">
        <f t="shared" si="75"/>
        <v>0</v>
      </c>
      <c r="G444">
        <f t="shared" si="76"/>
        <v>0</v>
      </c>
      <c r="H444">
        <f t="shared" si="77"/>
        <v>0</v>
      </c>
      <c r="I444">
        <f t="shared" si="78"/>
        <v>0</v>
      </c>
      <c r="J444">
        <f t="shared" si="79"/>
        <v>0</v>
      </c>
      <c r="K444">
        <f t="shared" si="80"/>
        <v>0</v>
      </c>
      <c r="L444">
        <f t="shared" si="81"/>
        <v>0</v>
      </c>
      <c r="M444">
        <f t="shared" si="82"/>
        <v>0</v>
      </c>
      <c r="N444">
        <f t="shared" si="83"/>
        <v>0</v>
      </c>
    </row>
    <row r="445" spans="1:14" x14ac:dyDescent="0.35">
      <c r="A445" s="17">
        <v>45357</v>
      </c>
      <c r="B445">
        <f>AVERAGE(Tableau2[[#This Row],[AWB]:[IAM]])</f>
        <v>-6.5455943232205997E-3</v>
      </c>
      <c r="C445">
        <f t="shared" si="72"/>
        <v>0</v>
      </c>
      <c r="D445">
        <f t="shared" si="73"/>
        <v>0</v>
      </c>
      <c r="E445">
        <f t="shared" si="74"/>
        <v>1</v>
      </c>
      <c r="F445">
        <f t="shared" si="75"/>
        <v>0</v>
      </c>
      <c r="G445">
        <f t="shared" si="76"/>
        <v>0</v>
      </c>
      <c r="H445">
        <f t="shared" si="77"/>
        <v>0</v>
      </c>
      <c r="I445">
        <f t="shared" si="78"/>
        <v>0</v>
      </c>
      <c r="J445">
        <f t="shared" si="79"/>
        <v>0</v>
      </c>
      <c r="K445">
        <f t="shared" si="80"/>
        <v>0</v>
      </c>
      <c r="L445">
        <f t="shared" si="81"/>
        <v>0</v>
      </c>
      <c r="M445">
        <f t="shared" si="82"/>
        <v>0</v>
      </c>
      <c r="N445">
        <f t="shared" si="83"/>
        <v>0</v>
      </c>
    </row>
    <row r="446" spans="1:14" x14ac:dyDescent="0.35">
      <c r="A446" s="17">
        <v>45359</v>
      </c>
      <c r="B446">
        <f>AVERAGE(Tableau2[[#This Row],[AWB]:[IAM]])</f>
        <v>-3.4160271926525969E-3</v>
      </c>
      <c r="C446">
        <f t="shared" si="72"/>
        <v>0</v>
      </c>
      <c r="D446">
        <f t="shared" si="73"/>
        <v>0</v>
      </c>
      <c r="E446">
        <f t="shared" si="74"/>
        <v>1</v>
      </c>
      <c r="F446">
        <f t="shared" si="75"/>
        <v>0</v>
      </c>
      <c r="G446">
        <f t="shared" si="76"/>
        <v>0</v>
      </c>
      <c r="H446">
        <f t="shared" si="77"/>
        <v>0</v>
      </c>
      <c r="I446">
        <f t="shared" si="78"/>
        <v>0</v>
      </c>
      <c r="J446">
        <f t="shared" si="79"/>
        <v>0</v>
      </c>
      <c r="K446">
        <f t="shared" si="80"/>
        <v>0</v>
      </c>
      <c r="L446">
        <f t="shared" si="81"/>
        <v>0</v>
      </c>
      <c r="M446">
        <f t="shared" si="82"/>
        <v>0</v>
      </c>
      <c r="N446">
        <f t="shared" si="83"/>
        <v>0</v>
      </c>
    </row>
    <row r="447" spans="1:14" x14ac:dyDescent="0.35">
      <c r="A447" s="17">
        <v>45363</v>
      </c>
      <c r="B447">
        <f>AVERAGE(Tableau2[[#This Row],[AWB]:[IAM]])</f>
        <v>-6.1472162894995646E-3</v>
      </c>
      <c r="C447">
        <f t="shared" si="72"/>
        <v>0</v>
      </c>
      <c r="D447">
        <f t="shared" si="73"/>
        <v>0</v>
      </c>
      <c r="E447">
        <f t="shared" si="74"/>
        <v>1</v>
      </c>
      <c r="F447">
        <f t="shared" si="75"/>
        <v>0</v>
      </c>
      <c r="G447">
        <f t="shared" si="76"/>
        <v>0</v>
      </c>
      <c r="H447">
        <f t="shared" si="77"/>
        <v>0</v>
      </c>
      <c r="I447">
        <f t="shared" si="78"/>
        <v>0</v>
      </c>
      <c r="J447">
        <f t="shared" si="79"/>
        <v>0</v>
      </c>
      <c r="K447">
        <f t="shared" si="80"/>
        <v>0</v>
      </c>
      <c r="L447">
        <f t="shared" si="81"/>
        <v>0</v>
      </c>
      <c r="M447">
        <f t="shared" si="82"/>
        <v>0</v>
      </c>
      <c r="N447">
        <f t="shared" si="83"/>
        <v>0</v>
      </c>
    </row>
    <row r="448" spans="1:14" x14ac:dyDescent="0.35">
      <c r="A448" s="17">
        <v>45364</v>
      </c>
      <c r="B448">
        <f>AVERAGE(Tableau2[[#This Row],[AWB]:[IAM]])</f>
        <v>-3.2049576288845186E-4</v>
      </c>
      <c r="C448">
        <f t="shared" si="72"/>
        <v>0</v>
      </c>
      <c r="D448">
        <f t="shared" si="73"/>
        <v>0</v>
      </c>
      <c r="E448">
        <f t="shared" si="74"/>
        <v>1</v>
      </c>
      <c r="F448">
        <f t="shared" si="75"/>
        <v>0</v>
      </c>
      <c r="G448">
        <f t="shared" si="76"/>
        <v>0</v>
      </c>
      <c r="H448">
        <f t="shared" si="77"/>
        <v>0</v>
      </c>
      <c r="I448">
        <f t="shared" si="78"/>
        <v>0</v>
      </c>
      <c r="J448">
        <f t="shared" si="79"/>
        <v>0</v>
      </c>
      <c r="K448">
        <f t="shared" si="80"/>
        <v>0</v>
      </c>
      <c r="L448">
        <f t="shared" si="81"/>
        <v>0</v>
      </c>
      <c r="M448">
        <f t="shared" si="82"/>
        <v>0</v>
      </c>
      <c r="N448">
        <f t="shared" si="83"/>
        <v>0</v>
      </c>
    </row>
    <row r="449" spans="1:14" x14ac:dyDescent="0.35">
      <c r="A449" s="17">
        <v>45365</v>
      </c>
      <c r="B449">
        <f>AVERAGE(Tableau2[[#This Row],[AWB]:[IAM]])</f>
        <v>6.9131959951310423E-3</v>
      </c>
      <c r="C449">
        <f t="shared" si="72"/>
        <v>0</v>
      </c>
      <c r="D449">
        <f t="shared" si="73"/>
        <v>0</v>
      </c>
      <c r="E449">
        <f t="shared" si="74"/>
        <v>1</v>
      </c>
      <c r="F449">
        <f t="shared" si="75"/>
        <v>0</v>
      </c>
      <c r="G449">
        <f t="shared" si="76"/>
        <v>0</v>
      </c>
      <c r="H449">
        <f t="shared" si="77"/>
        <v>0</v>
      </c>
      <c r="I449">
        <f t="shared" si="78"/>
        <v>0</v>
      </c>
      <c r="J449">
        <f t="shared" si="79"/>
        <v>0</v>
      </c>
      <c r="K449">
        <f t="shared" si="80"/>
        <v>0</v>
      </c>
      <c r="L449">
        <f t="shared" si="81"/>
        <v>0</v>
      </c>
      <c r="M449">
        <f t="shared" si="82"/>
        <v>0</v>
      </c>
      <c r="N449">
        <f t="shared" si="83"/>
        <v>0</v>
      </c>
    </row>
    <row r="450" spans="1:14" x14ac:dyDescent="0.35">
      <c r="A450" s="17">
        <v>45366</v>
      </c>
      <c r="B450">
        <f>AVERAGE(Tableau2[[#This Row],[AWB]:[IAM]])</f>
        <v>1.0387310911509939E-2</v>
      </c>
      <c r="C450">
        <f t="shared" ref="C450:C513" si="84">IF(MONTH(A450)=1,1,0)</f>
        <v>0</v>
      </c>
      <c r="D450">
        <f t="shared" ref="D450:D513" si="85">IF(MONTH(A450)=2,1,0)</f>
        <v>0</v>
      </c>
      <c r="E450">
        <f t="shared" ref="E450:E513" si="86">IF(MONTH(A450)=3,1,0)</f>
        <v>1</v>
      </c>
      <c r="F450">
        <f t="shared" ref="F450:F513" si="87">IF(MONTH(A450)=4,1,0)</f>
        <v>0</v>
      </c>
      <c r="G450">
        <f t="shared" ref="G450:G513" si="88">IF(MONTH(A450)=5,1,0)</f>
        <v>0</v>
      </c>
      <c r="H450">
        <f t="shared" ref="H450:H513" si="89">IF(MONTH(A450)=6,1,0)</f>
        <v>0</v>
      </c>
      <c r="I450">
        <f t="shared" ref="I450:I513" si="90">IF(MONTH(A450)=7,1,0)</f>
        <v>0</v>
      </c>
      <c r="J450">
        <f t="shared" ref="J450:J513" si="91">IF(MONTH(A450)=8,1,0)</f>
        <v>0</v>
      </c>
      <c r="K450">
        <f t="shared" ref="K450:K513" si="92">IF(MONTH(A450)=9,1,0)</f>
        <v>0</v>
      </c>
      <c r="L450">
        <f t="shared" ref="L450:L513" si="93">IF(MONTH(A450)=10,1,0)</f>
        <v>0</v>
      </c>
      <c r="M450">
        <f t="shared" ref="M450:M513" si="94">IF(MONTH(A450)=11,1,0)</f>
        <v>0</v>
      </c>
      <c r="N450">
        <f t="shared" ref="N450:N513" si="95">IF(MONTH(A450)=12,1,0)</f>
        <v>0</v>
      </c>
    </row>
    <row r="451" spans="1:14" x14ac:dyDescent="0.35">
      <c r="A451" s="17">
        <v>45370</v>
      </c>
      <c r="B451">
        <f>AVERAGE(Tableau2[[#This Row],[AWB]:[IAM]])</f>
        <v>5.5030245729570208E-3</v>
      </c>
      <c r="C451">
        <f t="shared" si="84"/>
        <v>0</v>
      </c>
      <c r="D451">
        <f t="shared" si="85"/>
        <v>0</v>
      </c>
      <c r="E451">
        <f t="shared" si="86"/>
        <v>1</v>
      </c>
      <c r="F451">
        <f t="shared" si="87"/>
        <v>0</v>
      </c>
      <c r="G451">
        <f t="shared" si="88"/>
        <v>0</v>
      </c>
      <c r="H451">
        <f t="shared" si="89"/>
        <v>0</v>
      </c>
      <c r="I451">
        <f t="shared" si="90"/>
        <v>0</v>
      </c>
      <c r="J451">
        <f t="shared" si="91"/>
        <v>0</v>
      </c>
      <c r="K451">
        <f t="shared" si="92"/>
        <v>0</v>
      </c>
      <c r="L451">
        <f t="shared" si="93"/>
        <v>0</v>
      </c>
      <c r="M451">
        <f t="shared" si="94"/>
        <v>0</v>
      </c>
      <c r="N451">
        <f t="shared" si="95"/>
        <v>0</v>
      </c>
    </row>
    <row r="452" spans="1:14" x14ac:dyDescent="0.35">
      <c r="A452" s="17">
        <v>45371</v>
      </c>
      <c r="B452">
        <f>AVERAGE(Tableau2[[#This Row],[AWB]:[IAM]])</f>
        <v>-6.2126564038716145E-3</v>
      </c>
      <c r="C452">
        <f t="shared" si="84"/>
        <v>0</v>
      </c>
      <c r="D452">
        <f t="shared" si="85"/>
        <v>0</v>
      </c>
      <c r="E452">
        <f t="shared" si="86"/>
        <v>1</v>
      </c>
      <c r="F452">
        <f t="shared" si="87"/>
        <v>0</v>
      </c>
      <c r="G452">
        <f t="shared" si="88"/>
        <v>0</v>
      </c>
      <c r="H452">
        <f t="shared" si="89"/>
        <v>0</v>
      </c>
      <c r="I452">
        <f t="shared" si="90"/>
        <v>0</v>
      </c>
      <c r="J452">
        <f t="shared" si="91"/>
        <v>0</v>
      </c>
      <c r="K452">
        <f t="shared" si="92"/>
        <v>0</v>
      </c>
      <c r="L452">
        <f t="shared" si="93"/>
        <v>0</v>
      </c>
      <c r="M452">
        <f t="shared" si="94"/>
        <v>0</v>
      </c>
      <c r="N452">
        <f t="shared" si="95"/>
        <v>0</v>
      </c>
    </row>
    <row r="453" spans="1:14" x14ac:dyDescent="0.35">
      <c r="A453" s="17">
        <v>45379</v>
      </c>
      <c r="B453">
        <f>AVERAGE(Tableau2[[#This Row],[AWB]:[IAM]])</f>
        <v>4.003805635953009E-3</v>
      </c>
      <c r="C453">
        <f t="shared" si="84"/>
        <v>0</v>
      </c>
      <c r="D453">
        <f t="shared" si="85"/>
        <v>0</v>
      </c>
      <c r="E453">
        <f t="shared" si="86"/>
        <v>1</v>
      </c>
      <c r="F453">
        <f t="shared" si="87"/>
        <v>0</v>
      </c>
      <c r="G453">
        <f t="shared" si="88"/>
        <v>0</v>
      </c>
      <c r="H453">
        <f t="shared" si="89"/>
        <v>0</v>
      </c>
      <c r="I453">
        <f t="shared" si="90"/>
        <v>0</v>
      </c>
      <c r="J453">
        <f t="shared" si="91"/>
        <v>0</v>
      </c>
      <c r="K453">
        <f t="shared" si="92"/>
        <v>0</v>
      </c>
      <c r="L453">
        <f t="shared" si="93"/>
        <v>0</v>
      </c>
      <c r="M453">
        <f t="shared" si="94"/>
        <v>0</v>
      </c>
      <c r="N453">
        <f t="shared" si="95"/>
        <v>0</v>
      </c>
    </row>
    <row r="454" spans="1:14" x14ac:dyDescent="0.35">
      <c r="A454" s="17">
        <v>45387</v>
      </c>
      <c r="B454">
        <f>AVERAGE(Tableau2[[#This Row],[AWB]:[IAM]])</f>
        <v>4.6689220885024432E-2</v>
      </c>
      <c r="C454">
        <f t="shared" si="84"/>
        <v>0</v>
      </c>
      <c r="D454">
        <f t="shared" si="85"/>
        <v>0</v>
      </c>
      <c r="E454">
        <f t="shared" si="86"/>
        <v>0</v>
      </c>
      <c r="F454">
        <f t="shared" si="87"/>
        <v>1</v>
      </c>
      <c r="G454">
        <f t="shared" si="88"/>
        <v>0</v>
      </c>
      <c r="H454">
        <f t="shared" si="89"/>
        <v>0</v>
      </c>
      <c r="I454">
        <f t="shared" si="90"/>
        <v>0</v>
      </c>
      <c r="J454">
        <f t="shared" si="91"/>
        <v>0</v>
      </c>
      <c r="K454">
        <f t="shared" si="92"/>
        <v>0</v>
      </c>
      <c r="L454">
        <f t="shared" si="93"/>
        <v>0</v>
      </c>
      <c r="M454">
        <f t="shared" si="94"/>
        <v>0</v>
      </c>
      <c r="N454">
        <f t="shared" si="95"/>
        <v>0</v>
      </c>
    </row>
    <row r="455" spans="1:14" x14ac:dyDescent="0.35">
      <c r="A455" s="17">
        <v>45390</v>
      </c>
      <c r="B455">
        <f>AVERAGE(Tableau2[[#This Row],[AWB]:[IAM]])</f>
        <v>2.210369111796643E-2</v>
      </c>
      <c r="C455">
        <f t="shared" si="84"/>
        <v>0</v>
      </c>
      <c r="D455">
        <f t="shared" si="85"/>
        <v>0</v>
      </c>
      <c r="E455">
        <f t="shared" si="86"/>
        <v>0</v>
      </c>
      <c r="F455">
        <f t="shared" si="87"/>
        <v>1</v>
      </c>
      <c r="G455">
        <f t="shared" si="88"/>
        <v>0</v>
      </c>
      <c r="H455">
        <f t="shared" si="89"/>
        <v>0</v>
      </c>
      <c r="I455">
        <f t="shared" si="90"/>
        <v>0</v>
      </c>
      <c r="J455">
        <f t="shared" si="91"/>
        <v>0</v>
      </c>
      <c r="K455">
        <f t="shared" si="92"/>
        <v>0</v>
      </c>
      <c r="L455">
        <f t="shared" si="93"/>
        <v>0</v>
      </c>
      <c r="M455">
        <f t="shared" si="94"/>
        <v>0</v>
      </c>
      <c r="N455">
        <f t="shared" si="95"/>
        <v>0</v>
      </c>
    </row>
    <row r="456" spans="1:14" x14ac:dyDescent="0.35">
      <c r="A456" s="17">
        <v>45397</v>
      </c>
      <c r="B456">
        <f>AVERAGE(Tableau2[[#This Row],[AWB]:[IAM]])</f>
        <v>3.8838924041225249E-2</v>
      </c>
      <c r="C456">
        <f t="shared" si="84"/>
        <v>0</v>
      </c>
      <c r="D456">
        <f t="shared" si="85"/>
        <v>0</v>
      </c>
      <c r="E456">
        <f t="shared" si="86"/>
        <v>0</v>
      </c>
      <c r="F456">
        <f t="shared" si="87"/>
        <v>1</v>
      </c>
      <c r="G456">
        <f t="shared" si="88"/>
        <v>0</v>
      </c>
      <c r="H456">
        <f t="shared" si="89"/>
        <v>0</v>
      </c>
      <c r="I456">
        <f t="shared" si="90"/>
        <v>0</v>
      </c>
      <c r="J456">
        <f t="shared" si="91"/>
        <v>0</v>
      </c>
      <c r="K456">
        <f t="shared" si="92"/>
        <v>0</v>
      </c>
      <c r="L456">
        <f t="shared" si="93"/>
        <v>0</v>
      </c>
      <c r="M456">
        <f t="shared" si="94"/>
        <v>0</v>
      </c>
      <c r="N456">
        <f t="shared" si="95"/>
        <v>0</v>
      </c>
    </row>
    <row r="457" spans="1:14" x14ac:dyDescent="0.35">
      <c r="A457" s="17">
        <v>45400</v>
      </c>
      <c r="B457">
        <f>AVERAGE(Tableau2[[#This Row],[AWB]:[IAM]])</f>
        <v>1.056629955915441E-2</v>
      </c>
      <c r="C457">
        <f t="shared" si="84"/>
        <v>0</v>
      </c>
      <c r="D457">
        <f t="shared" si="85"/>
        <v>0</v>
      </c>
      <c r="E457">
        <f t="shared" si="86"/>
        <v>0</v>
      </c>
      <c r="F457">
        <f t="shared" si="87"/>
        <v>1</v>
      </c>
      <c r="G457">
        <f t="shared" si="88"/>
        <v>0</v>
      </c>
      <c r="H457">
        <f t="shared" si="89"/>
        <v>0</v>
      </c>
      <c r="I457">
        <f t="shared" si="90"/>
        <v>0</v>
      </c>
      <c r="J457">
        <f t="shared" si="91"/>
        <v>0</v>
      </c>
      <c r="K457">
        <f t="shared" si="92"/>
        <v>0</v>
      </c>
      <c r="L457">
        <f t="shared" si="93"/>
        <v>0</v>
      </c>
      <c r="M457">
        <f t="shared" si="94"/>
        <v>0</v>
      </c>
      <c r="N457">
        <f t="shared" si="95"/>
        <v>0</v>
      </c>
    </row>
    <row r="458" spans="1:14" x14ac:dyDescent="0.35">
      <c r="A458" s="17">
        <v>45401</v>
      </c>
      <c r="B458">
        <f>AVERAGE(Tableau2[[#This Row],[AWB]:[IAM]])</f>
        <v>8.3589248377562695E-4</v>
      </c>
      <c r="C458">
        <f t="shared" si="84"/>
        <v>0</v>
      </c>
      <c r="D458">
        <f t="shared" si="85"/>
        <v>0</v>
      </c>
      <c r="E458">
        <f t="shared" si="86"/>
        <v>0</v>
      </c>
      <c r="F458">
        <f t="shared" si="87"/>
        <v>1</v>
      </c>
      <c r="G458">
        <f t="shared" si="88"/>
        <v>0</v>
      </c>
      <c r="H458">
        <f t="shared" si="89"/>
        <v>0</v>
      </c>
      <c r="I458">
        <f t="shared" si="90"/>
        <v>0</v>
      </c>
      <c r="J458">
        <f t="shared" si="91"/>
        <v>0</v>
      </c>
      <c r="K458">
        <f t="shared" si="92"/>
        <v>0</v>
      </c>
      <c r="L458">
        <f t="shared" si="93"/>
        <v>0</v>
      </c>
      <c r="M458">
        <f t="shared" si="94"/>
        <v>0</v>
      </c>
      <c r="N458">
        <f t="shared" si="95"/>
        <v>0</v>
      </c>
    </row>
    <row r="459" spans="1:14" x14ac:dyDescent="0.35">
      <c r="A459" s="17">
        <v>45405</v>
      </c>
      <c r="B459">
        <f>AVERAGE(Tableau2[[#This Row],[AWB]:[IAM]])</f>
        <v>-2.0466581636552364E-2</v>
      </c>
      <c r="C459">
        <f t="shared" si="84"/>
        <v>0</v>
      </c>
      <c r="D459">
        <f t="shared" si="85"/>
        <v>0</v>
      </c>
      <c r="E459">
        <f t="shared" si="86"/>
        <v>0</v>
      </c>
      <c r="F459">
        <f t="shared" si="87"/>
        <v>1</v>
      </c>
      <c r="G459">
        <f t="shared" si="88"/>
        <v>0</v>
      </c>
      <c r="H459">
        <f t="shared" si="89"/>
        <v>0</v>
      </c>
      <c r="I459">
        <f t="shared" si="90"/>
        <v>0</v>
      </c>
      <c r="J459">
        <f t="shared" si="91"/>
        <v>0</v>
      </c>
      <c r="K459">
        <f t="shared" si="92"/>
        <v>0</v>
      </c>
      <c r="L459">
        <f t="shared" si="93"/>
        <v>0</v>
      </c>
      <c r="M459">
        <f t="shared" si="94"/>
        <v>0</v>
      </c>
      <c r="N459">
        <f t="shared" si="95"/>
        <v>0</v>
      </c>
    </row>
    <row r="460" spans="1:14" x14ac:dyDescent="0.35">
      <c r="A460" s="17">
        <v>45406</v>
      </c>
      <c r="B460">
        <f>AVERAGE(Tableau2[[#This Row],[AWB]:[IAM]])</f>
        <v>-6.0734939992985039E-4</v>
      </c>
      <c r="C460">
        <f t="shared" si="84"/>
        <v>0</v>
      </c>
      <c r="D460">
        <f t="shared" si="85"/>
        <v>0</v>
      </c>
      <c r="E460">
        <f t="shared" si="86"/>
        <v>0</v>
      </c>
      <c r="F460">
        <f t="shared" si="87"/>
        <v>1</v>
      </c>
      <c r="G460">
        <f t="shared" si="88"/>
        <v>0</v>
      </c>
      <c r="H460">
        <f t="shared" si="89"/>
        <v>0</v>
      </c>
      <c r="I460">
        <f t="shared" si="90"/>
        <v>0</v>
      </c>
      <c r="J460">
        <f t="shared" si="91"/>
        <v>0</v>
      </c>
      <c r="K460">
        <f t="shared" si="92"/>
        <v>0</v>
      </c>
      <c r="L460">
        <f t="shared" si="93"/>
        <v>0</v>
      </c>
      <c r="M460">
        <f t="shared" si="94"/>
        <v>0</v>
      </c>
      <c r="N460">
        <f t="shared" si="95"/>
        <v>0</v>
      </c>
    </row>
    <row r="461" spans="1:14" x14ac:dyDescent="0.35">
      <c r="A461" s="17">
        <v>45408</v>
      </c>
      <c r="B461">
        <f>AVERAGE(Tableau2[[#This Row],[AWB]:[IAM]])</f>
        <v>2.1794827534603742E-2</v>
      </c>
      <c r="C461">
        <f t="shared" si="84"/>
        <v>0</v>
      </c>
      <c r="D461">
        <f t="shared" si="85"/>
        <v>0</v>
      </c>
      <c r="E461">
        <f t="shared" si="86"/>
        <v>0</v>
      </c>
      <c r="F461">
        <f t="shared" si="87"/>
        <v>1</v>
      </c>
      <c r="G461">
        <f t="shared" si="88"/>
        <v>0</v>
      </c>
      <c r="H461">
        <f t="shared" si="89"/>
        <v>0</v>
      </c>
      <c r="I461">
        <f t="shared" si="90"/>
        <v>0</v>
      </c>
      <c r="J461">
        <f t="shared" si="91"/>
        <v>0</v>
      </c>
      <c r="K461">
        <f t="shared" si="92"/>
        <v>0</v>
      </c>
      <c r="L461">
        <f t="shared" si="93"/>
        <v>0</v>
      </c>
      <c r="M461">
        <f t="shared" si="94"/>
        <v>0</v>
      </c>
      <c r="N461">
        <f t="shared" si="95"/>
        <v>0</v>
      </c>
    </row>
    <row r="462" spans="1:14" x14ac:dyDescent="0.35">
      <c r="A462" s="17">
        <v>45411</v>
      </c>
      <c r="B462">
        <f>AVERAGE(Tableau2[[#This Row],[AWB]:[IAM]])</f>
        <v>5.7790703030013288E-3</v>
      </c>
      <c r="C462">
        <f t="shared" si="84"/>
        <v>0</v>
      </c>
      <c r="D462">
        <f t="shared" si="85"/>
        <v>0</v>
      </c>
      <c r="E462">
        <f t="shared" si="86"/>
        <v>0</v>
      </c>
      <c r="F462">
        <f t="shared" si="87"/>
        <v>1</v>
      </c>
      <c r="G462">
        <f t="shared" si="88"/>
        <v>0</v>
      </c>
      <c r="H462">
        <f t="shared" si="89"/>
        <v>0</v>
      </c>
      <c r="I462">
        <f t="shared" si="90"/>
        <v>0</v>
      </c>
      <c r="J462">
        <f t="shared" si="91"/>
        <v>0</v>
      </c>
      <c r="K462">
        <f t="shared" si="92"/>
        <v>0</v>
      </c>
      <c r="L462">
        <f t="shared" si="93"/>
        <v>0</v>
      </c>
      <c r="M462">
        <f t="shared" si="94"/>
        <v>0</v>
      </c>
      <c r="N462">
        <f t="shared" si="95"/>
        <v>0</v>
      </c>
    </row>
    <row r="463" spans="1:14" x14ac:dyDescent="0.35">
      <c r="A463" s="17">
        <v>45412</v>
      </c>
      <c r="B463">
        <f>AVERAGE(Tableau2[[#This Row],[AWB]:[IAM]])</f>
        <v>-5.93255862689433E-3</v>
      </c>
      <c r="C463">
        <f t="shared" si="84"/>
        <v>0</v>
      </c>
      <c r="D463">
        <f t="shared" si="85"/>
        <v>0</v>
      </c>
      <c r="E463">
        <f t="shared" si="86"/>
        <v>0</v>
      </c>
      <c r="F463">
        <f t="shared" si="87"/>
        <v>1</v>
      </c>
      <c r="G463">
        <f t="shared" si="88"/>
        <v>0</v>
      </c>
      <c r="H463">
        <f t="shared" si="89"/>
        <v>0</v>
      </c>
      <c r="I463">
        <f t="shared" si="90"/>
        <v>0</v>
      </c>
      <c r="J463">
        <f t="shared" si="91"/>
        <v>0</v>
      </c>
      <c r="K463">
        <f t="shared" si="92"/>
        <v>0</v>
      </c>
      <c r="L463">
        <f t="shared" si="93"/>
        <v>0</v>
      </c>
      <c r="M463">
        <f t="shared" si="94"/>
        <v>0</v>
      </c>
      <c r="N463">
        <f t="shared" si="95"/>
        <v>0</v>
      </c>
    </row>
    <row r="464" spans="1:14" x14ac:dyDescent="0.35">
      <c r="A464" s="17">
        <v>45414</v>
      </c>
      <c r="B464">
        <f>AVERAGE(Tableau2[[#This Row],[AWB]:[IAM]])</f>
        <v>5.612838041364831E-3</v>
      </c>
      <c r="C464">
        <f t="shared" si="84"/>
        <v>0</v>
      </c>
      <c r="D464">
        <f t="shared" si="85"/>
        <v>0</v>
      </c>
      <c r="E464">
        <f t="shared" si="86"/>
        <v>0</v>
      </c>
      <c r="F464">
        <f t="shared" si="87"/>
        <v>0</v>
      </c>
      <c r="G464">
        <f t="shared" si="88"/>
        <v>1</v>
      </c>
      <c r="H464">
        <f t="shared" si="89"/>
        <v>0</v>
      </c>
      <c r="I464">
        <f t="shared" si="90"/>
        <v>0</v>
      </c>
      <c r="J464">
        <f t="shared" si="91"/>
        <v>0</v>
      </c>
      <c r="K464">
        <f t="shared" si="92"/>
        <v>0</v>
      </c>
      <c r="L464">
        <f t="shared" si="93"/>
        <v>0</v>
      </c>
      <c r="M464">
        <f t="shared" si="94"/>
        <v>0</v>
      </c>
      <c r="N464">
        <f t="shared" si="95"/>
        <v>0</v>
      </c>
    </row>
    <row r="465" spans="1:14" x14ac:dyDescent="0.35">
      <c r="A465" s="17">
        <v>45415</v>
      </c>
      <c r="B465">
        <f>AVERAGE(Tableau2[[#This Row],[AWB]:[IAM]])</f>
        <v>-2.3971400629122197E-4</v>
      </c>
      <c r="C465">
        <f t="shared" si="84"/>
        <v>0</v>
      </c>
      <c r="D465">
        <f t="shared" si="85"/>
        <v>0</v>
      </c>
      <c r="E465">
        <f t="shared" si="86"/>
        <v>0</v>
      </c>
      <c r="F465">
        <f t="shared" si="87"/>
        <v>0</v>
      </c>
      <c r="G465">
        <f t="shared" si="88"/>
        <v>1</v>
      </c>
      <c r="H465">
        <f t="shared" si="89"/>
        <v>0</v>
      </c>
      <c r="I465">
        <f t="shared" si="90"/>
        <v>0</v>
      </c>
      <c r="J465">
        <f t="shared" si="91"/>
        <v>0</v>
      </c>
      <c r="K465">
        <f t="shared" si="92"/>
        <v>0</v>
      </c>
      <c r="L465">
        <f t="shared" si="93"/>
        <v>0</v>
      </c>
      <c r="M465">
        <f t="shared" si="94"/>
        <v>0</v>
      </c>
      <c r="N465">
        <f t="shared" si="95"/>
        <v>0</v>
      </c>
    </row>
    <row r="466" spans="1:14" x14ac:dyDescent="0.35">
      <c r="A466" s="17">
        <v>45419</v>
      </c>
      <c r="B466">
        <f>AVERAGE(Tableau2[[#This Row],[AWB]:[IAM]])</f>
        <v>1.975396204833274E-3</v>
      </c>
      <c r="C466">
        <f t="shared" si="84"/>
        <v>0</v>
      </c>
      <c r="D466">
        <f t="shared" si="85"/>
        <v>0</v>
      </c>
      <c r="E466">
        <f t="shared" si="86"/>
        <v>0</v>
      </c>
      <c r="F466">
        <f t="shared" si="87"/>
        <v>0</v>
      </c>
      <c r="G466">
        <f t="shared" si="88"/>
        <v>1</v>
      </c>
      <c r="H466">
        <f t="shared" si="89"/>
        <v>0</v>
      </c>
      <c r="I466">
        <f t="shared" si="90"/>
        <v>0</v>
      </c>
      <c r="J466">
        <f t="shared" si="91"/>
        <v>0</v>
      </c>
      <c r="K466">
        <f t="shared" si="92"/>
        <v>0</v>
      </c>
      <c r="L466">
        <f t="shared" si="93"/>
        <v>0</v>
      </c>
      <c r="M466">
        <f t="shared" si="94"/>
        <v>0</v>
      </c>
      <c r="N466">
        <f t="shared" si="95"/>
        <v>0</v>
      </c>
    </row>
    <row r="467" spans="1:14" x14ac:dyDescent="0.35">
      <c r="A467" s="17">
        <v>45420</v>
      </c>
      <c r="B467">
        <f>AVERAGE(Tableau2[[#This Row],[AWB]:[IAM]])</f>
        <v>4.7604753964842301E-3</v>
      </c>
      <c r="C467">
        <f t="shared" si="84"/>
        <v>0</v>
      </c>
      <c r="D467">
        <f t="shared" si="85"/>
        <v>0</v>
      </c>
      <c r="E467">
        <f t="shared" si="86"/>
        <v>0</v>
      </c>
      <c r="F467">
        <f t="shared" si="87"/>
        <v>0</v>
      </c>
      <c r="G467">
        <f t="shared" si="88"/>
        <v>1</v>
      </c>
      <c r="H467">
        <f t="shared" si="89"/>
        <v>0</v>
      </c>
      <c r="I467">
        <f t="shared" si="90"/>
        <v>0</v>
      </c>
      <c r="J467">
        <f t="shared" si="91"/>
        <v>0</v>
      </c>
      <c r="K467">
        <f t="shared" si="92"/>
        <v>0</v>
      </c>
      <c r="L467">
        <f t="shared" si="93"/>
        <v>0</v>
      </c>
      <c r="M467">
        <f t="shared" si="94"/>
        <v>0</v>
      </c>
      <c r="N467">
        <f t="shared" si="95"/>
        <v>0</v>
      </c>
    </row>
    <row r="468" spans="1:14" x14ac:dyDescent="0.35">
      <c r="A468" s="17">
        <v>45421</v>
      </c>
      <c r="B468">
        <f>AVERAGE(Tableau2[[#This Row],[AWB]:[IAM]])</f>
        <v>8.7772407445262466E-3</v>
      </c>
      <c r="C468">
        <f t="shared" si="84"/>
        <v>0</v>
      </c>
      <c r="D468">
        <f t="shared" si="85"/>
        <v>0</v>
      </c>
      <c r="E468">
        <f t="shared" si="86"/>
        <v>0</v>
      </c>
      <c r="F468">
        <f t="shared" si="87"/>
        <v>0</v>
      </c>
      <c r="G468">
        <f t="shared" si="88"/>
        <v>1</v>
      </c>
      <c r="H468">
        <f t="shared" si="89"/>
        <v>0</v>
      </c>
      <c r="I468">
        <f t="shared" si="90"/>
        <v>0</v>
      </c>
      <c r="J468">
        <f t="shared" si="91"/>
        <v>0</v>
      </c>
      <c r="K468">
        <f t="shared" si="92"/>
        <v>0</v>
      </c>
      <c r="L468">
        <f t="shared" si="93"/>
        <v>0</v>
      </c>
      <c r="M468">
        <f t="shared" si="94"/>
        <v>0</v>
      </c>
      <c r="N468">
        <f t="shared" si="95"/>
        <v>0</v>
      </c>
    </row>
    <row r="469" spans="1:14" x14ac:dyDescent="0.35">
      <c r="A469" s="17">
        <v>45422</v>
      </c>
      <c r="B469">
        <f>AVERAGE(Tableau2[[#This Row],[AWB]:[IAM]])</f>
        <v>4.9344221591977443E-3</v>
      </c>
      <c r="C469">
        <f t="shared" si="84"/>
        <v>0</v>
      </c>
      <c r="D469">
        <f t="shared" si="85"/>
        <v>0</v>
      </c>
      <c r="E469">
        <f t="shared" si="86"/>
        <v>0</v>
      </c>
      <c r="F469">
        <f t="shared" si="87"/>
        <v>0</v>
      </c>
      <c r="G469">
        <f t="shared" si="88"/>
        <v>1</v>
      </c>
      <c r="H469">
        <f t="shared" si="89"/>
        <v>0</v>
      </c>
      <c r="I469">
        <f t="shared" si="90"/>
        <v>0</v>
      </c>
      <c r="J469">
        <f t="shared" si="91"/>
        <v>0</v>
      </c>
      <c r="K469">
        <f t="shared" si="92"/>
        <v>0</v>
      </c>
      <c r="L469">
        <f t="shared" si="93"/>
        <v>0</v>
      </c>
      <c r="M469">
        <f t="shared" si="94"/>
        <v>0</v>
      </c>
      <c r="N469">
        <f t="shared" si="95"/>
        <v>0</v>
      </c>
    </row>
    <row r="470" spans="1:14" x14ac:dyDescent="0.35">
      <c r="A470" s="17">
        <v>45425</v>
      </c>
      <c r="B470">
        <f>AVERAGE(Tableau2[[#This Row],[AWB]:[IAM]])</f>
        <v>1.9421312618355198E-3</v>
      </c>
      <c r="C470">
        <f t="shared" si="84"/>
        <v>0</v>
      </c>
      <c r="D470">
        <f t="shared" si="85"/>
        <v>0</v>
      </c>
      <c r="E470">
        <f t="shared" si="86"/>
        <v>0</v>
      </c>
      <c r="F470">
        <f t="shared" si="87"/>
        <v>0</v>
      </c>
      <c r="G470">
        <f t="shared" si="88"/>
        <v>1</v>
      </c>
      <c r="H470">
        <f t="shared" si="89"/>
        <v>0</v>
      </c>
      <c r="I470">
        <f t="shared" si="90"/>
        <v>0</v>
      </c>
      <c r="J470">
        <f t="shared" si="91"/>
        <v>0</v>
      </c>
      <c r="K470">
        <f t="shared" si="92"/>
        <v>0</v>
      </c>
      <c r="L470">
        <f t="shared" si="93"/>
        <v>0</v>
      </c>
      <c r="M470">
        <f t="shared" si="94"/>
        <v>0</v>
      </c>
      <c r="N470">
        <f t="shared" si="95"/>
        <v>0</v>
      </c>
    </row>
    <row r="471" spans="1:14" x14ac:dyDescent="0.35">
      <c r="A471" s="17">
        <v>45427</v>
      </c>
      <c r="B471">
        <f>AVERAGE(Tableau2[[#This Row],[AWB]:[IAM]])</f>
        <v>2.34085181179509E-3</v>
      </c>
      <c r="C471">
        <f t="shared" si="84"/>
        <v>0</v>
      </c>
      <c r="D471">
        <f t="shared" si="85"/>
        <v>0</v>
      </c>
      <c r="E471">
        <f t="shared" si="86"/>
        <v>0</v>
      </c>
      <c r="F471">
        <f t="shared" si="87"/>
        <v>0</v>
      </c>
      <c r="G471">
        <f t="shared" si="88"/>
        <v>1</v>
      </c>
      <c r="H471">
        <f t="shared" si="89"/>
        <v>0</v>
      </c>
      <c r="I471">
        <f t="shared" si="90"/>
        <v>0</v>
      </c>
      <c r="J471">
        <f t="shared" si="91"/>
        <v>0</v>
      </c>
      <c r="K471">
        <f t="shared" si="92"/>
        <v>0</v>
      </c>
      <c r="L471">
        <f t="shared" si="93"/>
        <v>0</v>
      </c>
      <c r="M471">
        <f t="shared" si="94"/>
        <v>0</v>
      </c>
      <c r="N471">
        <f t="shared" si="95"/>
        <v>0</v>
      </c>
    </row>
    <row r="472" spans="1:14" x14ac:dyDescent="0.35">
      <c r="A472" s="17">
        <v>45428</v>
      </c>
      <c r="B472">
        <f>AVERAGE(Tableau2[[#This Row],[AWB]:[IAM]])</f>
        <v>-1.9865427665743405E-3</v>
      </c>
      <c r="C472">
        <f t="shared" si="84"/>
        <v>0</v>
      </c>
      <c r="D472">
        <f t="shared" si="85"/>
        <v>0</v>
      </c>
      <c r="E472">
        <f t="shared" si="86"/>
        <v>0</v>
      </c>
      <c r="F472">
        <f t="shared" si="87"/>
        <v>0</v>
      </c>
      <c r="G472">
        <f t="shared" si="88"/>
        <v>1</v>
      </c>
      <c r="H472">
        <f t="shared" si="89"/>
        <v>0</v>
      </c>
      <c r="I472">
        <f t="shared" si="90"/>
        <v>0</v>
      </c>
      <c r="J472">
        <f t="shared" si="91"/>
        <v>0</v>
      </c>
      <c r="K472">
        <f t="shared" si="92"/>
        <v>0</v>
      </c>
      <c r="L472">
        <f t="shared" si="93"/>
        <v>0</v>
      </c>
      <c r="M472">
        <f t="shared" si="94"/>
        <v>0</v>
      </c>
      <c r="N472">
        <f t="shared" si="95"/>
        <v>0</v>
      </c>
    </row>
    <row r="473" spans="1:14" x14ac:dyDescent="0.35">
      <c r="A473" s="17">
        <v>45429</v>
      </c>
      <c r="B473">
        <f>AVERAGE(Tableau2[[#This Row],[AWB]:[IAM]])</f>
        <v>-3.7196890635650279E-4</v>
      </c>
      <c r="C473">
        <f t="shared" si="84"/>
        <v>0</v>
      </c>
      <c r="D473">
        <f t="shared" si="85"/>
        <v>0</v>
      </c>
      <c r="E473">
        <f t="shared" si="86"/>
        <v>0</v>
      </c>
      <c r="F473">
        <f t="shared" si="87"/>
        <v>0</v>
      </c>
      <c r="G473">
        <f t="shared" si="88"/>
        <v>1</v>
      </c>
      <c r="H473">
        <f t="shared" si="89"/>
        <v>0</v>
      </c>
      <c r="I473">
        <f t="shared" si="90"/>
        <v>0</v>
      </c>
      <c r="J473">
        <f t="shared" si="91"/>
        <v>0</v>
      </c>
      <c r="K473">
        <f t="shared" si="92"/>
        <v>0</v>
      </c>
      <c r="L473">
        <f t="shared" si="93"/>
        <v>0</v>
      </c>
      <c r="M473">
        <f t="shared" si="94"/>
        <v>0</v>
      </c>
      <c r="N473">
        <f t="shared" si="95"/>
        <v>0</v>
      </c>
    </row>
    <row r="474" spans="1:14" x14ac:dyDescent="0.35">
      <c r="A474" s="17">
        <v>45435</v>
      </c>
      <c r="B474">
        <f>AVERAGE(Tableau2[[#This Row],[AWB]:[IAM]])</f>
        <v>-1.0608507099396506E-2</v>
      </c>
      <c r="C474">
        <f t="shared" si="84"/>
        <v>0</v>
      </c>
      <c r="D474">
        <f t="shared" si="85"/>
        <v>0</v>
      </c>
      <c r="E474">
        <f t="shared" si="86"/>
        <v>0</v>
      </c>
      <c r="F474">
        <f t="shared" si="87"/>
        <v>0</v>
      </c>
      <c r="G474">
        <f t="shared" si="88"/>
        <v>1</v>
      </c>
      <c r="H474">
        <f t="shared" si="89"/>
        <v>0</v>
      </c>
      <c r="I474">
        <f t="shared" si="90"/>
        <v>0</v>
      </c>
      <c r="J474">
        <f t="shared" si="91"/>
        <v>0</v>
      </c>
      <c r="K474">
        <f t="shared" si="92"/>
        <v>0</v>
      </c>
      <c r="L474">
        <f t="shared" si="93"/>
        <v>0</v>
      </c>
      <c r="M474">
        <f t="shared" si="94"/>
        <v>0</v>
      </c>
      <c r="N474">
        <f t="shared" si="95"/>
        <v>0</v>
      </c>
    </row>
    <row r="475" spans="1:14" x14ac:dyDescent="0.35">
      <c r="A475" s="17">
        <v>45436</v>
      </c>
      <c r="B475">
        <f>AVERAGE(Tableau2[[#This Row],[AWB]:[IAM]])</f>
        <v>-4.3466632050408443E-3</v>
      </c>
      <c r="C475">
        <f t="shared" si="84"/>
        <v>0</v>
      </c>
      <c r="D475">
        <f t="shared" si="85"/>
        <v>0</v>
      </c>
      <c r="E475">
        <f t="shared" si="86"/>
        <v>0</v>
      </c>
      <c r="F475">
        <f t="shared" si="87"/>
        <v>0</v>
      </c>
      <c r="G475">
        <f t="shared" si="88"/>
        <v>1</v>
      </c>
      <c r="H475">
        <f t="shared" si="89"/>
        <v>0</v>
      </c>
      <c r="I475">
        <f t="shared" si="90"/>
        <v>0</v>
      </c>
      <c r="J475">
        <f t="shared" si="91"/>
        <v>0</v>
      </c>
      <c r="K475">
        <f t="shared" si="92"/>
        <v>0</v>
      </c>
      <c r="L475">
        <f t="shared" si="93"/>
        <v>0</v>
      </c>
      <c r="M475">
        <f t="shared" si="94"/>
        <v>0</v>
      </c>
      <c r="N475">
        <f t="shared" si="95"/>
        <v>0</v>
      </c>
    </row>
    <row r="476" spans="1:14" x14ac:dyDescent="0.35">
      <c r="A476" s="17">
        <v>45439</v>
      </c>
      <c r="B476">
        <f>AVERAGE(Tableau2[[#This Row],[AWB]:[IAM]])</f>
        <v>-3.9953978091253426E-3</v>
      </c>
      <c r="C476">
        <f t="shared" si="84"/>
        <v>0</v>
      </c>
      <c r="D476">
        <f t="shared" si="85"/>
        <v>0</v>
      </c>
      <c r="E476">
        <f t="shared" si="86"/>
        <v>0</v>
      </c>
      <c r="F476">
        <f t="shared" si="87"/>
        <v>0</v>
      </c>
      <c r="G476">
        <f t="shared" si="88"/>
        <v>1</v>
      </c>
      <c r="H476">
        <f t="shared" si="89"/>
        <v>0</v>
      </c>
      <c r="I476">
        <f t="shared" si="90"/>
        <v>0</v>
      </c>
      <c r="J476">
        <f t="shared" si="91"/>
        <v>0</v>
      </c>
      <c r="K476">
        <f t="shared" si="92"/>
        <v>0</v>
      </c>
      <c r="L476">
        <f t="shared" si="93"/>
        <v>0</v>
      </c>
      <c r="M476">
        <f t="shared" si="94"/>
        <v>0</v>
      </c>
      <c r="N476">
        <f t="shared" si="95"/>
        <v>0</v>
      </c>
    </row>
    <row r="477" spans="1:14" x14ac:dyDescent="0.35">
      <c r="A477" s="17">
        <v>45440</v>
      </c>
      <c r="B477">
        <f>AVERAGE(Tableau2[[#This Row],[AWB]:[IAM]])</f>
        <v>6.5840116846806089E-3</v>
      </c>
      <c r="C477">
        <f t="shared" si="84"/>
        <v>0</v>
      </c>
      <c r="D477">
        <f t="shared" si="85"/>
        <v>0</v>
      </c>
      <c r="E477">
        <f t="shared" si="86"/>
        <v>0</v>
      </c>
      <c r="F477">
        <f t="shared" si="87"/>
        <v>0</v>
      </c>
      <c r="G477">
        <f t="shared" si="88"/>
        <v>1</v>
      </c>
      <c r="H477">
        <f t="shared" si="89"/>
        <v>0</v>
      </c>
      <c r="I477">
        <f t="shared" si="90"/>
        <v>0</v>
      </c>
      <c r="J477">
        <f t="shared" si="91"/>
        <v>0</v>
      </c>
      <c r="K477">
        <f t="shared" si="92"/>
        <v>0</v>
      </c>
      <c r="L477">
        <f t="shared" si="93"/>
        <v>0</v>
      </c>
      <c r="M477">
        <f t="shared" si="94"/>
        <v>0</v>
      </c>
      <c r="N477">
        <f t="shared" si="95"/>
        <v>0</v>
      </c>
    </row>
    <row r="478" spans="1:14" x14ac:dyDescent="0.35">
      <c r="A478" s="17">
        <v>45441</v>
      </c>
      <c r="B478">
        <f>AVERAGE(Tableau2[[#This Row],[AWB]:[IAM]])</f>
        <v>-4.3649078156598135E-3</v>
      </c>
      <c r="C478">
        <f t="shared" si="84"/>
        <v>0</v>
      </c>
      <c r="D478">
        <f t="shared" si="85"/>
        <v>0</v>
      </c>
      <c r="E478">
        <f t="shared" si="86"/>
        <v>0</v>
      </c>
      <c r="F478">
        <f t="shared" si="87"/>
        <v>0</v>
      </c>
      <c r="G478">
        <f t="shared" si="88"/>
        <v>1</v>
      </c>
      <c r="H478">
        <f t="shared" si="89"/>
        <v>0</v>
      </c>
      <c r="I478">
        <f t="shared" si="90"/>
        <v>0</v>
      </c>
      <c r="J478">
        <f t="shared" si="91"/>
        <v>0</v>
      </c>
      <c r="K478">
        <f t="shared" si="92"/>
        <v>0</v>
      </c>
      <c r="L478">
        <f t="shared" si="93"/>
        <v>0</v>
      </c>
      <c r="M478">
        <f t="shared" si="94"/>
        <v>0</v>
      </c>
      <c r="N478">
        <f t="shared" si="95"/>
        <v>0</v>
      </c>
    </row>
    <row r="479" spans="1:14" x14ac:dyDescent="0.35">
      <c r="A479" s="17">
        <v>45442</v>
      </c>
      <c r="B479">
        <f>AVERAGE(Tableau2[[#This Row],[AWB]:[IAM]])</f>
        <v>-1.8609159346931199E-3</v>
      </c>
      <c r="C479">
        <f t="shared" si="84"/>
        <v>0</v>
      </c>
      <c r="D479">
        <f t="shared" si="85"/>
        <v>0</v>
      </c>
      <c r="E479">
        <f t="shared" si="86"/>
        <v>0</v>
      </c>
      <c r="F479">
        <f t="shared" si="87"/>
        <v>0</v>
      </c>
      <c r="G479">
        <f t="shared" si="88"/>
        <v>1</v>
      </c>
      <c r="H479">
        <f t="shared" si="89"/>
        <v>0</v>
      </c>
      <c r="I479">
        <f t="shared" si="90"/>
        <v>0</v>
      </c>
      <c r="J479">
        <f t="shared" si="91"/>
        <v>0</v>
      </c>
      <c r="K479">
        <f t="shared" si="92"/>
        <v>0</v>
      </c>
      <c r="L479">
        <f t="shared" si="93"/>
        <v>0</v>
      </c>
      <c r="M479">
        <f t="shared" si="94"/>
        <v>0</v>
      </c>
      <c r="N479">
        <f t="shared" si="95"/>
        <v>0</v>
      </c>
    </row>
    <row r="480" spans="1:14" x14ac:dyDescent="0.35">
      <c r="A480" s="17">
        <v>45443</v>
      </c>
      <c r="B480">
        <f>AVERAGE(Tableau2[[#This Row],[AWB]:[IAM]])</f>
        <v>-6.7956853778278264E-3</v>
      </c>
      <c r="C480">
        <f t="shared" si="84"/>
        <v>0</v>
      </c>
      <c r="D480">
        <f t="shared" si="85"/>
        <v>0</v>
      </c>
      <c r="E480">
        <f t="shared" si="86"/>
        <v>0</v>
      </c>
      <c r="F480">
        <f t="shared" si="87"/>
        <v>0</v>
      </c>
      <c r="G480">
        <f t="shared" si="88"/>
        <v>1</v>
      </c>
      <c r="H480">
        <f t="shared" si="89"/>
        <v>0</v>
      </c>
      <c r="I480">
        <f t="shared" si="90"/>
        <v>0</v>
      </c>
      <c r="J480">
        <f t="shared" si="91"/>
        <v>0</v>
      </c>
      <c r="K480">
        <f t="shared" si="92"/>
        <v>0</v>
      </c>
      <c r="L480">
        <f t="shared" si="93"/>
        <v>0</v>
      </c>
      <c r="M480">
        <f t="shared" si="94"/>
        <v>0</v>
      </c>
      <c r="N480">
        <f t="shared" si="95"/>
        <v>0</v>
      </c>
    </row>
    <row r="481" spans="1:14" x14ac:dyDescent="0.35">
      <c r="A481" s="17">
        <v>45449</v>
      </c>
      <c r="B481">
        <f>AVERAGE(Tableau2[[#This Row],[AWB]:[IAM]])</f>
        <v>-8.669702288119174E-3</v>
      </c>
      <c r="C481">
        <f t="shared" si="84"/>
        <v>0</v>
      </c>
      <c r="D481">
        <f t="shared" si="85"/>
        <v>0</v>
      </c>
      <c r="E481">
        <f t="shared" si="86"/>
        <v>0</v>
      </c>
      <c r="F481">
        <f t="shared" si="87"/>
        <v>0</v>
      </c>
      <c r="G481">
        <f t="shared" si="88"/>
        <v>0</v>
      </c>
      <c r="H481">
        <f t="shared" si="89"/>
        <v>1</v>
      </c>
      <c r="I481">
        <f t="shared" si="90"/>
        <v>0</v>
      </c>
      <c r="J481">
        <f t="shared" si="91"/>
        <v>0</v>
      </c>
      <c r="K481">
        <f t="shared" si="92"/>
        <v>0</v>
      </c>
      <c r="L481">
        <f t="shared" si="93"/>
        <v>0</v>
      </c>
      <c r="M481">
        <f t="shared" si="94"/>
        <v>0</v>
      </c>
      <c r="N481">
        <f t="shared" si="95"/>
        <v>0</v>
      </c>
    </row>
    <row r="482" spans="1:14" x14ac:dyDescent="0.35">
      <c r="A482" s="17">
        <v>45450</v>
      </c>
      <c r="B482">
        <f>AVERAGE(Tableau2[[#This Row],[AWB]:[IAM]])</f>
        <v>-5.3916104400802915E-3</v>
      </c>
      <c r="C482">
        <f t="shared" si="84"/>
        <v>0</v>
      </c>
      <c r="D482">
        <f t="shared" si="85"/>
        <v>0</v>
      </c>
      <c r="E482">
        <f t="shared" si="86"/>
        <v>0</v>
      </c>
      <c r="F482">
        <f t="shared" si="87"/>
        <v>0</v>
      </c>
      <c r="G482">
        <f t="shared" si="88"/>
        <v>0</v>
      </c>
      <c r="H482">
        <f t="shared" si="89"/>
        <v>1</v>
      </c>
      <c r="I482">
        <f t="shared" si="90"/>
        <v>0</v>
      </c>
      <c r="J482">
        <f t="shared" si="91"/>
        <v>0</v>
      </c>
      <c r="K482">
        <f t="shared" si="92"/>
        <v>0</v>
      </c>
      <c r="L482">
        <f t="shared" si="93"/>
        <v>0</v>
      </c>
      <c r="M482">
        <f t="shared" si="94"/>
        <v>0</v>
      </c>
      <c r="N482">
        <f t="shared" si="95"/>
        <v>0</v>
      </c>
    </row>
    <row r="483" spans="1:14" x14ac:dyDescent="0.35">
      <c r="A483" s="17">
        <v>45453</v>
      </c>
      <c r="B483">
        <f>AVERAGE(Tableau2[[#This Row],[AWB]:[IAM]])</f>
        <v>2.2863069893035696E-4</v>
      </c>
      <c r="C483">
        <f t="shared" si="84"/>
        <v>0</v>
      </c>
      <c r="D483">
        <f t="shared" si="85"/>
        <v>0</v>
      </c>
      <c r="E483">
        <f t="shared" si="86"/>
        <v>0</v>
      </c>
      <c r="F483">
        <f t="shared" si="87"/>
        <v>0</v>
      </c>
      <c r="G483">
        <f t="shared" si="88"/>
        <v>0</v>
      </c>
      <c r="H483">
        <f t="shared" si="89"/>
        <v>1</v>
      </c>
      <c r="I483">
        <f t="shared" si="90"/>
        <v>0</v>
      </c>
      <c r="J483">
        <f t="shared" si="91"/>
        <v>0</v>
      </c>
      <c r="K483">
        <f t="shared" si="92"/>
        <v>0</v>
      </c>
      <c r="L483">
        <f t="shared" si="93"/>
        <v>0</v>
      </c>
      <c r="M483">
        <f t="shared" si="94"/>
        <v>0</v>
      </c>
      <c r="N483">
        <f t="shared" si="95"/>
        <v>0</v>
      </c>
    </row>
    <row r="484" spans="1:14" x14ac:dyDescent="0.35">
      <c r="A484" s="17">
        <v>45457</v>
      </c>
      <c r="B484">
        <f>AVERAGE(Tableau2[[#This Row],[AWB]:[IAM]])</f>
        <v>5.4456418244893095E-3</v>
      </c>
      <c r="C484">
        <f t="shared" si="84"/>
        <v>0</v>
      </c>
      <c r="D484">
        <f t="shared" si="85"/>
        <v>0</v>
      </c>
      <c r="E484">
        <f t="shared" si="86"/>
        <v>0</v>
      </c>
      <c r="F484">
        <f t="shared" si="87"/>
        <v>0</v>
      </c>
      <c r="G484">
        <f t="shared" si="88"/>
        <v>0</v>
      </c>
      <c r="H484">
        <f t="shared" si="89"/>
        <v>1</v>
      </c>
      <c r="I484">
        <f t="shared" si="90"/>
        <v>0</v>
      </c>
      <c r="J484">
        <f t="shared" si="91"/>
        <v>0</v>
      </c>
      <c r="K484">
        <f t="shared" si="92"/>
        <v>0</v>
      </c>
      <c r="L484">
        <f t="shared" si="93"/>
        <v>0</v>
      </c>
      <c r="M484">
        <f t="shared" si="94"/>
        <v>0</v>
      </c>
      <c r="N484">
        <f t="shared" si="95"/>
        <v>0</v>
      </c>
    </row>
    <row r="485" spans="1:14" x14ac:dyDescent="0.35">
      <c r="A485" s="17">
        <v>45463</v>
      </c>
      <c r="B485">
        <f>AVERAGE(Tableau2[[#This Row],[AWB]:[IAM]])</f>
        <v>5.7434018090698575E-3</v>
      </c>
      <c r="C485">
        <f t="shared" si="84"/>
        <v>0</v>
      </c>
      <c r="D485">
        <f t="shared" si="85"/>
        <v>0</v>
      </c>
      <c r="E485">
        <f t="shared" si="86"/>
        <v>0</v>
      </c>
      <c r="F485">
        <f t="shared" si="87"/>
        <v>0</v>
      </c>
      <c r="G485">
        <f t="shared" si="88"/>
        <v>0</v>
      </c>
      <c r="H485">
        <f t="shared" si="89"/>
        <v>1</v>
      </c>
      <c r="I485">
        <f t="shared" si="90"/>
        <v>0</v>
      </c>
      <c r="J485">
        <f t="shared" si="91"/>
        <v>0</v>
      </c>
      <c r="K485">
        <f t="shared" si="92"/>
        <v>0</v>
      </c>
      <c r="L485">
        <f t="shared" si="93"/>
        <v>0</v>
      </c>
      <c r="M485">
        <f t="shared" si="94"/>
        <v>0</v>
      </c>
      <c r="N485">
        <f t="shared" si="95"/>
        <v>0</v>
      </c>
    </row>
    <row r="486" spans="1:14" x14ac:dyDescent="0.35">
      <c r="A486" s="17">
        <v>45464</v>
      </c>
      <c r="B486">
        <f>AVERAGE(Tableau2[[#This Row],[AWB]:[IAM]])</f>
        <v>-8.5922562614579763E-3</v>
      </c>
      <c r="C486">
        <f t="shared" si="84"/>
        <v>0</v>
      </c>
      <c r="D486">
        <f t="shared" si="85"/>
        <v>0</v>
      </c>
      <c r="E486">
        <f t="shared" si="86"/>
        <v>0</v>
      </c>
      <c r="F486">
        <f t="shared" si="87"/>
        <v>0</v>
      </c>
      <c r="G486">
        <f t="shared" si="88"/>
        <v>0</v>
      </c>
      <c r="H486">
        <f t="shared" si="89"/>
        <v>1</v>
      </c>
      <c r="I486">
        <f t="shared" si="90"/>
        <v>0</v>
      </c>
      <c r="J486">
        <f t="shared" si="91"/>
        <v>0</v>
      </c>
      <c r="K486">
        <f t="shared" si="92"/>
        <v>0</v>
      </c>
      <c r="L486">
        <f t="shared" si="93"/>
        <v>0</v>
      </c>
      <c r="M486">
        <f t="shared" si="94"/>
        <v>0</v>
      </c>
      <c r="N486">
        <f t="shared" si="95"/>
        <v>0</v>
      </c>
    </row>
    <row r="487" spans="1:14" x14ac:dyDescent="0.35">
      <c r="A487" s="17">
        <v>45469</v>
      </c>
      <c r="B487">
        <f>AVERAGE(Tableau2[[#This Row],[AWB]:[IAM]])</f>
        <v>1.0506306536836783E-2</v>
      </c>
      <c r="C487">
        <f t="shared" si="84"/>
        <v>0</v>
      </c>
      <c r="D487">
        <f t="shared" si="85"/>
        <v>0</v>
      </c>
      <c r="E487">
        <f t="shared" si="86"/>
        <v>0</v>
      </c>
      <c r="F487">
        <f t="shared" si="87"/>
        <v>0</v>
      </c>
      <c r="G487">
        <f t="shared" si="88"/>
        <v>0</v>
      </c>
      <c r="H487">
        <f t="shared" si="89"/>
        <v>1</v>
      </c>
      <c r="I487">
        <f t="shared" si="90"/>
        <v>0</v>
      </c>
      <c r="J487">
        <f t="shared" si="91"/>
        <v>0</v>
      </c>
      <c r="K487">
        <f t="shared" si="92"/>
        <v>0</v>
      </c>
      <c r="L487">
        <f t="shared" si="93"/>
        <v>0</v>
      </c>
      <c r="M487">
        <f t="shared" si="94"/>
        <v>0</v>
      </c>
      <c r="N487">
        <f t="shared" si="95"/>
        <v>0</v>
      </c>
    </row>
    <row r="488" spans="1:14" x14ac:dyDescent="0.35">
      <c r="A488" s="17">
        <v>45470</v>
      </c>
      <c r="B488">
        <f>AVERAGE(Tableau2[[#This Row],[AWB]:[IAM]])</f>
        <v>-1.6760265143534157E-3</v>
      </c>
      <c r="C488">
        <f t="shared" si="84"/>
        <v>0</v>
      </c>
      <c r="D488">
        <f t="shared" si="85"/>
        <v>0</v>
      </c>
      <c r="E488">
        <f t="shared" si="86"/>
        <v>0</v>
      </c>
      <c r="F488">
        <f t="shared" si="87"/>
        <v>0</v>
      </c>
      <c r="G488">
        <f t="shared" si="88"/>
        <v>0</v>
      </c>
      <c r="H488">
        <f t="shared" si="89"/>
        <v>1</v>
      </c>
      <c r="I488">
        <f t="shared" si="90"/>
        <v>0</v>
      </c>
      <c r="J488">
        <f t="shared" si="91"/>
        <v>0</v>
      </c>
      <c r="K488">
        <f t="shared" si="92"/>
        <v>0</v>
      </c>
      <c r="L488">
        <f t="shared" si="93"/>
        <v>0</v>
      </c>
      <c r="M488">
        <f t="shared" si="94"/>
        <v>0</v>
      </c>
      <c r="N488">
        <f t="shared" si="95"/>
        <v>0</v>
      </c>
    </row>
    <row r="489" spans="1:14" x14ac:dyDescent="0.35">
      <c r="A489" s="17">
        <v>45471</v>
      </c>
      <c r="B489">
        <f>AVERAGE(Tableau2[[#This Row],[AWB]:[IAM]])</f>
        <v>-1.8862963444114865E-3</v>
      </c>
      <c r="C489">
        <f t="shared" si="84"/>
        <v>0</v>
      </c>
      <c r="D489">
        <f t="shared" si="85"/>
        <v>0</v>
      </c>
      <c r="E489">
        <f t="shared" si="86"/>
        <v>0</v>
      </c>
      <c r="F489">
        <f t="shared" si="87"/>
        <v>0</v>
      </c>
      <c r="G489">
        <f t="shared" si="88"/>
        <v>0</v>
      </c>
      <c r="H489">
        <f t="shared" si="89"/>
        <v>1</v>
      </c>
      <c r="I489">
        <f t="shared" si="90"/>
        <v>0</v>
      </c>
      <c r="J489">
        <f t="shared" si="91"/>
        <v>0</v>
      </c>
      <c r="K489">
        <f t="shared" si="92"/>
        <v>0</v>
      </c>
      <c r="L489">
        <f t="shared" si="93"/>
        <v>0</v>
      </c>
      <c r="M489">
        <f t="shared" si="94"/>
        <v>0</v>
      </c>
      <c r="N489">
        <f t="shared" si="95"/>
        <v>0</v>
      </c>
    </row>
    <row r="490" spans="1:14" x14ac:dyDescent="0.35">
      <c r="A490" s="17">
        <v>45474</v>
      </c>
      <c r="B490">
        <f>AVERAGE(Tableau2[[#This Row],[AWB]:[IAM]])</f>
        <v>1.8184481064558047E-3</v>
      </c>
      <c r="C490">
        <f t="shared" si="84"/>
        <v>0</v>
      </c>
      <c r="D490">
        <f t="shared" si="85"/>
        <v>0</v>
      </c>
      <c r="E490">
        <f t="shared" si="86"/>
        <v>0</v>
      </c>
      <c r="F490">
        <f t="shared" si="87"/>
        <v>0</v>
      </c>
      <c r="G490">
        <f t="shared" si="88"/>
        <v>0</v>
      </c>
      <c r="H490">
        <f t="shared" si="89"/>
        <v>0</v>
      </c>
      <c r="I490">
        <f t="shared" si="90"/>
        <v>1</v>
      </c>
      <c r="J490">
        <f t="shared" si="91"/>
        <v>0</v>
      </c>
      <c r="K490">
        <f t="shared" si="92"/>
        <v>0</v>
      </c>
      <c r="L490">
        <f t="shared" si="93"/>
        <v>0</v>
      </c>
      <c r="M490">
        <f t="shared" si="94"/>
        <v>0</v>
      </c>
      <c r="N490">
        <f t="shared" si="95"/>
        <v>0</v>
      </c>
    </row>
    <row r="491" spans="1:14" x14ac:dyDescent="0.35">
      <c r="A491" s="17">
        <v>45475</v>
      </c>
      <c r="B491">
        <f>AVERAGE(Tableau2[[#This Row],[AWB]:[IAM]])</f>
        <v>-1.0590309750643689E-2</v>
      </c>
      <c r="C491">
        <f t="shared" si="84"/>
        <v>0</v>
      </c>
      <c r="D491">
        <f t="shared" si="85"/>
        <v>0</v>
      </c>
      <c r="E491">
        <f t="shared" si="86"/>
        <v>0</v>
      </c>
      <c r="F491">
        <f t="shared" si="87"/>
        <v>0</v>
      </c>
      <c r="G491">
        <f t="shared" si="88"/>
        <v>0</v>
      </c>
      <c r="H491">
        <f t="shared" si="89"/>
        <v>0</v>
      </c>
      <c r="I491">
        <f t="shared" si="90"/>
        <v>1</v>
      </c>
      <c r="J491">
        <f t="shared" si="91"/>
        <v>0</v>
      </c>
      <c r="K491">
        <f t="shared" si="92"/>
        <v>0</v>
      </c>
      <c r="L491">
        <f t="shared" si="93"/>
        <v>0</v>
      </c>
      <c r="M491">
        <f t="shared" si="94"/>
        <v>0</v>
      </c>
      <c r="N491">
        <f t="shared" si="95"/>
        <v>0</v>
      </c>
    </row>
    <row r="492" spans="1:14" x14ac:dyDescent="0.35">
      <c r="A492" s="17">
        <v>45478</v>
      </c>
      <c r="B492">
        <f>AVERAGE(Tableau2[[#This Row],[AWB]:[IAM]])</f>
        <v>1.2348084864582564E-2</v>
      </c>
      <c r="C492">
        <f t="shared" si="84"/>
        <v>0</v>
      </c>
      <c r="D492">
        <f t="shared" si="85"/>
        <v>0</v>
      </c>
      <c r="E492">
        <f t="shared" si="86"/>
        <v>0</v>
      </c>
      <c r="F492">
        <f t="shared" si="87"/>
        <v>0</v>
      </c>
      <c r="G492">
        <f t="shared" si="88"/>
        <v>0</v>
      </c>
      <c r="H492">
        <f t="shared" si="89"/>
        <v>0</v>
      </c>
      <c r="I492">
        <f t="shared" si="90"/>
        <v>1</v>
      </c>
      <c r="J492">
        <f t="shared" si="91"/>
        <v>0</v>
      </c>
      <c r="K492">
        <f t="shared" si="92"/>
        <v>0</v>
      </c>
      <c r="L492">
        <f t="shared" si="93"/>
        <v>0</v>
      </c>
      <c r="M492">
        <f t="shared" si="94"/>
        <v>0</v>
      </c>
      <c r="N492">
        <f t="shared" si="95"/>
        <v>0</v>
      </c>
    </row>
    <row r="493" spans="1:14" x14ac:dyDescent="0.35">
      <c r="A493" s="17">
        <v>45485</v>
      </c>
      <c r="B493">
        <f>AVERAGE(Tableau2[[#This Row],[AWB]:[IAM]])</f>
        <v>-6.3963442828138114E-3</v>
      </c>
      <c r="C493">
        <f t="shared" si="84"/>
        <v>0</v>
      </c>
      <c r="D493">
        <f t="shared" si="85"/>
        <v>0</v>
      </c>
      <c r="E493">
        <f t="shared" si="86"/>
        <v>0</v>
      </c>
      <c r="F493">
        <f t="shared" si="87"/>
        <v>0</v>
      </c>
      <c r="G493">
        <f t="shared" si="88"/>
        <v>0</v>
      </c>
      <c r="H493">
        <f t="shared" si="89"/>
        <v>0</v>
      </c>
      <c r="I493">
        <f t="shared" si="90"/>
        <v>1</v>
      </c>
      <c r="J493">
        <f t="shared" si="91"/>
        <v>0</v>
      </c>
      <c r="K493">
        <f t="shared" si="92"/>
        <v>0</v>
      </c>
      <c r="L493">
        <f t="shared" si="93"/>
        <v>0</v>
      </c>
      <c r="M493">
        <f t="shared" si="94"/>
        <v>0</v>
      </c>
      <c r="N493">
        <f t="shared" si="95"/>
        <v>0</v>
      </c>
    </row>
    <row r="494" spans="1:14" x14ac:dyDescent="0.35">
      <c r="A494" s="17">
        <v>45488</v>
      </c>
      <c r="B494">
        <f>AVERAGE(Tableau2[[#This Row],[AWB]:[IAM]])</f>
        <v>-3.1436439795027677E-3</v>
      </c>
      <c r="C494">
        <f t="shared" si="84"/>
        <v>0</v>
      </c>
      <c r="D494">
        <f t="shared" si="85"/>
        <v>0</v>
      </c>
      <c r="E494">
        <f t="shared" si="86"/>
        <v>0</v>
      </c>
      <c r="F494">
        <f t="shared" si="87"/>
        <v>0</v>
      </c>
      <c r="G494">
        <f t="shared" si="88"/>
        <v>0</v>
      </c>
      <c r="H494">
        <f t="shared" si="89"/>
        <v>0</v>
      </c>
      <c r="I494">
        <f t="shared" si="90"/>
        <v>1</v>
      </c>
      <c r="J494">
        <f t="shared" si="91"/>
        <v>0</v>
      </c>
      <c r="K494">
        <f t="shared" si="92"/>
        <v>0</v>
      </c>
      <c r="L494">
        <f t="shared" si="93"/>
        <v>0</v>
      </c>
      <c r="M494">
        <f t="shared" si="94"/>
        <v>0</v>
      </c>
      <c r="N494">
        <f t="shared" si="95"/>
        <v>0</v>
      </c>
    </row>
    <row r="495" spans="1:14" x14ac:dyDescent="0.35">
      <c r="A495" s="17">
        <v>45490</v>
      </c>
      <c r="B495">
        <f>AVERAGE(Tableau2[[#This Row],[AWB]:[IAM]])</f>
        <v>9.806626583901322E-3</v>
      </c>
      <c r="C495">
        <f t="shared" si="84"/>
        <v>0</v>
      </c>
      <c r="D495">
        <f t="shared" si="85"/>
        <v>0</v>
      </c>
      <c r="E495">
        <f t="shared" si="86"/>
        <v>0</v>
      </c>
      <c r="F495">
        <f t="shared" si="87"/>
        <v>0</v>
      </c>
      <c r="G495">
        <f t="shared" si="88"/>
        <v>0</v>
      </c>
      <c r="H495">
        <f t="shared" si="89"/>
        <v>0</v>
      </c>
      <c r="I495">
        <f t="shared" si="90"/>
        <v>1</v>
      </c>
      <c r="J495">
        <f t="shared" si="91"/>
        <v>0</v>
      </c>
      <c r="K495">
        <f t="shared" si="92"/>
        <v>0</v>
      </c>
      <c r="L495">
        <f t="shared" si="93"/>
        <v>0</v>
      </c>
      <c r="M495">
        <f t="shared" si="94"/>
        <v>0</v>
      </c>
      <c r="N495">
        <f t="shared" si="95"/>
        <v>0</v>
      </c>
    </row>
    <row r="496" spans="1:14" x14ac:dyDescent="0.35">
      <c r="A496" s="17">
        <v>45491</v>
      </c>
      <c r="B496">
        <f>AVERAGE(Tableau2[[#This Row],[AWB]:[IAM]])</f>
        <v>1.698509435469652E-3</v>
      </c>
      <c r="C496">
        <f t="shared" si="84"/>
        <v>0</v>
      </c>
      <c r="D496">
        <f t="shared" si="85"/>
        <v>0</v>
      </c>
      <c r="E496">
        <f t="shared" si="86"/>
        <v>0</v>
      </c>
      <c r="F496">
        <f t="shared" si="87"/>
        <v>0</v>
      </c>
      <c r="G496">
        <f t="shared" si="88"/>
        <v>0</v>
      </c>
      <c r="H496">
        <f t="shared" si="89"/>
        <v>0</v>
      </c>
      <c r="I496">
        <f t="shared" si="90"/>
        <v>1</v>
      </c>
      <c r="J496">
        <f t="shared" si="91"/>
        <v>0</v>
      </c>
      <c r="K496">
        <f t="shared" si="92"/>
        <v>0</v>
      </c>
      <c r="L496">
        <f t="shared" si="93"/>
        <v>0</v>
      </c>
      <c r="M496">
        <f t="shared" si="94"/>
        <v>0</v>
      </c>
      <c r="N496">
        <f t="shared" si="95"/>
        <v>0</v>
      </c>
    </row>
    <row r="497" spans="1:14" x14ac:dyDescent="0.35">
      <c r="A497" s="17">
        <v>45492</v>
      </c>
      <c r="B497">
        <f>AVERAGE(Tableau2[[#This Row],[AWB]:[IAM]])</f>
        <v>-6.9728280849669063E-4</v>
      </c>
      <c r="C497">
        <f t="shared" si="84"/>
        <v>0</v>
      </c>
      <c r="D497">
        <f t="shared" si="85"/>
        <v>0</v>
      </c>
      <c r="E497">
        <f t="shared" si="86"/>
        <v>0</v>
      </c>
      <c r="F497">
        <f t="shared" si="87"/>
        <v>0</v>
      </c>
      <c r="G497">
        <f t="shared" si="88"/>
        <v>0</v>
      </c>
      <c r="H497">
        <f t="shared" si="89"/>
        <v>0</v>
      </c>
      <c r="I497">
        <f t="shared" si="90"/>
        <v>1</v>
      </c>
      <c r="J497">
        <f t="shared" si="91"/>
        <v>0</v>
      </c>
      <c r="K497">
        <f t="shared" si="92"/>
        <v>0</v>
      </c>
      <c r="L497">
        <f t="shared" si="93"/>
        <v>0</v>
      </c>
      <c r="M497">
        <f t="shared" si="94"/>
        <v>0</v>
      </c>
      <c r="N497">
        <f t="shared" si="95"/>
        <v>0</v>
      </c>
    </row>
    <row r="498" spans="1:14" x14ac:dyDescent="0.35">
      <c r="A498" s="17">
        <v>45495</v>
      </c>
      <c r="B498">
        <f>AVERAGE(Tableau2[[#This Row],[AWB]:[IAM]])</f>
        <v>7.2362922111711752E-3</v>
      </c>
      <c r="C498">
        <f t="shared" si="84"/>
        <v>0</v>
      </c>
      <c r="D498">
        <f t="shared" si="85"/>
        <v>0</v>
      </c>
      <c r="E498">
        <f t="shared" si="86"/>
        <v>0</v>
      </c>
      <c r="F498">
        <f t="shared" si="87"/>
        <v>0</v>
      </c>
      <c r="G498">
        <f t="shared" si="88"/>
        <v>0</v>
      </c>
      <c r="H498">
        <f t="shared" si="89"/>
        <v>0</v>
      </c>
      <c r="I498">
        <f t="shared" si="90"/>
        <v>1</v>
      </c>
      <c r="J498">
        <f t="shared" si="91"/>
        <v>0</v>
      </c>
      <c r="K498">
        <f t="shared" si="92"/>
        <v>0</v>
      </c>
      <c r="L498">
        <f t="shared" si="93"/>
        <v>0</v>
      </c>
      <c r="M498">
        <f t="shared" si="94"/>
        <v>0</v>
      </c>
      <c r="N498">
        <f t="shared" si="95"/>
        <v>0</v>
      </c>
    </row>
    <row r="499" spans="1:14" x14ac:dyDescent="0.35">
      <c r="A499" s="17">
        <v>45496</v>
      </c>
      <c r="B499">
        <f>AVERAGE(Tableau2[[#This Row],[AWB]:[IAM]])</f>
        <v>1.6333713627491998E-3</v>
      </c>
      <c r="C499">
        <f t="shared" si="84"/>
        <v>0</v>
      </c>
      <c r="D499">
        <f t="shared" si="85"/>
        <v>0</v>
      </c>
      <c r="E499">
        <f t="shared" si="86"/>
        <v>0</v>
      </c>
      <c r="F499">
        <f t="shared" si="87"/>
        <v>0</v>
      </c>
      <c r="G499">
        <f t="shared" si="88"/>
        <v>0</v>
      </c>
      <c r="H499">
        <f t="shared" si="89"/>
        <v>0</v>
      </c>
      <c r="I499">
        <f t="shared" si="90"/>
        <v>1</v>
      </c>
      <c r="J499">
        <f t="shared" si="91"/>
        <v>0</v>
      </c>
      <c r="K499">
        <f t="shared" si="92"/>
        <v>0</v>
      </c>
      <c r="L499">
        <f t="shared" si="93"/>
        <v>0</v>
      </c>
      <c r="M499">
        <f t="shared" si="94"/>
        <v>0</v>
      </c>
      <c r="N499">
        <f t="shared" si="95"/>
        <v>0</v>
      </c>
    </row>
    <row r="500" spans="1:14" x14ac:dyDescent="0.35">
      <c r="A500" s="17">
        <v>45497</v>
      </c>
      <c r="B500">
        <f>AVERAGE(Tableau2[[#This Row],[AWB]:[IAM]])</f>
        <v>5.1765142019003082E-3</v>
      </c>
      <c r="C500">
        <f t="shared" si="84"/>
        <v>0</v>
      </c>
      <c r="D500">
        <f t="shared" si="85"/>
        <v>0</v>
      </c>
      <c r="E500">
        <f t="shared" si="86"/>
        <v>0</v>
      </c>
      <c r="F500">
        <f t="shared" si="87"/>
        <v>0</v>
      </c>
      <c r="G500">
        <f t="shared" si="88"/>
        <v>0</v>
      </c>
      <c r="H500">
        <f t="shared" si="89"/>
        <v>0</v>
      </c>
      <c r="I500">
        <f t="shared" si="90"/>
        <v>1</v>
      </c>
      <c r="J500">
        <f t="shared" si="91"/>
        <v>0</v>
      </c>
      <c r="K500">
        <f t="shared" si="92"/>
        <v>0</v>
      </c>
      <c r="L500">
        <f t="shared" si="93"/>
        <v>0</v>
      </c>
      <c r="M500">
        <f t="shared" si="94"/>
        <v>0</v>
      </c>
      <c r="N500">
        <f t="shared" si="95"/>
        <v>0</v>
      </c>
    </row>
    <row r="501" spans="1:14" x14ac:dyDescent="0.35">
      <c r="A501" s="17">
        <v>45499</v>
      </c>
      <c r="B501">
        <f>AVERAGE(Tableau2[[#This Row],[AWB]:[IAM]])</f>
        <v>6.4697862504312312E-3</v>
      </c>
      <c r="C501">
        <f t="shared" si="84"/>
        <v>0</v>
      </c>
      <c r="D501">
        <f t="shared" si="85"/>
        <v>0</v>
      </c>
      <c r="E501">
        <f t="shared" si="86"/>
        <v>0</v>
      </c>
      <c r="F501">
        <f t="shared" si="87"/>
        <v>0</v>
      </c>
      <c r="G501">
        <f t="shared" si="88"/>
        <v>0</v>
      </c>
      <c r="H501">
        <f t="shared" si="89"/>
        <v>0</v>
      </c>
      <c r="I501">
        <f t="shared" si="90"/>
        <v>1</v>
      </c>
      <c r="J501">
        <f t="shared" si="91"/>
        <v>0</v>
      </c>
      <c r="K501">
        <f t="shared" si="92"/>
        <v>0</v>
      </c>
      <c r="L501">
        <f t="shared" si="93"/>
        <v>0</v>
      </c>
      <c r="M501">
        <f t="shared" si="94"/>
        <v>0</v>
      </c>
      <c r="N501">
        <f t="shared" si="95"/>
        <v>0</v>
      </c>
    </row>
    <row r="502" spans="1:14" x14ac:dyDescent="0.35">
      <c r="A502" s="17">
        <v>45502</v>
      </c>
      <c r="B502">
        <f>AVERAGE(Tableau2[[#This Row],[AWB]:[IAM]])</f>
        <v>8.2717898267347777E-3</v>
      </c>
      <c r="C502">
        <f t="shared" si="84"/>
        <v>0</v>
      </c>
      <c r="D502">
        <f t="shared" si="85"/>
        <v>0</v>
      </c>
      <c r="E502">
        <f t="shared" si="86"/>
        <v>0</v>
      </c>
      <c r="F502">
        <f t="shared" si="87"/>
        <v>0</v>
      </c>
      <c r="G502">
        <f t="shared" si="88"/>
        <v>0</v>
      </c>
      <c r="H502">
        <f t="shared" si="89"/>
        <v>0</v>
      </c>
      <c r="I502">
        <f t="shared" si="90"/>
        <v>1</v>
      </c>
      <c r="J502">
        <f t="shared" si="91"/>
        <v>0</v>
      </c>
      <c r="K502">
        <f t="shared" si="92"/>
        <v>0</v>
      </c>
      <c r="L502">
        <f t="shared" si="93"/>
        <v>0</v>
      </c>
      <c r="M502">
        <f t="shared" si="94"/>
        <v>0</v>
      </c>
      <c r="N502">
        <f t="shared" si="95"/>
        <v>0</v>
      </c>
    </row>
    <row r="503" spans="1:14" x14ac:dyDescent="0.35">
      <c r="A503" s="17">
        <v>45506</v>
      </c>
      <c r="B503">
        <f>AVERAGE(Tableau2[[#This Row],[AWB]:[IAM]])</f>
        <v>4.00410158547089E-3</v>
      </c>
      <c r="C503">
        <f t="shared" si="84"/>
        <v>0</v>
      </c>
      <c r="D503">
        <f t="shared" si="85"/>
        <v>0</v>
      </c>
      <c r="E503">
        <f t="shared" si="86"/>
        <v>0</v>
      </c>
      <c r="F503">
        <f t="shared" si="87"/>
        <v>0</v>
      </c>
      <c r="G503">
        <f t="shared" si="88"/>
        <v>0</v>
      </c>
      <c r="H503">
        <f t="shared" si="89"/>
        <v>0</v>
      </c>
      <c r="I503">
        <f t="shared" si="90"/>
        <v>0</v>
      </c>
      <c r="J503">
        <f t="shared" si="91"/>
        <v>1</v>
      </c>
      <c r="K503">
        <f t="shared" si="92"/>
        <v>0</v>
      </c>
      <c r="L503">
        <f t="shared" si="93"/>
        <v>0</v>
      </c>
      <c r="M503">
        <f t="shared" si="94"/>
        <v>0</v>
      </c>
      <c r="N503">
        <f t="shared" si="95"/>
        <v>0</v>
      </c>
    </row>
    <row r="504" spans="1:14" x14ac:dyDescent="0.35">
      <c r="A504" s="17">
        <v>45509</v>
      </c>
      <c r="B504">
        <f>AVERAGE(Tableau2[[#This Row],[AWB]:[IAM]])</f>
        <v>-3.6093765006705372E-2</v>
      </c>
      <c r="C504">
        <f t="shared" si="84"/>
        <v>0</v>
      </c>
      <c r="D504">
        <f t="shared" si="85"/>
        <v>0</v>
      </c>
      <c r="E504">
        <f t="shared" si="86"/>
        <v>0</v>
      </c>
      <c r="F504">
        <f t="shared" si="87"/>
        <v>0</v>
      </c>
      <c r="G504">
        <f t="shared" si="88"/>
        <v>0</v>
      </c>
      <c r="H504">
        <f t="shared" si="89"/>
        <v>0</v>
      </c>
      <c r="I504">
        <f t="shared" si="90"/>
        <v>0</v>
      </c>
      <c r="J504">
        <f t="shared" si="91"/>
        <v>1</v>
      </c>
      <c r="K504">
        <f t="shared" si="92"/>
        <v>0</v>
      </c>
      <c r="L504">
        <f t="shared" si="93"/>
        <v>0</v>
      </c>
      <c r="M504">
        <f t="shared" si="94"/>
        <v>0</v>
      </c>
      <c r="N504">
        <f t="shared" si="95"/>
        <v>0</v>
      </c>
    </row>
    <row r="505" spans="1:14" x14ac:dyDescent="0.35">
      <c r="A505" s="17">
        <v>45510</v>
      </c>
      <c r="B505">
        <f>AVERAGE(Tableau2[[#This Row],[AWB]:[IAM]])</f>
        <v>1.8415443146136516E-2</v>
      </c>
      <c r="C505">
        <f t="shared" si="84"/>
        <v>0</v>
      </c>
      <c r="D505">
        <f t="shared" si="85"/>
        <v>0</v>
      </c>
      <c r="E505">
        <f t="shared" si="86"/>
        <v>0</v>
      </c>
      <c r="F505">
        <f t="shared" si="87"/>
        <v>0</v>
      </c>
      <c r="G505">
        <f t="shared" si="88"/>
        <v>0</v>
      </c>
      <c r="H505">
        <f t="shared" si="89"/>
        <v>0</v>
      </c>
      <c r="I505">
        <f t="shared" si="90"/>
        <v>0</v>
      </c>
      <c r="J505">
        <f t="shared" si="91"/>
        <v>1</v>
      </c>
      <c r="K505">
        <f t="shared" si="92"/>
        <v>0</v>
      </c>
      <c r="L505">
        <f t="shared" si="93"/>
        <v>0</v>
      </c>
      <c r="M505">
        <f t="shared" si="94"/>
        <v>0</v>
      </c>
      <c r="N505">
        <f t="shared" si="95"/>
        <v>0</v>
      </c>
    </row>
    <row r="506" spans="1:14" x14ac:dyDescent="0.35">
      <c r="A506" s="17">
        <v>45511</v>
      </c>
      <c r="B506">
        <f>AVERAGE(Tableau2[[#This Row],[AWB]:[IAM]])</f>
        <v>-2.3084491657097425E-3</v>
      </c>
      <c r="C506">
        <f t="shared" si="84"/>
        <v>0</v>
      </c>
      <c r="D506">
        <f t="shared" si="85"/>
        <v>0</v>
      </c>
      <c r="E506">
        <f t="shared" si="86"/>
        <v>0</v>
      </c>
      <c r="F506">
        <f t="shared" si="87"/>
        <v>0</v>
      </c>
      <c r="G506">
        <f t="shared" si="88"/>
        <v>0</v>
      </c>
      <c r="H506">
        <f t="shared" si="89"/>
        <v>0</v>
      </c>
      <c r="I506">
        <f t="shared" si="90"/>
        <v>0</v>
      </c>
      <c r="J506">
        <f t="shared" si="91"/>
        <v>1</v>
      </c>
      <c r="K506">
        <f t="shared" si="92"/>
        <v>0</v>
      </c>
      <c r="L506">
        <f t="shared" si="93"/>
        <v>0</v>
      </c>
      <c r="M506">
        <f t="shared" si="94"/>
        <v>0</v>
      </c>
      <c r="N506">
        <f t="shared" si="95"/>
        <v>0</v>
      </c>
    </row>
    <row r="507" spans="1:14" x14ac:dyDescent="0.35">
      <c r="A507" s="17">
        <v>45512</v>
      </c>
      <c r="B507">
        <f>AVERAGE(Tableau2[[#This Row],[AWB]:[IAM]])</f>
        <v>2.66129214489812E-3</v>
      </c>
      <c r="C507">
        <f t="shared" si="84"/>
        <v>0</v>
      </c>
      <c r="D507">
        <f t="shared" si="85"/>
        <v>0</v>
      </c>
      <c r="E507">
        <f t="shared" si="86"/>
        <v>0</v>
      </c>
      <c r="F507">
        <f t="shared" si="87"/>
        <v>0</v>
      </c>
      <c r="G507">
        <f t="shared" si="88"/>
        <v>0</v>
      </c>
      <c r="H507">
        <f t="shared" si="89"/>
        <v>0</v>
      </c>
      <c r="I507">
        <f t="shared" si="90"/>
        <v>0</v>
      </c>
      <c r="J507">
        <f t="shared" si="91"/>
        <v>1</v>
      </c>
      <c r="K507">
        <f t="shared" si="92"/>
        <v>0</v>
      </c>
      <c r="L507">
        <f t="shared" si="93"/>
        <v>0</v>
      </c>
      <c r="M507">
        <f t="shared" si="94"/>
        <v>0</v>
      </c>
      <c r="N507">
        <f t="shared" si="95"/>
        <v>0</v>
      </c>
    </row>
    <row r="508" spans="1:14" x14ac:dyDescent="0.35">
      <c r="A508" s="17">
        <v>45513</v>
      </c>
      <c r="B508">
        <f>AVERAGE(Tableau2[[#This Row],[AWB]:[IAM]])</f>
        <v>8.8753164890799559E-4</v>
      </c>
      <c r="C508">
        <f t="shared" si="84"/>
        <v>0</v>
      </c>
      <c r="D508">
        <f t="shared" si="85"/>
        <v>0</v>
      </c>
      <c r="E508">
        <f t="shared" si="86"/>
        <v>0</v>
      </c>
      <c r="F508">
        <f t="shared" si="87"/>
        <v>0</v>
      </c>
      <c r="G508">
        <f t="shared" si="88"/>
        <v>0</v>
      </c>
      <c r="H508">
        <f t="shared" si="89"/>
        <v>0</v>
      </c>
      <c r="I508">
        <f t="shared" si="90"/>
        <v>0</v>
      </c>
      <c r="J508">
        <f t="shared" si="91"/>
        <v>1</v>
      </c>
      <c r="K508">
        <f t="shared" si="92"/>
        <v>0</v>
      </c>
      <c r="L508">
        <f t="shared" si="93"/>
        <v>0</v>
      </c>
      <c r="M508">
        <f t="shared" si="94"/>
        <v>0</v>
      </c>
      <c r="N508">
        <f t="shared" si="95"/>
        <v>0</v>
      </c>
    </row>
    <row r="509" spans="1:14" x14ac:dyDescent="0.35">
      <c r="A509" s="17">
        <v>45517</v>
      </c>
      <c r="B509">
        <f>AVERAGE(Tableau2[[#This Row],[AWB]:[IAM]])</f>
        <v>2.3431613274086231E-3</v>
      </c>
      <c r="C509">
        <f t="shared" si="84"/>
        <v>0</v>
      </c>
      <c r="D509">
        <f t="shared" si="85"/>
        <v>0</v>
      </c>
      <c r="E509">
        <f t="shared" si="86"/>
        <v>0</v>
      </c>
      <c r="F509">
        <f t="shared" si="87"/>
        <v>0</v>
      </c>
      <c r="G509">
        <f t="shared" si="88"/>
        <v>0</v>
      </c>
      <c r="H509">
        <f t="shared" si="89"/>
        <v>0</v>
      </c>
      <c r="I509">
        <f t="shared" si="90"/>
        <v>0</v>
      </c>
      <c r="J509">
        <f t="shared" si="91"/>
        <v>1</v>
      </c>
      <c r="K509">
        <f t="shared" si="92"/>
        <v>0</v>
      </c>
      <c r="L509">
        <f t="shared" si="93"/>
        <v>0</v>
      </c>
      <c r="M509">
        <f t="shared" si="94"/>
        <v>0</v>
      </c>
      <c r="N509">
        <f t="shared" si="95"/>
        <v>0</v>
      </c>
    </row>
    <row r="510" spans="1:14" x14ac:dyDescent="0.35">
      <c r="A510" s="17">
        <v>45519</v>
      </c>
      <c r="B510">
        <f>AVERAGE(Tableau2[[#This Row],[AWB]:[IAM]])</f>
        <v>5.0779518049544363E-3</v>
      </c>
      <c r="C510">
        <f t="shared" si="84"/>
        <v>0</v>
      </c>
      <c r="D510">
        <f t="shared" si="85"/>
        <v>0</v>
      </c>
      <c r="E510">
        <f t="shared" si="86"/>
        <v>0</v>
      </c>
      <c r="F510">
        <f t="shared" si="87"/>
        <v>0</v>
      </c>
      <c r="G510">
        <f t="shared" si="88"/>
        <v>0</v>
      </c>
      <c r="H510">
        <f t="shared" si="89"/>
        <v>0</v>
      </c>
      <c r="I510">
        <f t="shared" si="90"/>
        <v>0</v>
      </c>
      <c r="J510">
        <f t="shared" si="91"/>
        <v>1</v>
      </c>
      <c r="K510">
        <f t="shared" si="92"/>
        <v>0</v>
      </c>
      <c r="L510">
        <f t="shared" si="93"/>
        <v>0</v>
      </c>
      <c r="M510">
        <f t="shared" si="94"/>
        <v>0</v>
      </c>
      <c r="N510">
        <f t="shared" si="95"/>
        <v>0</v>
      </c>
    </row>
    <row r="511" spans="1:14" x14ac:dyDescent="0.35">
      <c r="A511" s="17">
        <v>45520</v>
      </c>
      <c r="B511">
        <f>AVERAGE(Tableau2[[#This Row],[AWB]:[IAM]])</f>
        <v>8.3529708104959069E-4</v>
      </c>
      <c r="C511">
        <f t="shared" si="84"/>
        <v>0</v>
      </c>
      <c r="D511">
        <f t="shared" si="85"/>
        <v>0</v>
      </c>
      <c r="E511">
        <f t="shared" si="86"/>
        <v>0</v>
      </c>
      <c r="F511">
        <f t="shared" si="87"/>
        <v>0</v>
      </c>
      <c r="G511">
        <f t="shared" si="88"/>
        <v>0</v>
      </c>
      <c r="H511">
        <f t="shared" si="89"/>
        <v>0</v>
      </c>
      <c r="I511">
        <f t="shared" si="90"/>
        <v>0</v>
      </c>
      <c r="J511">
        <f t="shared" si="91"/>
        <v>1</v>
      </c>
      <c r="K511">
        <f t="shared" si="92"/>
        <v>0</v>
      </c>
      <c r="L511">
        <f t="shared" si="93"/>
        <v>0</v>
      </c>
      <c r="M511">
        <f t="shared" si="94"/>
        <v>0</v>
      </c>
      <c r="N511">
        <f t="shared" si="95"/>
        <v>0</v>
      </c>
    </row>
    <row r="512" spans="1:14" x14ac:dyDescent="0.35">
      <c r="A512" s="17">
        <v>45527</v>
      </c>
      <c r="B512">
        <f>AVERAGE(Tableau2[[#This Row],[AWB]:[IAM]])</f>
        <v>2.3858367523469735E-3</v>
      </c>
      <c r="C512">
        <f t="shared" si="84"/>
        <v>0</v>
      </c>
      <c r="D512">
        <f t="shared" si="85"/>
        <v>0</v>
      </c>
      <c r="E512">
        <f t="shared" si="86"/>
        <v>0</v>
      </c>
      <c r="F512">
        <f t="shared" si="87"/>
        <v>0</v>
      </c>
      <c r="G512">
        <f t="shared" si="88"/>
        <v>0</v>
      </c>
      <c r="H512">
        <f t="shared" si="89"/>
        <v>0</v>
      </c>
      <c r="I512">
        <f t="shared" si="90"/>
        <v>0</v>
      </c>
      <c r="J512">
        <f t="shared" si="91"/>
        <v>1</v>
      </c>
      <c r="K512">
        <f t="shared" si="92"/>
        <v>0</v>
      </c>
      <c r="L512">
        <f t="shared" si="93"/>
        <v>0</v>
      </c>
      <c r="M512">
        <f t="shared" si="94"/>
        <v>0</v>
      </c>
      <c r="N512">
        <f t="shared" si="95"/>
        <v>0</v>
      </c>
    </row>
    <row r="513" spans="1:14" x14ac:dyDescent="0.35">
      <c r="A513" s="17">
        <v>45530</v>
      </c>
      <c r="B513">
        <f>AVERAGE(Tableau2[[#This Row],[AWB]:[IAM]])</f>
        <v>-1.4522386234306394E-3</v>
      </c>
      <c r="C513">
        <f t="shared" si="84"/>
        <v>0</v>
      </c>
      <c r="D513">
        <f t="shared" si="85"/>
        <v>0</v>
      </c>
      <c r="E513">
        <f t="shared" si="86"/>
        <v>0</v>
      </c>
      <c r="F513">
        <f t="shared" si="87"/>
        <v>0</v>
      </c>
      <c r="G513">
        <f t="shared" si="88"/>
        <v>0</v>
      </c>
      <c r="H513">
        <f t="shared" si="89"/>
        <v>0</v>
      </c>
      <c r="I513">
        <f t="shared" si="90"/>
        <v>0</v>
      </c>
      <c r="J513">
        <f t="shared" si="91"/>
        <v>1</v>
      </c>
      <c r="K513">
        <f t="shared" si="92"/>
        <v>0</v>
      </c>
      <c r="L513">
        <f t="shared" si="93"/>
        <v>0</v>
      </c>
      <c r="M513">
        <f t="shared" si="94"/>
        <v>0</v>
      </c>
      <c r="N513">
        <f t="shared" si="95"/>
        <v>0</v>
      </c>
    </row>
    <row r="514" spans="1:14" x14ac:dyDescent="0.35">
      <c r="A514" s="17">
        <v>45531</v>
      </c>
      <c r="B514">
        <f>AVERAGE(Tableau2[[#This Row],[AWB]:[IAM]])</f>
        <v>-2.6326332521816884E-3</v>
      </c>
      <c r="C514">
        <f t="shared" ref="C514:C577" si="96">IF(MONTH(A514)=1,1,0)</f>
        <v>0</v>
      </c>
      <c r="D514">
        <f t="shared" ref="D514:D577" si="97">IF(MONTH(A514)=2,1,0)</f>
        <v>0</v>
      </c>
      <c r="E514">
        <f t="shared" ref="E514:E577" si="98">IF(MONTH(A514)=3,1,0)</f>
        <v>0</v>
      </c>
      <c r="F514">
        <f t="shared" ref="F514:F577" si="99">IF(MONTH(A514)=4,1,0)</f>
        <v>0</v>
      </c>
      <c r="G514">
        <f t="shared" ref="G514:G577" si="100">IF(MONTH(A514)=5,1,0)</f>
        <v>0</v>
      </c>
      <c r="H514">
        <f t="shared" ref="H514:H577" si="101">IF(MONTH(A514)=6,1,0)</f>
        <v>0</v>
      </c>
      <c r="I514">
        <f t="shared" ref="I514:I577" si="102">IF(MONTH(A514)=7,1,0)</f>
        <v>0</v>
      </c>
      <c r="J514">
        <f t="shared" ref="J514:J577" si="103">IF(MONTH(A514)=8,1,0)</f>
        <v>1</v>
      </c>
      <c r="K514">
        <f t="shared" ref="K514:K577" si="104">IF(MONTH(A514)=9,1,0)</f>
        <v>0</v>
      </c>
      <c r="L514">
        <f t="shared" ref="L514:L577" si="105">IF(MONTH(A514)=10,1,0)</f>
        <v>0</v>
      </c>
      <c r="M514">
        <f t="shared" ref="M514:M577" si="106">IF(MONTH(A514)=11,1,0)</f>
        <v>0</v>
      </c>
      <c r="N514">
        <f t="shared" ref="N514:N577" si="107">IF(MONTH(A514)=12,1,0)</f>
        <v>0</v>
      </c>
    </row>
    <row r="515" spans="1:14" x14ac:dyDescent="0.35">
      <c r="A515" s="17">
        <v>45532</v>
      </c>
      <c r="B515">
        <f>AVERAGE(Tableau2[[#This Row],[AWB]:[IAM]])</f>
        <v>3.3670642121202111E-3</v>
      </c>
      <c r="C515">
        <f t="shared" si="96"/>
        <v>0</v>
      </c>
      <c r="D515">
        <f t="shared" si="97"/>
        <v>0</v>
      </c>
      <c r="E515">
        <f t="shared" si="98"/>
        <v>0</v>
      </c>
      <c r="F515">
        <f t="shared" si="99"/>
        <v>0</v>
      </c>
      <c r="G515">
        <f t="shared" si="100"/>
        <v>0</v>
      </c>
      <c r="H515">
        <f t="shared" si="101"/>
        <v>0</v>
      </c>
      <c r="I515">
        <f t="shared" si="102"/>
        <v>0</v>
      </c>
      <c r="J515">
        <f t="shared" si="103"/>
        <v>1</v>
      </c>
      <c r="K515">
        <f t="shared" si="104"/>
        <v>0</v>
      </c>
      <c r="L515">
        <f t="shared" si="105"/>
        <v>0</v>
      </c>
      <c r="M515">
        <f t="shared" si="106"/>
        <v>0</v>
      </c>
      <c r="N515">
        <f t="shared" si="107"/>
        <v>0</v>
      </c>
    </row>
    <row r="516" spans="1:14" x14ac:dyDescent="0.35">
      <c r="A516" s="17">
        <v>45533</v>
      </c>
      <c r="B516">
        <f>AVERAGE(Tableau2[[#This Row],[AWB]:[IAM]])</f>
        <v>2.2928413625980973E-3</v>
      </c>
      <c r="C516">
        <f t="shared" si="96"/>
        <v>0</v>
      </c>
      <c r="D516">
        <f t="shared" si="97"/>
        <v>0</v>
      </c>
      <c r="E516">
        <f t="shared" si="98"/>
        <v>0</v>
      </c>
      <c r="F516">
        <f t="shared" si="99"/>
        <v>0</v>
      </c>
      <c r="G516">
        <f t="shared" si="100"/>
        <v>0</v>
      </c>
      <c r="H516">
        <f t="shared" si="101"/>
        <v>0</v>
      </c>
      <c r="I516">
        <f t="shared" si="102"/>
        <v>0</v>
      </c>
      <c r="J516">
        <f t="shared" si="103"/>
        <v>1</v>
      </c>
      <c r="K516">
        <f t="shared" si="104"/>
        <v>0</v>
      </c>
      <c r="L516">
        <f t="shared" si="105"/>
        <v>0</v>
      </c>
      <c r="M516">
        <f t="shared" si="106"/>
        <v>0</v>
      </c>
      <c r="N516">
        <f t="shared" si="107"/>
        <v>0</v>
      </c>
    </row>
    <row r="517" spans="1:14" x14ac:dyDescent="0.35">
      <c r="A517" s="17">
        <v>45534</v>
      </c>
      <c r="B517">
        <f>AVERAGE(Tableau2[[#This Row],[AWB]:[IAM]])</f>
        <v>-6.2386956625193665E-3</v>
      </c>
      <c r="C517">
        <f t="shared" si="96"/>
        <v>0</v>
      </c>
      <c r="D517">
        <f t="shared" si="97"/>
        <v>0</v>
      </c>
      <c r="E517">
        <f t="shared" si="98"/>
        <v>0</v>
      </c>
      <c r="F517">
        <f t="shared" si="99"/>
        <v>0</v>
      </c>
      <c r="G517">
        <f t="shared" si="100"/>
        <v>0</v>
      </c>
      <c r="H517">
        <f t="shared" si="101"/>
        <v>0</v>
      </c>
      <c r="I517">
        <f t="shared" si="102"/>
        <v>0</v>
      </c>
      <c r="J517">
        <f t="shared" si="103"/>
        <v>1</v>
      </c>
      <c r="K517">
        <f t="shared" si="104"/>
        <v>0</v>
      </c>
      <c r="L517">
        <f t="shared" si="105"/>
        <v>0</v>
      </c>
      <c r="M517">
        <f t="shared" si="106"/>
        <v>0</v>
      </c>
      <c r="N517">
        <f t="shared" si="107"/>
        <v>0</v>
      </c>
    </row>
    <row r="518" spans="1:14" x14ac:dyDescent="0.35">
      <c r="A518" s="17">
        <v>45537</v>
      </c>
      <c r="B518">
        <f>AVERAGE(Tableau2[[#This Row],[AWB]:[IAM]])</f>
        <v>1.7613932593782019E-2</v>
      </c>
      <c r="C518">
        <f t="shared" si="96"/>
        <v>0</v>
      </c>
      <c r="D518">
        <f t="shared" si="97"/>
        <v>0</v>
      </c>
      <c r="E518">
        <f t="shared" si="98"/>
        <v>0</v>
      </c>
      <c r="F518">
        <f t="shared" si="99"/>
        <v>0</v>
      </c>
      <c r="G518">
        <f t="shared" si="100"/>
        <v>0</v>
      </c>
      <c r="H518">
        <f t="shared" si="101"/>
        <v>0</v>
      </c>
      <c r="I518">
        <f t="shared" si="102"/>
        <v>0</v>
      </c>
      <c r="J518">
        <f t="shared" si="103"/>
        <v>0</v>
      </c>
      <c r="K518">
        <f t="shared" si="104"/>
        <v>1</v>
      </c>
      <c r="L518">
        <f t="shared" si="105"/>
        <v>0</v>
      </c>
      <c r="M518">
        <f t="shared" si="106"/>
        <v>0</v>
      </c>
      <c r="N518">
        <f t="shared" si="107"/>
        <v>0</v>
      </c>
    </row>
    <row r="519" spans="1:14" x14ac:dyDescent="0.35">
      <c r="A519" s="17">
        <v>45540</v>
      </c>
      <c r="B519">
        <f>AVERAGE(Tableau2[[#This Row],[AWB]:[IAM]])</f>
        <v>-9.9656940542294462E-3</v>
      </c>
      <c r="C519">
        <f t="shared" si="96"/>
        <v>0</v>
      </c>
      <c r="D519">
        <f t="shared" si="97"/>
        <v>0</v>
      </c>
      <c r="E519">
        <f t="shared" si="98"/>
        <v>0</v>
      </c>
      <c r="F519">
        <f t="shared" si="99"/>
        <v>0</v>
      </c>
      <c r="G519">
        <f t="shared" si="100"/>
        <v>0</v>
      </c>
      <c r="H519">
        <f t="shared" si="101"/>
        <v>0</v>
      </c>
      <c r="I519">
        <f t="shared" si="102"/>
        <v>0</v>
      </c>
      <c r="J519">
        <f t="shared" si="103"/>
        <v>0</v>
      </c>
      <c r="K519">
        <f t="shared" si="104"/>
        <v>1</v>
      </c>
      <c r="L519">
        <f t="shared" si="105"/>
        <v>0</v>
      </c>
      <c r="M519">
        <f t="shared" si="106"/>
        <v>0</v>
      </c>
      <c r="N519">
        <f t="shared" si="107"/>
        <v>0</v>
      </c>
    </row>
    <row r="520" spans="1:14" x14ac:dyDescent="0.35">
      <c r="A520" s="17">
        <v>45544</v>
      </c>
      <c r="B520">
        <f>AVERAGE(Tableau2[[#This Row],[AWB]:[IAM]])</f>
        <v>1.094375664709543E-2</v>
      </c>
      <c r="C520">
        <f t="shared" si="96"/>
        <v>0</v>
      </c>
      <c r="D520">
        <f t="shared" si="97"/>
        <v>0</v>
      </c>
      <c r="E520">
        <f t="shared" si="98"/>
        <v>0</v>
      </c>
      <c r="F520">
        <f t="shared" si="99"/>
        <v>0</v>
      </c>
      <c r="G520">
        <f t="shared" si="100"/>
        <v>0</v>
      </c>
      <c r="H520">
        <f t="shared" si="101"/>
        <v>0</v>
      </c>
      <c r="I520">
        <f t="shared" si="102"/>
        <v>0</v>
      </c>
      <c r="J520">
        <f t="shared" si="103"/>
        <v>0</v>
      </c>
      <c r="K520">
        <f t="shared" si="104"/>
        <v>1</v>
      </c>
      <c r="L520">
        <f t="shared" si="105"/>
        <v>0</v>
      </c>
      <c r="M520">
        <f t="shared" si="106"/>
        <v>0</v>
      </c>
      <c r="N520">
        <f t="shared" si="107"/>
        <v>0</v>
      </c>
    </row>
    <row r="521" spans="1:14" x14ac:dyDescent="0.35">
      <c r="A521" s="17">
        <v>45545</v>
      </c>
      <c r="B521">
        <f>AVERAGE(Tableau2[[#This Row],[AWB]:[IAM]])</f>
        <v>-9.7345849050406962E-3</v>
      </c>
      <c r="C521">
        <f t="shared" si="96"/>
        <v>0</v>
      </c>
      <c r="D521">
        <f t="shared" si="97"/>
        <v>0</v>
      </c>
      <c r="E521">
        <f t="shared" si="98"/>
        <v>0</v>
      </c>
      <c r="F521">
        <f t="shared" si="99"/>
        <v>0</v>
      </c>
      <c r="G521">
        <f t="shared" si="100"/>
        <v>0</v>
      </c>
      <c r="H521">
        <f t="shared" si="101"/>
        <v>0</v>
      </c>
      <c r="I521">
        <f t="shared" si="102"/>
        <v>0</v>
      </c>
      <c r="J521">
        <f t="shared" si="103"/>
        <v>0</v>
      </c>
      <c r="K521">
        <f t="shared" si="104"/>
        <v>1</v>
      </c>
      <c r="L521">
        <f t="shared" si="105"/>
        <v>0</v>
      </c>
      <c r="M521">
        <f t="shared" si="106"/>
        <v>0</v>
      </c>
      <c r="N521">
        <f t="shared" si="107"/>
        <v>0</v>
      </c>
    </row>
    <row r="522" spans="1:14" x14ac:dyDescent="0.35">
      <c r="A522" s="17">
        <v>45548</v>
      </c>
      <c r="B522">
        <f>AVERAGE(Tableau2[[#This Row],[AWB]:[IAM]])</f>
        <v>7.2801056681515543E-3</v>
      </c>
      <c r="C522">
        <f t="shared" si="96"/>
        <v>0</v>
      </c>
      <c r="D522">
        <f t="shared" si="97"/>
        <v>0</v>
      </c>
      <c r="E522">
        <f t="shared" si="98"/>
        <v>0</v>
      </c>
      <c r="F522">
        <f t="shared" si="99"/>
        <v>0</v>
      </c>
      <c r="G522">
        <f t="shared" si="100"/>
        <v>0</v>
      </c>
      <c r="H522">
        <f t="shared" si="101"/>
        <v>0</v>
      </c>
      <c r="I522">
        <f t="shared" si="102"/>
        <v>0</v>
      </c>
      <c r="J522">
        <f t="shared" si="103"/>
        <v>0</v>
      </c>
      <c r="K522">
        <f t="shared" si="104"/>
        <v>1</v>
      </c>
      <c r="L522">
        <f t="shared" si="105"/>
        <v>0</v>
      </c>
      <c r="M522">
        <f t="shared" si="106"/>
        <v>0</v>
      </c>
      <c r="N522">
        <f t="shared" si="107"/>
        <v>0</v>
      </c>
    </row>
    <row r="523" spans="1:14" x14ac:dyDescent="0.35">
      <c r="A523" s="17">
        <v>45553</v>
      </c>
      <c r="B523">
        <f>AVERAGE(Tableau2[[#This Row],[AWB]:[IAM]])</f>
        <v>9.6244531438594537E-3</v>
      </c>
      <c r="C523">
        <f t="shared" si="96"/>
        <v>0</v>
      </c>
      <c r="D523">
        <f t="shared" si="97"/>
        <v>0</v>
      </c>
      <c r="E523">
        <f t="shared" si="98"/>
        <v>0</v>
      </c>
      <c r="F523">
        <f t="shared" si="99"/>
        <v>0</v>
      </c>
      <c r="G523">
        <f t="shared" si="100"/>
        <v>0</v>
      </c>
      <c r="H523">
        <f t="shared" si="101"/>
        <v>0</v>
      </c>
      <c r="I523">
        <f t="shared" si="102"/>
        <v>0</v>
      </c>
      <c r="J523">
        <f t="shared" si="103"/>
        <v>0</v>
      </c>
      <c r="K523">
        <f t="shared" si="104"/>
        <v>1</v>
      </c>
      <c r="L523">
        <f t="shared" si="105"/>
        <v>0</v>
      </c>
      <c r="M523">
        <f t="shared" si="106"/>
        <v>0</v>
      </c>
      <c r="N523">
        <f t="shared" si="107"/>
        <v>0</v>
      </c>
    </row>
    <row r="524" spans="1:14" x14ac:dyDescent="0.35">
      <c r="A524" s="17">
        <v>45554</v>
      </c>
      <c r="B524">
        <f>AVERAGE(Tableau2[[#This Row],[AWB]:[IAM]])</f>
        <v>6.2688684269339185E-4</v>
      </c>
      <c r="C524">
        <f t="shared" si="96"/>
        <v>0</v>
      </c>
      <c r="D524">
        <f t="shared" si="97"/>
        <v>0</v>
      </c>
      <c r="E524">
        <f t="shared" si="98"/>
        <v>0</v>
      </c>
      <c r="F524">
        <f t="shared" si="99"/>
        <v>0</v>
      </c>
      <c r="G524">
        <f t="shared" si="100"/>
        <v>0</v>
      </c>
      <c r="H524">
        <f t="shared" si="101"/>
        <v>0</v>
      </c>
      <c r="I524">
        <f t="shared" si="102"/>
        <v>0</v>
      </c>
      <c r="J524">
        <f t="shared" si="103"/>
        <v>0</v>
      </c>
      <c r="K524">
        <f t="shared" si="104"/>
        <v>1</v>
      </c>
      <c r="L524">
        <f t="shared" si="105"/>
        <v>0</v>
      </c>
      <c r="M524">
        <f t="shared" si="106"/>
        <v>0</v>
      </c>
      <c r="N524">
        <f t="shared" si="107"/>
        <v>0</v>
      </c>
    </row>
    <row r="525" spans="1:14" x14ac:dyDescent="0.35">
      <c r="A525" s="17">
        <v>45555</v>
      </c>
      <c r="B525">
        <f>AVERAGE(Tableau2[[#This Row],[AWB]:[IAM]])</f>
        <v>-1.4671307565817215E-5</v>
      </c>
      <c r="C525">
        <f t="shared" si="96"/>
        <v>0</v>
      </c>
      <c r="D525">
        <f t="shared" si="97"/>
        <v>0</v>
      </c>
      <c r="E525">
        <f t="shared" si="98"/>
        <v>0</v>
      </c>
      <c r="F525">
        <f t="shared" si="99"/>
        <v>0</v>
      </c>
      <c r="G525">
        <f t="shared" si="100"/>
        <v>0</v>
      </c>
      <c r="H525">
        <f t="shared" si="101"/>
        <v>0</v>
      </c>
      <c r="I525">
        <f t="shared" si="102"/>
        <v>0</v>
      </c>
      <c r="J525">
        <f t="shared" si="103"/>
        <v>0</v>
      </c>
      <c r="K525">
        <f t="shared" si="104"/>
        <v>1</v>
      </c>
      <c r="L525">
        <f t="shared" si="105"/>
        <v>0</v>
      </c>
      <c r="M525">
        <f t="shared" si="106"/>
        <v>0</v>
      </c>
      <c r="N525">
        <f t="shared" si="107"/>
        <v>0</v>
      </c>
    </row>
    <row r="526" spans="1:14" x14ac:dyDescent="0.35">
      <c r="A526" s="17">
        <v>45559</v>
      </c>
      <c r="B526">
        <f>AVERAGE(Tableau2[[#This Row],[AWB]:[IAM]])</f>
        <v>-3.755495605855507E-3</v>
      </c>
      <c r="C526">
        <f t="shared" si="96"/>
        <v>0</v>
      </c>
      <c r="D526">
        <f t="shared" si="97"/>
        <v>0</v>
      </c>
      <c r="E526">
        <f t="shared" si="98"/>
        <v>0</v>
      </c>
      <c r="F526">
        <f t="shared" si="99"/>
        <v>0</v>
      </c>
      <c r="G526">
        <f t="shared" si="100"/>
        <v>0</v>
      </c>
      <c r="H526">
        <f t="shared" si="101"/>
        <v>0</v>
      </c>
      <c r="I526">
        <f t="shared" si="102"/>
        <v>0</v>
      </c>
      <c r="J526">
        <f t="shared" si="103"/>
        <v>0</v>
      </c>
      <c r="K526">
        <f t="shared" si="104"/>
        <v>1</v>
      </c>
      <c r="L526">
        <f t="shared" si="105"/>
        <v>0</v>
      </c>
      <c r="M526">
        <f t="shared" si="106"/>
        <v>0</v>
      </c>
      <c r="N526">
        <f t="shared" si="107"/>
        <v>0</v>
      </c>
    </row>
    <row r="527" spans="1:14" x14ac:dyDescent="0.35">
      <c r="A527" s="17">
        <v>45560</v>
      </c>
      <c r="B527">
        <f>AVERAGE(Tableau2[[#This Row],[AWB]:[IAM]])</f>
        <v>3.7242893088246364E-3</v>
      </c>
      <c r="C527">
        <f t="shared" si="96"/>
        <v>0</v>
      </c>
      <c r="D527">
        <f t="shared" si="97"/>
        <v>0</v>
      </c>
      <c r="E527">
        <f t="shared" si="98"/>
        <v>0</v>
      </c>
      <c r="F527">
        <f t="shared" si="99"/>
        <v>0</v>
      </c>
      <c r="G527">
        <f t="shared" si="100"/>
        <v>0</v>
      </c>
      <c r="H527">
        <f t="shared" si="101"/>
        <v>0</v>
      </c>
      <c r="I527">
        <f t="shared" si="102"/>
        <v>0</v>
      </c>
      <c r="J527">
        <f t="shared" si="103"/>
        <v>0</v>
      </c>
      <c r="K527">
        <f t="shared" si="104"/>
        <v>1</v>
      </c>
      <c r="L527">
        <f t="shared" si="105"/>
        <v>0</v>
      </c>
      <c r="M527">
        <f t="shared" si="106"/>
        <v>0</v>
      </c>
      <c r="N527">
        <f t="shared" si="107"/>
        <v>0</v>
      </c>
    </row>
    <row r="528" spans="1:14" x14ac:dyDescent="0.35">
      <c r="A528" s="17">
        <v>45562</v>
      </c>
      <c r="B528">
        <f>AVERAGE(Tableau2[[#This Row],[AWB]:[IAM]])</f>
        <v>9.1006062107947348E-3</v>
      </c>
      <c r="C528">
        <f t="shared" si="96"/>
        <v>0</v>
      </c>
      <c r="D528">
        <f t="shared" si="97"/>
        <v>0</v>
      </c>
      <c r="E528">
        <f t="shared" si="98"/>
        <v>0</v>
      </c>
      <c r="F528">
        <f t="shared" si="99"/>
        <v>0</v>
      </c>
      <c r="G528">
        <f t="shared" si="100"/>
        <v>0</v>
      </c>
      <c r="H528">
        <f t="shared" si="101"/>
        <v>0</v>
      </c>
      <c r="I528">
        <f t="shared" si="102"/>
        <v>0</v>
      </c>
      <c r="J528">
        <f t="shared" si="103"/>
        <v>0</v>
      </c>
      <c r="K528">
        <f t="shared" si="104"/>
        <v>1</v>
      </c>
      <c r="L528">
        <f t="shared" si="105"/>
        <v>0</v>
      </c>
      <c r="M528">
        <f t="shared" si="106"/>
        <v>0</v>
      </c>
      <c r="N528">
        <f t="shared" si="107"/>
        <v>0</v>
      </c>
    </row>
    <row r="529" spans="1:14" x14ac:dyDescent="0.35">
      <c r="A529" s="17">
        <v>45565</v>
      </c>
      <c r="B529">
        <f>AVERAGE(Tableau2[[#This Row],[AWB]:[IAM]])</f>
        <v>-1.1416002654696415E-3</v>
      </c>
      <c r="C529">
        <f t="shared" si="96"/>
        <v>0</v>
      </c>
      <c r="D529">
        <f t="shared" si="97"/>
        <v>0</v>
      </c>
      <c r="E529">
        <f t="shared" si="98"/>
        <v>0</v>
      </c>
      <c r="F529">
        <f t="shared" si="99"/>
        <v>0</v>
      </c>
      <c r="G529">
        <f t="shared" si="100"/>
        <v>0</v>
      </c>
      <c r="H529">
        <f t="shared" si="101"/>
        <v>0</v>
      </c>
      <c r="I529">
        <f t="shared" si="102"/>
        <v>0</v>
      </c>
      <c r="J529">
        <f t="shared" si="103"/>
        <v>0</v>
      </c>
      <c r="K529">
        <f t="shared" si="104"/>
        <v>1</v>
      </c>
      <c r="L529">
        <f t="shared" si="105"/>
        <v>0</v>
      </c>
      <c r="M529">
        <f t="shared" si="106"/>
        <v>0</v>
      </c>
      <c r="N529">
        <f t="shared" si="107"/>
        <v>0</v>
      </c>
    </row>
    <row r="530" spans="1:14" x14ac:dyDescent="0.35">
      <c r="A530" s="17">
        <v>45566</v>
      </c>
      <c r="B530">
        <f>AVERAGE(Tableau2[[#This Row],[AWB]:[IAM]])</f>
        <v>-1.6377263138704395E-2</v>
      </c>
      <c r="C530">
        <f t="shared" si="96"/>
        <v>0</v>
      </c>
      <c r="D530">
        <f t="shared" si="97"/>
        <v>0</v>
      </c>
      <c r="E530">
        <f t="shared" si="98"/>
        <v>0</v>
      </c>
      <c r="F530">
        <f t="shared" si="99"/>
        <v>0</v>
      </c>
      <c r="G530">
        <f t="shared" si="100"/>
        <v>0</v>
      </c>
      <c r="H530">
        <f t="shared" si="101"/>
        <v>0</v>
      </c>
      <c r="I530">
        <f t="shared" si="102"/>
        <v>0</v>
      </c>
      <c r="J530">
        <f t="shared" si="103"/>
        <v>0</v>
      </c>
      <c r="K530">
        <f t="shared" si="104"/>
        <v>0</v>
      </c>
      <c r="L530">
        <f t="shared" si="105"/>
        <v>1</v>
      </c>
      <c r="M530">
        <f t="shared" si="106"/>
        <v>0</v>
      </c>
      <c r="N530">
        <f t="shared" si="107"/>
        <v>0</v>
      </c>
    </row>
    <row r="531" spans="1:14" x14ac:dyDescent="0.35">
      <c r="A531" s="17">
        <v>45567</v>
      </c>
      <c r="B531">
        <f>AVERAGE(Tableau2[[#This Row],[AWB]:[IAM]])</f>
        <v>-1.3768981461319024E-2</v>
      </c>
      <c r="C531">
        <f t="shared" si="96"/>
        <v>0</v>
      </c>
      <c r="D531">
        <f t="shared" si="97"/>
        <v>0</v>
      </c>
      <c r="E531">
        <f t="shared" si="98"/>
        <v>0</v>
      </c>
      <c r="F531">
        <f t="shared" si="99"/>
        <v>0</v>
      </c>
      <c r="G531">
        <f t="shared" si="100"/>
        <v>0</v>
      </c>
      <c r="H531">
        <f t="shared" si="101"/>
        <v>0</v>
      </c>
      <c r="I531">
        <f t="shared" si="102"/>
        <v>0</v>
      </c>
      <c r="J531">
        <f t="shared" si="103"/>
        <v>0</v>
      </c>
      <c r="K531">
        <f t="shared" si="104"/>
        <v>0</v>
      </c>
      <c r="L531">
        <f t="shared" si="105"/>
        <v>1</v>
      </c>
      <c r="M531">
        <f t="shared" si="106"/>
        <v>0</v>
      </c>
      <c r="N531">
        <f t="shared" si="107"/>
        <v>0</v>
      </c>
    </row>
    <row r="532" spans="1:14" x14ac:dyDescent="0.35">
      <c r="A532" s="17">
        <v>45568</v>
      </c>
      <c r="B532">
        <f>AVERAGE(Tableau2[[#This Row],[AWB]:[IAM]])</f>
        <v>1.1411376159991302E-2</v>
      </c>
      <c r="C532">
        <f t="shared" si="96"/>
        <v>0</v>
      </c>
      <c r="D532">
        <f t="shared" si="97"/>
        <v>0</v>
      </c>
      <c r="E532">
        <f t="shared" si="98"/>
        <v>0</v>
      </c>
      <c r="F532">
        <f t="shared" si="99"/>
        <v>0</v>
      </c>
      <c r="G532">
        <f t="shared" si="100"/>
        <v>0</v>
      </c>
      <c r="H532">
        <f t="shared" si="101"/>
        <v>0</v>
      </c>
      <c r="I532">
        <f t="shared" si="102"/>
        <v>0</v>
      </c>
      <c r="J532">
        <f t="shared" si="103"/>
        <v>0</v>
      </c>
      <c r="K532">
        <f t="shared" si="104"/>
        <v>0</v>
      </c>
      <c r="L532">
        <f t="shared" si="105"/>
        <v>1</v>
      </c>
      <c r="M532">
        <f t="shared" si="106"/>
        <v>0</v>
      </c>
      <c r="N532">
        <f t="shared" si="107"/>
        <v>0</v>
      </c>
    </row>
    <row r="533" spans="1:14" x14ac:dyDescent="0.35">
      <c r="A533" s="17">
        <v>45569</v>
      </c>
      <c r="B533">
        <f>AVERAGE(Tableau2[[#This Row],[AWB]:[IAM]])</f>
        <v>4.4857007257429653E-3</v>
      </c>
      <c r="C533">
        <f t="shared" si="96"/>
        <v>0</v>
      </c>
      <c r="D533">
        <f t="shared" si="97"/>
        <v>0</v>
      </c>
      <c r="E533">
        <f t="shared" si="98"/>
        <v>0</v>
      </c>
      <c r="F533">
        <f t="shared" si="99"/>
        <v>0</v>
      </c>
      <c r="G533">
        <f t="shared" si="100"/>
        <v>0</v>
      </c>
      <c r="H533">
        <f t="shared" si="101"/>
        <v>0</v>
      </c>
      <c r="I533">
        <f t="shared" si="102"/>
        <v>0</v>
      </c>
      <c r="J533">
        <f t="shared" si="103"/>
        <v>0</v>
      </c>
      <c r="K533">
        <f t="shared" si="104"/>
        <v>0</v>
      </c>
      <c r="L533">
        <f t="shared" si="105"/>
        <v>1</v>
      </c>
      <c r="M533">
        <f t="shared" si="106"/>
        <v>0</v>
      </c>
      <c r="N533">
        <f t="shared" si="107"/>
        <v>0</v>
      </c>
    </row>
    <row r="534" spans="1:14" x14ac:dyDescent="0.35">
      <c r="A534" s="17">
        <v>45572</v>
      </c>
      <c r="B534">
        <f>AVERAGE(Tableau2[[#This Row],[AWB]:[IAM]])</f>
        <v>2.8418359659272158E-3</v>
      </c>
      <c r="C534">
        <f t="shared" si="96"/>
        <v>0</v>
      </c>
      <c r="D534">
        <f t="shared" si="97"/>
        <v>0</v>
      </c>
      <c r="E534">
        <f t="shared" si="98"/>
        <v>0</v>
      </c>
      <c r="F534">
        <f t="shared" si="99"/>
        <v>0</v>
      </c>
      <c r="G534">
        <f t="shared" si="100"/>
        <v>0</v>
      </c>
      <c r="H534">
        <f t="shared" si="101"/>
        <v>0</v>
      </c>
      <c r="I534">
        <f t="shared" si="102"/>
        <v>0</v>
      </c>
      <c r="J534">
        <f t="shared" si="103"/>
        <v>0</v>
      </c>
      <c r="K534">
        <f t="shared" si="104"/>
        <v>0</v>
      </c>
      <c r="L534">
        <f t="shared" si="105"/>
        <v>1</v>
      </c>
      <c r="M534">
        <f t="shared" si="106"/>
        <v>0</v>
      </c>
      <c r="N534">
        <f t="shared" si="107"/>
        <v>0</v>
      </c>
    </row>
    <row r="535" spans="1:14" x14ac:dyDescent="0.35">
      <c r="A535" s="17">
        <v>45573</v>
      </c>
      <c r="B535">
        <f>AVERAGE(Tableau2[[#This Row],[AWB]:[IAM]])</f>
        <v>-1.1982955282994975E-2</v>
      </c>
      <c r="C535">
        <f t="shared" si="96"/>
        <v>0</v>
      </c>
      <c r="D535">
        <f t="shared" si="97"/>
        <v>0</v>
      </c>
      <c r="E535">
        <f t="shared" si="98"/>
        <v>0</v>
      </c>
      <c r="F535">
        <f t="shared" si="99"/>
        <v>0</v>
      </c>
      <c r="G535">
        <f t="shared" si="100"/>
        <v>0</v>
      </c>
      <c r="H535">
        <f t="shared" si="101"/>
        <v>0</v>
      </c>
      <c r="I535">
        <f t="shared" si="102"/>
        <v>0</v>
      </c>
      <c r="J535">
        <f t="shared" si="103"/>
        <v>0</v>
      </c>
      <c r="K535">
        <f t="shared" si="104"/>
        <v>0</v>
      </c>
      <c r="L535">
        <f t="shared" si="105"/>
        <v>1</v>
      </c>
      <c r="M535">
        <f t="shared" si="106"/>
        <v>0</v>
      </c>
      <c r="N535">
        <f t="shared" si="107"/>
        <v>0</v>
      </c>
    </row>
    <row r="536" spans="1:14" x14ac:dyDescent="0.35">
      <c r="A536" s="17">
        <v>45576</v>
      </c>
      <c r="B536">
        <f>AVERAGE(Tableau2[[#This Row],[AWB]:[IAM]])</f>
        <v>2.1996139313266755E-3</v>
      </c>
      <c r="C536">
        <f t="shared" si="96"/>
        <v>0</v>
      </c>
      <c r="D536">
        <f t="shared" si="97"/>
        <v>0</v>
      </c>
      <c r="E536">
        <f t="shared" si="98"/>
        <v>0</v>
      </c>
      <c r="F536">
        <f t="shared" si="99"/>
        <v>0</v>
      </c>
      <c r="G536">
        <f t="shared" si="100"/>
        <v>0</v>
      </c>
      <c r="H536">
        <f t="shared" si="101"/>
        <v>0</v>
      </c>
      <c r="I536">
        <f t="shared" si="102"/>
        <v>0</v>
      </c>
      <c r="J536">
        <f t="shared" si="103"/>
        <v>0</v>
      </c>
      <c r="K536">
        <f t="shared" si="104"/>
        <v>0</v>
      </c>
      <c r="L536">
        <f t="shared" si="105"/>
        <v>1</v>
      </c>
      <c r="M536">
        <f t="shared" si="106"/>
        <v>0</v>
      </c>
      <c r="N536">
        <f t="shared" si="107"/>
        <v>0</v>
      </c>
    </row>
    <row r="537" spans="1:14" x14ac:dyDescent="0.35">
      <c r="A537" s="17">
        <v>45579</v>
      </c>
      <c r="B537">
        <f>AVERAGE(Tableau2[[#This Row],[AWB]:[IAM]])</f>
        <v>-2.5146607768977637E-3</v>
      </c>
      <c r="C537">
        <f t="shared" si="96"/>
        <v>0</v>
      </c>
      <c r="D537">
        <f t="shared" si="97"/>
        <v>0</v>
      </c>
      <c r="E537">
        <f t="shared" si="98"/>
        <v>0</v>
      </c>
      <c r="F537">
        <f t="shared" si="99"/>
        <v>0</v>
      </c>
      <c r="G537">
        <f t="shared" si="100"/>
        <v>0</v>
      </c>
      <c r="H537">
        <f t="shared" si="101"/>
        <v>0</v>
      </c>
      <c r="I537">
        <f t="shared" si="102"/>
        <v>0</v>
      </c>
      <c r="J537">
        <f t="shared" si="103"/>
        <v>0</v>
      </c>
      <c r="K537">
        <f t="shared" si="104"/>
        <v>0</v>
      </c>
      <c r="L537">
        <f t="shared" si="105"/>
        <v>1</v>
      </c>
      <c r="M537">
        <f t="shared" si="106"/>
        <v>0</v>
      </c>
      <c r="N537">
        <f t="shared" si="107"/>
        <v>0</v>
      </c>
    </row>
    <row r="538" spans="1:14" x14ac:dyDescent="0.35">
      <c r="A538" s="17">
        <v>45581</v>
      </c>
      <c r="B538">
        <f>AVERAGE(Tableau2[[#This Row],[AWB]:[IAM]])</f>
        <v>-1.5571624554920581E-2</v>
      </c>
      <c r="C538">
        <f t="shared" si="96"/>
        <v>0</v>
      </c>
      <c r="D538">
        <f t="shared" si="97"/>
        <v>0</v>
      </c>
      <c r="E538">
        <f t="shared" si="98"/>
        <v>0</v>
      </c>
      <c r="F538">
        <f t="shared" si="99"/>
        <v>0</v>
      </c>
      <c r="G538">
        <f t="shared" si="100"/>
        <v>0</v>
      </c>
      <c r="H538">
        <f t="shared" si="101"/>
        <v>0</v>
      </c>
      <c r="I538">
        <f t="shared" si="102"/>
        <v>0</v>
      </c>
      <c r="J538">
        <f t="shared" si="103"/>
        <v>0</v>
      </c>
      <c r="K538">
        <f t="shared" si="104"/>
        <v>0</v>
      </c>
      <c r="L538">
        <f t="shared" si="105"/>
        <v>1</v>
      </c>
      <c r="M538">
        <f t="shared" si="106"/>
        <v>0</v>
      </c>
      <c r="N538">
        <f t="shared" si="107"/>
        <v>0</v>
      </c>
    </row>
    <row r="539" spans="1:14" x14ac:dyDescent="0.35">
      <c r="A539" s="17">
        <v>45582</v>
      </c>
      <c r="B539">
        <f>AVERAGE(Tableau2[[#This Row],[AWB]:[IAM]])</f>
        <v>3.1745530573505203E-2</v>
      </c>
      <c r="C539">
        <f t="shared" si="96"/>
        <v>0</v>
      </c>
      <c r="D539">
        <f t="shared" si="97"/>
        <v>0</v>
      </c>
      <c r="E539">
        <f t="shared" si="98"/>
        <v>0</v>
      </c>
      <c r="F539">
        <f t="shared" si="99"/>
        <v>0</v>
      </c>
      <c r="G539">
        <f t="shared" si="100"/>
        <v>0</v>
      </c>
      <c r="H539">
        <f t="shared" si="101"/>
        <v>0</v>
      </c>
      <c r="I539">
        <f t="shared" si="102"/>
        <v>0</v>
      </c>
      <c r="J539">
        <f t="shared" si="103"/>
        <v>0</v>
      </c>
      <c r="K539">
        <f t="shared" si="104"/>
        <v>0</v>
      </c>
      <c r="L539">
        <f t="shared" si="105"/>
        <v>1</v>
      </c>
      <c r="M539">
        <f t="shared" si="106"/>
        <v>0</v>
      </c>
      <c r="N539">
        <f t="shared" si="107"/>
        <v>0</v>
      </c>
    </row>
    <row r="540" spans="1:14" x14ac:dyDescent="0.35">
      <c r="A540" s="17">
        <v>45583</v>
      </c>
      <c r="B540">
        <f>AVERAGE(Tableau2[[#This Row],[AWB]:[IAM]])</f>
        <v>-6.2826410635802004E-3</v>
      </c>
      <c r="C540">
        <f t="shared" si="96"/>
        <v>0</v>
      </c>
      <c r="D540">
        <f t="shared" si="97"/>
        <v>0</v>
      </c>
      <c r="E540">
        <f t="shared" si="98"/>
        <v>0</v>
      </c>
      <c r="F540">
        <f t="shared" si="99"/>
        <v>0</v>
      </c>
      <c r="G540">
        <f t="shared" si="100"/>
        <v>0</v>
      </c>
      <c r="H540">
        <f t="shared" si="101"/>
        <v>0</v>
      </c>
      <c r="I540">
        <f t="shared" si="102"/>
        <v>0</v>
      </c>
      <c r="J540">
        <f t="shared" si="103"/>
        <v>0</v>
      </c>
      <c r="K540">
        <f t="shared" si="104"/>
        <v>0</v>
      </c>
      <c r="L540">
        <f t="shared" si="105"/>
        <v>1</v>
      </c>
      <c r="M540">
        <f t="shared" si="106"/>
        <v>0</v>
      </c>
      <c r="N540">
        <f t="shared" si="107"/>
        <v>0</v>
      </c>
    </row>
    <row r="541" spans="1:14" x14ac:dyDescent="0.35">
      <c r="A541" s="17">
        <v>45587</v>
      </c>
      <c r="B541">
        <f>AVERAGE(Tableau2[[#This Row],[AWB]:[IAM]])</f>
        <v>3.8393455801048007E-3</v>
      </c>
      <c r="C541">
        <f t="shared" si="96"/>
        <v>0</v>
      </c>
      <c r="D541">
        <f t="shared" si="97"/>
        <v>0</v>
      </c>
      <c r="E541">
        <f t="shared" si="98"/>
        <v>0</v>
      </c>
      <c r="F541">
        <f t="shared" si="99"/>
        <v>0</v>
      </c>
      <c r="G541">
        <f t="shared" si="100"/>
        <v>0</v>
      </c>
      <c r="H541">
        <f t="shared" si="101"/>
        <v>0</v>
      </c>
      <c r="I541">
        <f t="shared" si="102"/>
        <v>0</v>
      </c>
      <c r="J541">
        <f t="shared" si="103"/>
        <v>0</v>
      </c>
      <c r="K541">
        <f t="shared" si="104"/>
        <v>0</v>
      </c>
      <c r="L541">
        <f t="shared" si="105"/>
        <v>1</v>
      </c>
      <c r="M541">
        <f t="shared" si="106"/>
        <v>0</v>
      </c>
      <c r="N541">
        <f t="shared" si="107"/>
        <v>0</v>
      </c>
    </row>
    <row r="542" spans="1:14" x14ac:dyDescent="0.35">
      <c r="A542" s="17">
        <v>45590</v>
      </c>
      <c r="B542">
        <f>AVERAGE(Tableau2[[#This Row],[AWB]:[IAM]])</f>
        <v>4.7896649723096459E-3</v>
      </c>
      <c r="C542">
        <f t="shared" si="96"/>
        <v>0</v>
      </c>
      <c r="D542">
        <f t="shared" si="97"/>
        <v>0</v>
      </c>
      <c r="E542">
        <f t="shared" si="98"/>
        <v>0</v>
      </c>
      <c r="F542">
        <f t="shared" si="99"/>
        <v>0</v>
      </c>
      <c r="G542">
        <f t="shared" si="100"/>
        <v>0</v>
      </c>
      <c r="H542">
        <f t="shared" si="101"/>
        <v>0</v>
      </c>
      <c r="I542">
        <f t="shared" si="102"/>
        <v>0</v>
      </c>
      <c r="J542">
        <f t="shared" si="103"/>
        <v>0</v>
      </c>
      <c r="K542">
        <f t="shared" si="104"/>
        <v>0</v>
      </c>
      <c r="L542">
        <f t="shared" si="105"/>
        <v>1</v>
      </c>
      <c r="M542">
        <f t="shared" si="106"/>
        <v>0</v>
      </c>
      <c r="N542">
        <f t="shared" si="107"/>
        <v>0</v>
      </c>
    </row>
    <row r="543" spans="1:14" x14ac:dyDescent="0.35">
      <c r="A543" s="17">
        <v>45593</v>
      </c>
      <c r="B543">
        <f>AVERAGE(Tableau2[[#This Row],[AWB]:[IAM]])</f>
        <v>-1.9461155627320398E-3</v>
      </c>
      <c r="C543">
        <f t="shared" si="96"/>
        <v>0</v>
      </c>
      <c r="D543">
        <f t="shared" si="97"/>
        <v>0</v>
      </c>
      <c r="E543">
        <f t="shared" si="98"/>
        <v>0</v>
      </c>
      <c r="F543">
        <f t="shared" si="99"/>
        <v>0</v>
      </c>
      <c r="G543">
        <f t="shared" si="100"/>
        <v>0</v>
      </c>
      <c r="H543">
        <f t="shared" si="101"/>
        <v>0</v>
      </c>
      <c r="I543">
        <f t="shared" si="102"/>
        <v>0</v>
      </c>
      <c r="J543">
        <f t="shared" si="103"/>
        <v>0</v>
      </c>
      <c r="K543">
        <f t="shared" si="104"/>
        <v>0</v>
      </c>
      <c r="L543">
        <f t="shared" si="105"/>
        <v>1</v>
      </c>
      <c r="M543">
        <f t="shared" si="106"/>
        <v>0</v>
      </c>
      <c r="N543">
        <f t="shared" si="107"/>
        <v>0</v>
      </c>
    </row>
    <row r="544" spans="1:14" x14ac:dyDescent="0.35">
      <c r="A544" s="17">
        <v>45594</v>
      </c>
      <c r="B544">
        <f>AVERAGE(Tableau2[[#This Row],[AWB]:[IAM]])</f>
        <v>-1.8682709686109627E-3</v>
      </c>
      <c r="C544">
        <f t="shared" si="96"/>
        <v>0</v>
      </c>
      <c r="D544">
        <f t="shared" si="97"/>
        <v>0</v>
      </c>
      <c r="E544">
        <f t="shared" si="98"/>
        <v>0</v>
      </c>
      <c r="F544">
        <f t="shared" si="99"/>
        <v>0</v>
      </c>
      <c r="G544">
        <f t="shared" si="100"/>
        <v>0</v>
      </c>
      <c r="H544">
        <f t="shared" si="101"/>
        <v>0</v>
      </c>
      <c r="I544">
        <f t="shared" si="102"/>
        <v>0</v>
      </c>
      <c r="J544">
        <f t="shared" si="103"/>
        <v>0</v>
      </c>
      <c r="K544">
        <f t="shared" si="104"/>
        <v>0</v>
      </c>
      <c r="L544">
        <f t="shared" si="105"/>
        <v>1</v>
      </c>
      <c r="M544">
        <f t="shared" si="106"/>
        <v>0</v>
      </c>
      <c r="N544">
        <f t="shared" si="107"/>
        <v>0</v>
      </c>
    </row>
    <row r="545" spans="1:14" x14ac:dyDescent="0.35">
      <c r="A545" s="17">
        <v>45595</v>
      </c>
      <c r="B545">
        <f>AVERAGE(Tableau2[[#This Row],[AWB]:[IAM]])</f>
        <v>-3.937469205490699E-3</v>
      </c>
      <c r="C545">
        <f t="shared" si="96"/>
        <v>0</v>
      </c>
      <c r="D545">
        <f t="shared" si="97"/>
        <v>0</v>
      </c>
      <c r="E545">
        <f t="shared" si="98"/>
        <v>0</v>
      </c>
      <c r="F545">
        <f t="shared" si="99"/>
        <v>0</v>
      </c>
      <c r="G545">
        <f t="shared" si="100"/>
        <v>0</v>
      </c>
      <c r="H545">
        <f t="shared" si="101"/>
        <v>0</v>
      </c>
      <c r="I545">
        <f t="shared" si="102"/>
        <v>0</v>
      </c>
      <c r="J545">
        <f t="shared" si="103"/>
        <v>0</v>
      </c>
      <c r="K545">
        <f t="shared" si="104"/>
        <v>0</v>
      </c>
      <c r="L545">
        <f t="shared" si="105"/>
        <v>1</v>
      </c>
      <c r="M545">
        <f t="shared" si="106"/>
        <v>0</v>
      </c>
      <c r="N545">
        <f t="shared" si="107"/>
        <v>0</v>
      </c>
    </row>
    <row r="546" spans="1:14" x14ac:dyDescent="0.35">
      <c r="A546" s="17">
        <v>45596</v>
      </c>
      <c r="B546">
        <f>AVERAGE(Tableau2[[#This Row],[AWB]:[IAM]])</f>
        <v>-1.866586212155491E-3</v>
      </c>
      <c r="C546">
        <f t="shared" si="96"/>
        <v>0</v>
      </c>
      <c r="D546">
        <f t="shared" si="97"/>
        <v>0</v>
      </c>
      <c r="E546">
        <f t="shared" si="98"/>
        <v>0</v>
      </c>
      <c r="F546">
        <f t="shared" si="99"/>
        <v>0</v>
      </c>
      <c r="G546">
        <f t="shared" si="100"/>
        <v>0</v>
      </c>
      <c r="H546">
        <f t="shared" si="101"/>
        <v>0</v>
      </c>
      <c r="I546">
        <f t="shared" si="102"/>
        <v>0</v>
      </c>
      <c r="J546">
        <f t="shared" si="103"/>
        <v>0</v>
      </c>
      <c r="K546">
        <f t="shared" si="104"/>
        <v>0</v>
      </c>
      <c r="L546">
        <f t="shared" si="105"/>
        <v>1</v>
      </c>
      <c r="M546">
        <f t="shared" si="106"/>
        <v>0</v>
      </c>
      <c r="N546">
        <f t="shared" si="107"/>
        <v>0</v>
      </c>
    </row>
    <row r="547" spans="1:14" x14ac:dyDescent="0.35">
      <c r="A547" s="17">
        <v>45597</v>
      </c>
      <c r="B547">
        <f>AVERAGE(Tableau2[[#This Row],[AWB]:[IAM]])</f>
        <v>3.6588294480906763E-3</v>
      </c>
      <c r="C547">
        <f t="shared" si="96"/>
        <v>0</v>
      </c>
      <c r="D547">
        <f t="shared" si="97"/>
        <v>0</v>
      </c>
      <c r="E547">
        <f t="shared" si="98"/>
        <v>0</v>
      </c>
      <c r="F547">
        <f t="shared" si="99"/>
        <v>0</v>
      </c>
      <c r="G547">
        <f t="shared" si="100"/>
        <v>0</v>
      </c>
      <c r="H547">
        <f t="shared" si="101"/>
        <v>0</v>
      </c>
      <c r="I547">
        <f t="shared" si="102"/>
        <v>0</v>
      </c>
      <c r="J547">
        <f t="shared" si="103"/>
        <v>0</v>
      </c>
      <c r="K547">
        <f t="shared" si="104"/>
        <v>0</v>
      </c>
      <c r="L547">
        <f t="shared" si="105"/>
        <v>0</v>
      </c>
      <c r="M547">
        <f t="shared" si="106"/>
        <v>1</v>
      </c>
      <c r="N547">
        <f t="shared" si="107"/>
        <v>0</v>
      </c>
    </row>
    <row r="548" spans="1:14" x14ac:dyDescent="0.35">
      <c r="A548" s="17">
        <v>45603</v>
      </c>
      <c r="B548">
        <f>AVERAGE(Tableau2[[#This Row],[AWB]:[IAM]])</f>
        <v>8.7952385094575772E-3</v>
      </c>
      <c r="C548">
        <f t="shared" si="96"/>
        <v>0</v>
      </c>
      <c r="D548">
        <f t="shared" si="97"/>
        <v>0</v>
      </c>
      <c r="E548">
        <f t="shared" si="98"/>
        <v>0</v>
      </c>
      <c r="F548">
        <f t="shared" si="99"/>
        <v>0</v>
      </c>
      <c r="G548">
        <f t="shared" si="100"/>
        <v>0</v>
      </c>
      <c r="H548">
        <f t="shared" si="101"/>
        <v>0</v>
      </c>
      <c r="I548">
        <f t="shared" si="102"/>
        <v>0</v>
      </c>
      <c r="J548">
        <f t="shared" si="103"/>
        <v>0</v>
      </c>
      <c r="K548">
        <f t="shared" si="104"/>
        <v>0</v>
      </c>
      <c r="L548">
        <f t="shared" si="105"/>
        <v>0</v>
      </c>
      <c r="M548">
        <f t="shared" si="106"/>
        <v>1</v>
      </c>
      <c r="N548">
        <f t="shared" si="107"/>
        <v>0</v>
      </c>
    </row>
    <row r="549" spans="1:14" x14ac:dyDescent="0.35">
      <c r="A549" s="17">
        <v>45604</v>
      </c>
      <c r="B549">
        <f>AVERAGE(Tableau2[[#This Row],[AWB]:[IAM]])</f>
        <v>1.305292293697213E-2</v>
      </c>
      <c r="C549">
        <f t="shared" si="96"/>
        <v>0</v>
      </c>
      <c r="D549">
        <f t="shared" si="97"/>
        <v>0</v>
      </c>
      <c r="E549">
        <f t="shared" si="98"/>
        <v>0</v>
      </c>
      <c r="F549">
        <f t="shared" si="99"/>
        <v>0</v>
      </c>
      <c r="G549">
        <f t="shared" si="100"/>
        <v>0</v>
      </c>
      <c r="H549">
        <f t="shared" si="101"/>
        <v>0</v>
      </c>
      <c r="I549">
        <f t="shared" si="102"/>
        <v>0</v>
      </c>
      <c r="J549">
        <f t="shared" si="103"/>
        <v>0</v>
      </c>
      <c r="K549">
        <f t="shared" si="104"/>
        <v>0</v>
      </c>
      <c r="L549">
        <f t="shared" si="105"/>
        <v>0</v>
      </c>
      <c r="M549">
        <f t="shared" si="106"/>
        <v>1</v>
      </c>
      <c r="N549">
        <f t="shared" si="107"/>
        <v>0</v>
      </c>
    </row>
    <row r="550" spans="1:14" x14ac:dyDescent="0.35">
      <c r="A550" s="17">
        <v>45608</v>
      </c>
      <c r="B550">
        <f>AVERAGE(Tableau2[[#This Row],[AWB]:[IAM]])</f>
        <v>-1.3817852646996144E-3</v>
      </c>
      <c r="C550">
        <f t="shared" si="96"/>
        <v>0</v>
      </c>
      <c r="D550">
        <f t="shared" si="97"/>
        <v>0</v>
      </c>
      <c r="E550">
        <f t="shared" si="98"/>
        <v>0</v>
      </c>
      <c r="F550">
        <f t="shared" si="99"/>
        <v>0</v>
      </c>
      <c r="G550">
        <f t="shared" si="100"/>
        <v>0</v>
      </c>
      <c r="H550">
        <f t="shared" si="101"/>
        <v>0</v>
      </c>
      <c r="I550">
        <f t="shared" si="102"/>
        <v>0</v>
      </c>
      <c r="J550">
        <f t="shared" si="103"/>
        <v>0</v>
      </c>
      <c r="K550">
        <f t="shared" si="104"/>
        <v>0</v>
      </c>
      <c r="L550">
        <f t="shared" si="105"/>
        <v>0</v>
      </c>
      <c r="M550">
        <f t="shared" si="106"/>
        <v>1</v>
      </c>
      <c r="N550">
        <f t="shared" si="107"/>
        <v>0</v>
      </c>
    </row>
    <row r="551" spans="1:14" x14ac:dyDescent="0.35">
      <c r="A551" s="17">
        <v>45609</v>
      </c>
      <c r="B551">
        <f>AVERAGE(Tableau2[[#This Row],[AWB]:[IAM]])</f>
        <v>-4.4174607773085151E-3</v>
      </c>
      <c r="C551">
        <f t="shared" si="96"/>
        <v>0</v>
      </c>
      <c r="D551">
        <f t="shared" si="97"/>
        <v>0</v>
      </c>
      <c r="E551">
        <f t="shared" si="98"/>
        <v>0</v>
      </c>
      <c r="F551">
        <f t="shared" si="99"/>
        <v>0</v>
      </c>
      <c r="G551">
        <f t="shared" si="100"/>
        <v>0</v>
      </c>
      <c r="H551">
        <f t="shared" si="101"/>
        <v>0</v>
      </c>
      <c r="I551">
        <f t="shared" si="102"/>
        <v>0</v>
      </c>
      <c r="J551">
        <f t="shared" si="103"/>
        <v>0</v>
      </c>
      <c r="K551">
        <f t="shared" si="104"/>
        <v>0</v>
      </c>
      <c r="L551">
        <f t="shared" si="105"/>
        <v>0</v>
      </c>
      <c r="M551">
        <f t="shared" si="106"/>
        <v>1</v>
      </c>
      <c r="N551">
        <f t="shared" si="107"/>
        <v>0</v>
      </c>
    </row>
    <row r="552" spans="1:14" x14ac:dyDescent="0.35">
      <c r="A552" s="17">
        <v>45611</v>
      </c>
      <c r="B552">
        <f>AVERAGE(Tableau2[[#This Row],[AWB]:[IAM]])</f>
        <v>1.3023460871024699E-2</v>
      </c>
      <c r="C552">
        <f t="shared" si="96"/>
        <v>0</v>
      </c>
      <c r="D552">
        <f t="shared" si="97"/>
        <v>0</v>
      </c>
      <c r="E552">
        <f t="shared" si="98"/>
        <v>0</v>
      </c>
      <c r="F552">
        <f t="shared" si="99"/>
        <v>0</v>
      </c>
      <c r="G552">
        <f t="shared" si="100"/>
        <v>0</v>
      </c>
      <c r="H552">
        <f t="shared" si="101"/>
        <v>0</v>
      </c>
      <c r="I552">
        <f t="shared" si="102"/>
        <v>0</v>
      </c>
      <c r="J552">
        <f t="shared" si="103"/>
        <v>0</v>
      </c>
      <c r="K552">
        <f t="shared" si="104"/>
        <v>0</v>
      </c>
      <c r="L552">
        <f t="shared" si="105"/>
        <v>0</v>
      </c>
      <c r="M552">
        <f t="shared" si="106"/>
        <v>1</v>
      </c>
      <c r="N552">
        <f t="shared" si="107"/>
        <v>0</v>
      </c>
    </row>
    <row r="553" spans="1:14" x14ac:dyDescent="0.35">
      <c r="A553" s="17">
        <v>45615</v>
      </c>
      <c r="B553">
        <f>AVERAGE(Tableau2[[#This Row],[AWB]:[IAM]])</f>
        <v>7.4064841457566243E-3</v>
      </c>
      <c r="C553">
        <f t="shared" si="96"/>
        <v>0</v>
      </c>
      <c r="D553">
        <f t="shared" si="97"/>
        <v>0</v>
      </c>
      <c r="E553">
        <f t="shared" si="98"/>
        <v>0</v>
      </c>
      <c r="F553">
        <f t="shared" si="99"/>
        <v>0</v>
      </c>
      <c r="G553">
        <f t="shared" si="100"/>
        <v>0</v>
      </c>
      <c r="H553">
        <f t="shared" si="101"/>
        <v>0</v>
      </c>
      <c r="I553">
        <f t="shared" si="102"/>
        <v>0</v>
      </c>
      <c r="J553">
        <f t="shared" si="103"/>
        <v>0</v>
      </c>
      <c r="K553">
        <f t="shared" si="104"/>
        <v>0</v>
      </c>
      <c r="L553">
        <f t="shared" si="105"/>
        <v>0</v>
      </c>
      <c r="M553">
        <f t="shared" si="106"/>
        <v>1</v>
      </c>
      <c r="N553">
        <f t="shared" si="107"/>
        <v>0</v>
      </c>
    </row>
    <row r="554" spans="1:14" x14ac:dyDescent="0.35">
      <c r="A554" s="17">
        <v>45616</v>
      </c>
      <c r="B554">
        <f>AVERAGE(Tableau2[[#This Row],[AWB]:[IAM]])</f>
        <v>2.2557989547742131E-3</v>
      </c>
      <c r="C554">
        <f t="shared" si="96"/>
        <v>0</v>
      </c>
      <c r="D554">
        <f t="shared" si="97"/>
        <v>0</v>
      </c>
      <c r="E554">
        <f t="shared" si="98"/>
        <v>0</v>
      </c>
      <c r="F554">
        <f t="shared" si="99"/>
        <v>0</v>
      </c>
      <c r="G554">
        <f t="shared" si="100"/>
        <v>0</v>
      </c>
      <c r="H554">
        <f t="shared" si="101"/>
        <v>0</v>
      </c>
      <c r="I554">
        <f t="shared" si="102"/>
        <v>0</v>
      </c>
      <c r="J554">
        <f t="shared" si="103"/>
        <v>0</v>
      </c>
      <c r="K554">
        <f t="shared" si="104"/>
        <v>0</v>
      </c>
      <c r="L554">
        <f t="shared" si="105"/>
        <v>0</v>
      </c>
      <c r="M554">
        <f t="shared" si="106"/>
        <v>1</v>
      </c>
      <c r="N554">
        <f t="shared" si="107"/>
        <v>0</v>
      </c>
    </row>
    <row r="555" spans="1:14" x14ac:dyDescent="0.35">
      <c r="A555" s="17">
        <v>45621</v>
      </c>
      <c r="B555">
        <f>AVERAGE(Tableau2[[#This Row],[AWB]:[IAM]])</f>
        <v>-1.2624565790597529E-2</v>
      </c>
      <c r="C555">
        <f t="shared" si="96"/>
        <v>0</v>
      </c>
      <c r="D555">
        <f t="shared" si="97"/>
        <v>0</v>
      </c>
      <c r="E555">
        <f t="shared" si="98"/>
        <v>0</v>
      </c>
      <c r="F555">
        <f t="shared" si="99"/>
        <v>0</v>
      </c>
      <c r="G555">
        <f t="shared" si="100"/>
        <v>0</v>
      </c>
      <c r="H555">
        <f t="shared" si="101"/>
        <v>0</v>
      </c>
      <c r="I555">
        <f t="shared" si="102"/>
        <v>0</v>
      </c>
      <c r="J555">
        <f t="shared" si="103"/>
        <v>0</v>
      </c>
      <c r="K555">
        <f t="shared" si="104"/>
        <v>0</v>
      </c>
      <c r="L555">
        <f t="shared" si="105"/>
        <v>0</v>
      </c>
      <c r="M555">
        <f t="shared" si="106"/>
        <v>1</v>
      </c>
      <c r="N555">
        <f t="shared" si="107"/>
        <v>0</v>
      </c>
    </row>
    <row r="556" spans="1:14" x14ac:dyDescent="0.35">
      <c r="A556" s="17">
        <v>45624</v>
      </c>
      <c r="B556">
        <f>AVERAGE(Tableau2[[#This Row],[AWB]:[IAM]])</f>
        <v>1.3075408986879646E-2</v>
      </c>
      <c r="C556">
        <f t="shared" si="96"/>
        <v>0</v>
      </c>
      <c r="D556">
        <f t="shared" si="97"/>
        <v>0</v>
      </c>
      <c r="E556">
        <f t="shared" si="98"/>
        <v>0</v>
      </c>
      <c r="F556">
        <f t="shared" si="99"/>
        <v>0</v>
      </c>
      <c r="G556">
        <f t="shared" si="100"/>
        <v>0</v>
      </c>
      <c r="H556">
        <f t="shared" si="101"/>
        <v>0</v>
      </c>
      <c r="I556">
        <f t="shared" si="102"/>
        <v>0</v>
      </c>
      <c r="J556">
        <f t="shared" si="103"/>
        <v>0</v>
      </c>
      <c r="K556">
        <f t="shared" si="104"/>
        <v>0</v>
      </c>
      <c r="L556">
        <f t="shared" si="105"/>
        <v>0</v>
      </c>
      <c r="M556">
        <f t="shared" si="106"/>
        <v>1</v>
      </c>
      <c r="N556">
        <f t="shared" si="107"/>
        <v>0</v>
      </c>
    </row>
    <row r="557" spans="1:14" x14ac:dyDescent="0.35">
      <c r="A557" s="17">
        <v>45625</v>
      </c>
      <c r="B557">
        <f>AVERAGE(Tableau2[[#This Row],[AWB]:[IAM]])</f>
        <v>2.5067719575012277E-3</v>
      </c>
      <c r="C557">
        <f t="shared" si="96"/>
        <v>0</v>
      </c>
      <c r="D557">
        <f t="shared" si="97"/>
        <v>0</v>
      </c>
      <c r="E557">
        <f t="shared" si="98"/>
        <v>0</v>
      </c>
      <c r="F557">
        <f t="shared" si="99"/>
        <v>0</v>
      </c>
      <c r="G557">
        <f t="shared" si="100"/>
        <v>0</v>
      </c>
      <c r="H557">
        <f t="shared" si="101"/>
        <v>0</v>
      </c>
      <c r="I557">
        <f t="shared" si="102"/>
        <v>0</v>
      </c>
      <c r="J557">
        <f t="shared" si="103"/>
        <v>0</v>
      </c>
      <c r="K557">
        <f t="shared" si="104"/>
        <v>0</v>
      </c>
      <c r="L557">
        <f t="shared" si="105"/>
        <v>0</v>
      </c>
      <c r="M557">
        <f t="shared" si="106"/>
        <v>1</v>
      </c>
      <c r="N557">
        <f t="shared" si="107"/>
        <v>0</v>
      </c>
    </row>
    <row r="558" spans="1:14" x14ac:dyDescent="0.35">
      <c r="A558" s="17">
        <v>45628</v>
      </c>
      <c r="B558">
        <f>AVERAGE(Tableau2[[#This Row],[AWB]:[IAM]])</f>
        <v>-1.0445206883277247E-2</v>
      </c>
      <c r="C558">
        <f t="shared" si="96"/>
        <v>0</v>
      </c>
      <c r="D558">
        <f t="shared" si="97"/>
        <v>0</v>
      </c>
      <c r="E558">
        <f t="shared" si="98"/>
        <v>0</v>
      </c>
      <c r="F558">
        <f t="shared" si="99"/>
        <v>0</v>
      </c>
      <c r="G558">
        <f t="shared" si="100"/>
        <v>0</v>
      </c>
      <c r="H558">
        <f t="shared" si="101"/>
        <v>0</v>
      </c>
      <c r="I558">
        <f t="shared" si="102"/>
        <v>0</v>
      </c>
      <c r="J558">
        <f t="shared" si="103"/>
        <v>0</v>
      </c>
      <c r="K558">
        <f t="shared" si="104"/>
        <v>0</v>
      </c>
      <c r="L558">
        <f t="shared" si="105"/>
        <v>0</v>
      </c>
      <c r="M558">
        <f t="shared" si="106"/>
        <v>0</v>
      </c>
      <c r="N558">
        <f t="shared" si="107"/>
        <v>1</v>
      </c>
    </row>
    <row r="559" spans="1:14" x14ac:dyDescent="0.35">
      <c r="A559" s="17">
        <v>45631</v>
      </c>
      <c r="B559">
        <f>AVERAGE(Tableau2[[#This Row],[AWB]:[IAM]])</f>
        <v>8.4975567598847522E-3</v>
      </c>
      <c r="C559">
        <f t="shared" si="96"/>
        <v>0</v>
      </c>
      <c r="D559">
        <f t="shared" si="97"/>
        <v>0</v>
      </c>
      <c r="E559">
        <f t="shared" si="98"/>
        <v>0</v>
      </c>
      <c r="F559">
        <f t="shared" si="99"/>
        <v>0</v>
      </c>
      <c r="G559">
        <f t="shared" si="100"/>
        <v>0</v>
      </c>
      <c r="H559">
        <f t="shared" si="101"/>
        <v>0</v>
      </c>
      <c r="I559">
        <f t="shared" si="102"/>
        <v>0</v>
      </c>
      <c r="J559">
        <f t="shared" si="103"/>
        <v>0</v>
      </c>
      <c r="K559">
        <f t="shared" si="104"/>
        <v>0</v>
      </c>
      <c r="L559">
        <f t="shared" si="105"/>
        <v>0</v>
      </c>
      <c r="M559">
        <f t="shared" si="106"/>
        <v>0</v>
      </c>
      <c r="N559">
        <f t="shared" si="107"/>
        <v>1</v>
      </c>
    </row>
    <row r="560" spans="1:14" x14ac:dyDescent="0.35">
      <c r="A560" s="17">
        <v>45632</v>
      </c>
      <c r="B560">
        <f>AVERAGE(Tableau2[[#This Row],[AWB]:[IAM]])</f>
        <v>-1.7518942903021537E-4</v>
      </c>
      <c r="C560">
        <f t="shared" si="96"/>
        <v>0</v>
      </c>
      <c r="D560">
        <f t="shared" si="97"/>
        <v>0</v>
      </c>
      <c r="E560">
        <f t="shared" si="98"/>
        <v>0</v>
      </c>
      <c r="F560">
        <f t="shared" si="99"/>
        <v>0</v>
      </c>
      <c r="G560">
        <f t="shared" si="100"/>
        <v>0</v>
      </c>
      <c r="H560">
        <f t="shared" si="101"/>
        <v>0</v>
      </c>
      <c r="I560">
        <f t="shared" si="102"/>
        <v>0</v>
      </c>
      <c r="J560">
        <f t="shared" si="103"/>
        <v>0</v>
      </c>
      <c r="K560">
        <f t="shared" si="104"/>
        <v>0</v>
      </c>
      <c r="L560">
        <f t="shared" si="105"/>
        <v>0</v>
      </c>
      <c r="M560">
        <f t="shared" si="106"/>
        <v>0</v>
      </c>
      <c r="N560">
        <f t="shared" si="107"/>
        <v>1</v>
      </c>
    </row>
    <row r="561" spans="1:14" x14ac:dyDescent="0.35">
      <c r="A561" s="17">
        <v>45639</v>
      </c>
      <c r="B561">
        <f>AVERAGE(Tableau2[[#This Row],[AWB]:[IAM]])</f>
        <v>-4.6840108858947106E-3</v>
      </c>
      <c r="C561">
        <f t="shared" si="96"/>
        <v>0</v>
      </c>
      <c r="D561">
        <f t="shared" si="97"/>
        <v>0</v>
      </c>
      <c r="E561">
        <f t="shared" si="98"/>
        <v>0</v>
      </c>
      <c r="F561">
        <f t="shared" si="99"/>
        <v>0</v>
      </c>
      <c r="G561">
        <f t="shared" si="100"/>
        <v>0</v>
      </c>
      <c r="H561">
        <f t="shared" si="101"/>
        <v>0</v>
      </c>
      <c r="I561">
        <f t="shared" si="102"/>
        <v>0</v>
      </c>
      <c r="J561">
        <f t="shared" si="103"/>
        <v>0</v>
      </c>
      <c r="K561">
        <f t="shared" si="104"/>
        <v>0</v>
      </c>
      <c r="L561">
        <f t="shared" si="105"/>
        <v>0</v>
      </c>
      <c r="M561">
        <f t="shared" si="106"/>
        <v>0</v>
      </c>
      <c r="N561">
        <f t="shared" si="107"/>
        <v>1</v>
      </c>
    </row>
    <row r="562" spans="1:14" x14ac:dyDescent="0.35">
      <c r="A562" s="17">
        <v>45643</v>
      </c>
      <c r="B562">
        <f>AVERAGE(Tableau2[[#This Row],[AWB]:[IAM]])</f>
        <v>1.0642569056936379E-3</v>
      </c>
      <c r="C562">
        <f t="shared" si="96"/>
        <v>0</v>
      </c>
      <c r="D562">
        <f t="shared" si="97"/>
        <v>0</v>
      </c>
      <c r="E562">
        <f t="shared" si="98"/>
        <v>0</v>
      </c>
      <c r="F562">
        <f t="shared" si="99"/>
        <v>0</v>
      </c>
      <c r="G562">
        <f t="shared" si="100"/>
        <v>0</v>
      </c>
      <c r="H562">
        <f t="shared" si="101"/>
        <v>0</v>
      </c>
      <c r="I562">
        <f t="shared" si="102"/>
        <v>0</v>
      </c>
      <c r="J562">
        <f t="shared" si="103"/>
        <v>0</v>
      </c>
      <c r="K562">
        <f t="shared" si="104"/>
        <v>0</v>
      </c>
      <c r="L562">
        <f t="shared" si="105"/>
        <v>0</v>
      </c>
      <c r="M562">
        <f t="shared" si="106"/>
        <v>0</v>
      </c>
      <c r="N562">
        <f t="shared" si="107"/>
        <v>1</v>
      </c>
    </row>
    <row r="563" spans="1:14" x14ac:dyDescent="0.35">
      <c r="A563" s="17">
        <v>45644</v>
      </c>
      <c r="B563">
        <f>AVERAGE(Tableau2[[#This Row],[AWB]:[IAM]])</f>
        <v>1.5410004527617951E-3</v>
      </c>
      <c r="C563">
        <f t="shared" si="96"/>
        <v>0</v>
      </c>
      <c r="D563">
        <f t="shared" si="97"/>
        <v>0</v>
      </c>
      <c r="E563">
        <f t="shared" si="98"/>
        <v>0</v>
      </c>
      <c r="F563">
        <f t="shared" si="99"/>
        <v>0</v>
      </c>
      <c r="G563">
        <f t="shared" si="100"/>
        <v>0</v>
      </c>
      <c r="H563">
        <f t="shared" si="101"/>
        <v>0</v>
      </c>
      <c r="I563">
        <f t="shared" si="102"/>
        <v>0</v>
      </c>
      <c r="J563">
        <f t="shared" si="103"/>
        <v>0</v>
      </c>
      <c r="K563">
        <f t="shared" si="104"/>
        <v>0</v>
      </c>
      <c r="L563">
        <f t="shared" si="105"/>
        <v>0</v>
      </c>
      <c r="M563">
        <f t="shared" si="106"/>
        <v>0</v>
      </c>
      <c r="N563">
        <f t="shared" si="107"/>
        <v>1</v>
      </c>
    </row>
    <row r="564" spans="1:14" x14ac:dyDescent="0.35">
      <c r="A564" s="17">
        <v>45645</v>
      </c>
      <c r="B564">
        <f>AVERAGE(Tableau2[[#This Row],[AWB]:[IAM]])</f>
        <v>-6.73686996696063E-3</v>
      </c>
      <c r="C564">
        <f t="shared" si="96"/>
        <v>0</v>
      </c>
      <c r="D564">
        <f t="shared" si="97"/>
        <v>0</v>
      </c>
      <c r="E564">
        <f t="shared" si="98"/>
        <v>0</v>
      </c>
      <c r="F564">
        <f t="shared" si="99"/>
        <v>0</v>
      </c>
      <c r="G564">
        <f t="shared" si="100"/>
        <v>0</v>
      </c>
      <c r="H564">
        <f t="shared" si="101"/>
        <v>0</v>
      </c>
      <c r="I564">
        <f t="shared" si="102"/>
        <v>0</v>
      </c>
      <c r="J564">
        <f t="shared" si="103"/>
        <v>0</v>
      </c>
      <c r="K564">
        <f t="shared" si="104"/>
        <v>0</v>
      </c>
      <c r="L564">
        <f t="shared" si="105"/>
        <v>0</v>
      </c>
      <c r="M564">
        <f t="shared" si="106"/>
        <v>0</v>
      </c>
      <c r="N564">
        <f t="shared" si="107"/>
        <v>1</v>
      </c>
    </row>
    <row r="565" spans="1:14" x14ac:dyDescent="0.35">
      <c r="A565" s="17">
        <v>45646</v>
      </c>
      <c r="B565">
        <f>AVERAGE(Tableau2[[#This Row],[AWB]:[IAM]])</f>
        <v>-2.2426224163446364E-3</v>
      </c>
      <c r="C565">
        <f t="shared" si="96"/>
        <v>0</v>
      </c>
      <c r="D565">
        <f t="shared" si="97"/>
        <v>0</v>
      </c>
      <c r="E565">
        <f t="shared" si="98"/>
        <v>0</v>
      </c>
      <c r="F565">
        <f t="shared" si="99"/>
        <v>0</v>
      </c>
      <c r="G565">
        <f t="shared" si="100"/>
        <v>0</v>
      </c>
      <c r="H565">
        <f t="shared" si="101"/>
        <v>0</v>
      </c>
      <c r="I565">
        <f t="shared" si="102"/>
        <v>0</v>
      </c>
      <c r="J565">
        <f t="shared" si="103"/>
        <v>0</v>
      </c>
      <c r="K565">
        <f t="shared" si="104"/>
        <v>0</v>
      </c>
      <c r="L565">
        <f t="shared" si="105"/>
        <v>0</v>
      </c>
      <c r="M565">
        <f t="shared" si="106"/>
        <v>0</v>
      </c>
      <c r="N565">
        <f t="shared" si="107"/>
        <v>1</v>
      </c>
    </row>
    <row r="566" spans="1:14" x14ac:dyDescent="0.35">
      <c r="A566" s="17">
        <v>45649</v>
      </c>
      <c r="B566">
        <f>AVERAGE(Tableau2[[#This Row],[AWB]:[IAM]])</f>
        <v>2.9878282105212379E-4</v>
      </c>
      <c r="C566">
        <f t="shared" si="96"/>
        <v>0</v>
      </c>
      <c r="D566">
        <f t="shared" si="97"/>
        <v>0</v>
      </c>
      <c r="E566">
        <f t="shared" si="98"/>
        <v>0</v>
      </c>
      <c r="F566">
        <f t="shared" si="99"/>
        <v>0</v>
      </c>
      <c r="G566">
        <f t="shared" si="100"/>
        <v>0</v>
      </c>
      <c r="H566">
        <f t="shared" si="101"/>
        <v>0</v>
      </c>
      <c r="I566">
        <f t="shared" si="102"/>
        <v>0</v>
      </c>
      <c r="J566">
        <f t="shared" si="103"/>
        <v>0</v>
      </c>
      <c r="K566">
        <f t="shared" si="104"/>
        <v>0</v>
      </c>
      <c r="L566">
        <f t="shared" si="105"/>
        <v>0</v>
      </c>
      <c r="M566">
        <f t="shared" si="106"/>
        <v>0</v>
      </c>
      <c r="N566">
        <f t="shared" si="107"/>
        <v>1</v>
      </c>
    </row>
    <row r="567" spans="1:14" x14ac:dyDescent="0.35">
      <c r="A567" s="17">
        <v>45653</v>
      </c>
      <c r="B567">
        <f>AVERAGE(Tableau2[[#This Row],[AWB]:[IAM]])</f>
        <v>-2.5402880889894238E-3</v>
      </c>
      <c r="C567">
        <f t="shared" si="96"/>
        <v>0</v>
      </c>
      <c r="D567">
        <f t="shared" si="97"/>
        <v>0</v>
      </c>
      <c r="E567">
        <f t="shared" si="98"/>
        <v>0</v>
      </c>
      <c r="F567">
        <f t="shared" si="99"/>
        <v>0</v>
      </c>
      <c r="G567">
        <f t="shared" si="100"/>
        <v>0</v>
      </c>
      <c r="H567">
        <f t="shared" si="101"/>
        <v>0</v>
      </c>
      <c r="I567">
        <f t="shared" si="102"/>
        <v>0</v>
      </c>
      <c r="J567">
        <f t="shared" si="103"/>
        <v>0</v>
      </c>
      <c r="K567">
        <f t="shared" si="104"/>
        <v>0</v>
      </c>
      <c r="L567">
        <f t="shared" si="105"/>
        <v>0</v>
      </c>
      <c r="M567">
        <f t="shared" si="106"/>
        <v>0</v>
      </c>
      <c r="N567">
        <f t="shared" si="107"/>
        <v>1</v>
      </c>
    </row>
    <row r="568" spans="1:14" x14ac:dyDescent="0.35">
      <c r="A568" s="17">
        <v>45659</v>
      </c>
      <c r="B568">
        <f>AVERAGE(Tableau2[[#This Row],[AWB]:[IAM]])</f>
        <v>2.6085855889422405E-2</v>
      </c>
      <c r="C568">
        <f t="shared" si="96"/>
        <v>1</v>
      </c>
      <c r="D568">
        <f t="shared" si="97"/>
        <v>0</v>
      </c>
      <c r="E568">
        <f t="shared" si="98"/>
        <v>0</v>
      </c>
      <c r="F568">
        <f t="shared" si="99"/>
        <v>0</v>
      </c>
      <c r="G568">
        <f t="shared" si="100"/>
        <v>0</v>
      </c>
      <c r="H568">
        <f t="shared" si="101"/>
        <v>0</v>
      </c>
      <c r="I568">
        <f t="shared" si="102"/>
        <v>0</v>
      </c>
      <c r="J568">
        <f t="shared" si="103"/>
        <v>0</v>
      </c>
      <c r="K568">
        <f t="shared" si="104"/>
        <v>0</v>
      </c>
      <c r="L568">
        <f t="shared" si="105"/>
        <v>0</v>
      </c>
      <c r="M568">
        <f t="shared" si="106"/>
        <v>0</v>
      </c>
      <c r="N568">
        <f t="shared" si="107"/>
        <v>0</v>
      </c>
    </row>
    <row r="569" spans="1:14" x14ac:dyDescent="0.35">
      <c r="A569" s="17">
        <v>45660</v>
      </c>
      <c r="B569">
        <f>AVERAGE(Tableau2[[#This Row],[AWB]:[IAM]])</f>
        <v>1.9499110199754529E-2</v>
      </c>
      <c r="C569">
        <f t="shared" si="96"/>
        <v>1</v>
      </c>
      <c r="D569">
        <f t="shared" si="97"/>
        <v>0</v>
      </c>
      <c r="E569">
        <f t="shared" si="98"/>
        <v>0</v>
      </c>
      <c r="F569">
        <f t="shared" si="99"/>
        <v>0</v>
      </c>
      <c r="G569">
        <f t="shared" si="100"/>
        <v>0</v>
      </c>
      <c r="H569">
        <f t="shared" si="101"/>
        <v>0</v>
      </c>
      <c r="I569">
        <f t="shared" si="102"/>
        <v>0</v>
      </c>
      <c r="J569">
        <f t="shared" si="103"/>
        <v>0</v>
      </c>
      <c r="K569">
        <f t="shared" si="104"/>
        <v>0</v>
      </c>
      <c r="L569">
        <f t="shared" si="105"/>
        <v>0</v>
      </c>
      <c r="M569">
        <f t="shared" si="106"/>
        <v>0</v>
      </c>
      <c r="N569">
        <f t="shared" si="107"/>
        <v>0</v>
      </c>
    </row>
    <row r="570" spans="1:14" x14ac:dyDescent="0.35">
      <c r="A570" s="17">
        <v>45663</v>
      </c>
      <c r="B570">
        <f>AVERAGE(Tableau2[[#This Row],[AWB]:[IAM]])</f>
        <v>-4.0709504707574888E-3</v>
      </c>
      <c r="C570">
        <f t="shared" si="96"/>
        <v>1</v>
      </c>
      <c r="D570">
        <f t="shared" si="97"/>
        <v>0</v>
      </c>
      <c r="E570">
        <f t="shared" si="98"/>
        <v>0</v>
      </c>
      <c r="F570">
        <f t="shared" si="99"/>
        <v>0</v>
      </c>
      <c r="G570">
        <f t="shared" si="100"/>
        <v>0</v>
      </c>
      <c r="H570">
        <f t="shared" si="101"/>
        <v>0</v>
      </c>
      <c r="I570">
        <f t="shared" si="102"/>
        <v>0</v>
      </c>
      <c r="J570">
        <f t="shared" si="103"/>
        <v>0</v>
      </c>
      <c r="K570">
        <f t="shared" si="104"/>
        <v>0</v>
      </c>
      <c r="L570">
        <f t="shared" si="105"/>
        <v>0</v>
      </c>
      <c r="M570">
        <f t="shared" si="106"/>
        <v>0</v>
      </c>
      <c r="N570">
        <f t="shared" si="107"/>
        <v>0</v>
      </c>
    </row>
    <row r="571" spans="1:14" x14ac:dyDescent="0.35">
      <c r="A571" s="17">
        <v>45664</v>
      </c>
      <c r="B571">
        <f>AVERAGE(Tableau2[[#This Row],[AWB]:[IAM]])</f>
        <v>1.3989720805921676E-3</v>
      </c>
      <c r="C571">
        <f t="shared" si="96"/>
        <v>1</v>
      </c>
      <c r="D571">
        <f t="shared" si="97"/>
        <v>0</v>
      </c>
      <c r="E571">
        <f t="shared" si="98"/>
        <v>0</v>
      </c>
      <c r="F571">
        <f t="shared" si="99"/>
        <v>0</v>
      </c>
      <c r="G571">
        <f t="shared" si="100"/>
        <v>0</v>
      </c>
      <c r="H571">
        <f t="shared" si="101"/>
        <v>0</v>
      </c>
      <c r="I571">
        <f t="shared" si="102"/>
        <v>0</v>
      </c>
      <c r="J571">
        <f t="shared" si="103"/>
        <v>0</v>
      </c>
      <c r="K571">
        <f t="shared" si="104"/>
        <v>0</v>
      </c>
      <c r="L571">
        <f t="shared" si="105"/>
        <v>0</v>
      </c>
      <c r="M571">
        <f t="shared" si="106"/>
        <v>0</v>
      </c>
      <c r="N571">
        <f t="shared" si="107"/>
        <v>0</v>
      </c>
    </row>
    <row r="572" spans="1:14" x14ac:dyDescent="0.35">
      <c r="A572" s="17">
        <v>45665</v>
      </c>
      <c r="B572">
        <f>AVERAGE(Tableau2[[#This Row],[AWB]:[IAM]])</f>
        <v>2.2408129583827863E-2</v>
      </c>
      <c r="C572">
        <f t="shared" si="96"/>
        <v>1</v>
      </c>
      <c r="D572">
        <f t="shared" si="97"/>
        <v>0</v>
      </c>
      <c r="E572">
        <f t="shared" si="98"/>
        <v>0</v>
      </c>
      <c r="F572">
        <f t="shared" si="99"/>
        <v>0</v>
      </c>
      <c r="G572">
        <f t="shared" si="100"/>
        <v>0</v>
      </c>
      <c r="H572">
        <f t="shared" si="101"/>
        <v>0</v>
      </c>
      <c r="I572">
        <f t="shared" si="102"/>
        <v>0</v>
      </c>
      <c r="J572">
        <f t="shared" si="103"/>
        <v>0</v>
      </c>
      <c r="K572">
        <f t="shared" si="104"/>
        <v>0</v>
      </c>
      <c r="L572">
        <f t="shared" si="105"/>
        <v>0</v>
      </c>
      <c r="M572">
        <f t="shared" si="106"/>
        <v>0</v>
      </c>
      <c r="N572">
        <f t="shared" si="107"/>
        <v>0</v>
      </c>
    </row>
    <row r="573" spans="1:14" x14ac:dyDescent="0.35">
      <c r="A573" s="17">
        <v>45666</v>
      </c>
      <c r="B573">
        <f>AVERAGE(Tableau2[[#This Row],[AWB]:[IAM]])</f>
        <v>8.5355754574449293E-3</v>
      </c>
      <c r="C573">
        <f t="shared" si="96"/>
        <v>1</v>
      </c>
      <c r="D573">
        <f t="shared" si="97"/>
        <v>0</v>
      </c>
      <c r="E573">
        <f t="shared" si="98"/>
        <v>0</v>
      </c>
      <c r="F573">
        <f t="shared" si="99"/>
        <v>0</v>
      </c>
      <c r="G573">
        <f t="shared" si="100"/>
        <v>0</v>
      </c>
      <c r="H573">
        <f t="shared" si="101"/>
        <v>0</v>
      </c>
      <c r="I573">
        <f t="shared" si="102"/>
        <v>0</v>
      </c>
      <c r="J573">
        <f t="shared" si="103"/>
        <v>0</v>
      </c>
      <c r="K573">
        <f t="shared" si="104"/>
        <v>0</v>
      </c>
      <c r="L573">
        <f t="shared" si="105"/>
        <v>0</v>
      </c>
      <c r="M573">
        <f t="shared" si="106"/>
        <v>0</v>
      </c>
      <c r="N573">
        <f t="shared" si="107"/>
        <v>0</v>
      </c>
    </row>
    <row r="574" spans="1:14" x14ac:dyDescent="0.35">
      <c r="A574" s="17">
        <v>45667</v>
      </c>
      <c r="B574">
        <f>AVERAGE(Tableau2[[#This Row],[AWB]:[IAM]])</f>
        <v>3.7032000822966179E-4</v>
      </c>
      <c r="C574">
        <f t="shared" si="96"/>
        <v>1</v>
      </c>
      <c r="D574">
        <f t="shared" si="97"/>
        <v>0</v>
      </c>
      <c r="E574">
        <f t="shared" si="98"/>
        <v>0</v>
      </c>
      <c r="F574">
        <f t="shared" si="99"/>
        <v>0</v>
      </c>
      <c r="G574">
        <f t="shared" si="100"/>
        <v>0</v>
      </c>
      <c r="H574">
        <f t="shared" si="101"/>
        <v>0</v>
      </c>
      <c r="I574">
        <f t="shared" si="102"/>
        <v>0</v>
      </c>
      <c r="J574">
        <f t="shared" si="103"/>
        <v>0</v>
      </c>
      <c r="K574">
        <f t="shared" si="104"/>
        <v>0</v>
      </c>
      <c r="L574">
        <f t="shared" si="105"/>
        <v>0</v>
      </c>
      <c r="M574">
        <f t="shared" si="106"/>
        <v>0</v>
      </c>
      <c r="N574">
        <f t="shared" si="107"/>
        <v>0</v>
      </c>
    </row>
    <row r="575" spans="1:14" x14ac:dyDescent="0.35">
      <c r="A575" s="17">
        <v>45670</v>
      </c>
      <c r="B575">
        <f>AVERAGE(Tableau2[[#This Row],[AWB]:[IAM]])</f>
        <v>4.4253487949483927E-3</v>
      </c>
      <c r="C575">
        <f t="shared" si="96"/>
        <v>1</v>
      </c>
      <c r="D575">
        <f t="shared" si="97"/>
        <v>0</v>
      </c>
      <c r="E575">
        <f t="shared" si="98"/>
        <v>0</v>
      </c>
      <c r="F575">
        <f t="shared" si="99"/>
        <v>0</v>
      </c>
      <c r="G575">
        <f t="shared" si="100"/>
        <v>0</v>
      </c>
      <c r="H575">
        <f t="shared" si="101"/>
        <v>0</v>
      </c>
      <c r="I575">
        <f t="shared" si="102"/>
        <v>0</v>
      </c>
      <c r="J575">
        <f t="shared" si="103"/>
        <v>0</v>
      </c>
      <c r="K575">
        <f t="shared" si="104"/>
        <v>0</v>
      </c>
      <c r="L575">
        <f t="shared" si="105"/>
        <v>0</v>
      </c>
      <c r="M575">
        <f t="shared" si="106"/>
        <v>0</v>
      </c>
      <c r="N575">
        <f t="shared" si="107"/>
        <v>0</v>
      </c>
    </row>
    <row r="576" spans="1:14" x14ac:dyDescent="0.35">
      <c r="A576" s="17">
        <v>45672</v>
      </c>
      <c r="B576">
        <f>AVERAGE(Tableau2[[#This Row],[AWB]:[IAM]])</f>
        <v>1.411466164823187E-2</v>
      </c>
      <c r="C576">
        <f t="shared" si="96"/>
        <v>1</v>
      </c>
      <c r="D576">
        <f t="shared" si="97"/>
        <v>0</v>
      </c>
      <c r="E576">
        <f t="shared" si="98"/>
        <v>0</v>
      </c>
      <c r="F576">
        <f t="shared" si="99"/>
        <v>0</v>
      </c>
      <c r="G576">
        <f t="shared" si="100"/>
        <v>0</v>
      </c>
      <c r="H576">
        <f t="shared" si="101"/>
        <v>0</v>
      </c>
      <c r="I576">
        <f t="shared" si="102"/>
        <v>0</v>
      </c>
      <c r="J576">
        <f t="shared" si="103"/>
        <v>0</v>
      </c>
      <c r="K576">
        <f t="shared" si="104"/>
        <v>0</v>
      </c>
      <c r="L576">
        <f t="shared" si="105"/>
        <v>0</v>
      </c>
      <c r="M576">
        <f t="shared" si="106"/>
        <v>0</v>
      </c>
      <c r="N576">
        <f t="shared" si="107"/>
        <v>0</v>
      </c>
    </row>
    <row r="577" spans="1:14" x14ac:dyDescent="0.35">
      <c r="A577" s="17">
        <v>45673</v>
      </c>
      <c r="B577">
        <f>AVERAGE(Tableau2[[#This Row],[AWB]:[IAM]])</f>
        <v>1.1098631400773088E-2</v>
      </c>
      <c r="C577">
        <f t="shared" si="96"/>
        <v>1</v>
      </c>
      <c r="D577">
        <f t="shared" si="97"/>
        <v>0</v>
      </c>
      <c r="E577">
        <f t="shared" si="98"/>
        <v>0</v>
      </c>
      <c r="F577">
        <f t="shared" si="99"/>
        <v>0</v>
      </c>
      <c r="G577">
        <f t="shared" si="100"/>
        <v>0</v>
      </c>
      <c r="H577">
        <f t="shared" si="101"/>
        <v>0</v>
      </c>
      <c r="I577">
        <f t="shared" si="102"/>
        <v>0</v>
      </c>
      <c r="J577">
        <f t="shared" si="103"/>
        <v>0</v>
      </c>
      <c r="K577">
        <f t="shared" si="104"/>
        <v>0</v>
      </c>
      <c r="L577">
        <f t="shared" si="105"/>
        <v>0</v>
      </c>
      <c r="M577">
        <f t="shared" si="106"/>
        <v>0</v>
      </c>
      <c r="N577">
        <f t="shared" si="107"/>
        <v>0</v>
      </c>
    </row>
    <row r="578" spans="1:14" x14ac:dyDescent="0.35">
      <c r="A578" s="17">
        <v>45674</v>
      </c>
      <c r="B578">
        <f>AVERAGE(Tableau2[[#This Row],[AWB]:[IAM]])</f>
        <v>1.7761065841678744E-3</v>
      </c>
      <c r="C578">
        <f t="shared" ref="C578:C641" si="108">IF(MONTH(A578)=1,1,0)</f>
        <v>1</v>
      </c>
      <c r="D578">
        <f t="shared" ref="D578:D641" si="109">IF(MONTH(A578)=2,1,0)</f>
        <v>0</v>
      </c>
      <c r="E578">
        <f t="shared" ref="E578:E641" si="110">IF(MONTH(A578)=3,1,0)</f>
        <v>0</v>
      </c>
      <c r="F578">
        <f t="shared" ref="F578:F641" si="111">IF(MONTH(A578)=4,1,0)</f>
        <v>0</v>
      </c>
      <c r="G578">
        <f t="shared" ref="G578:G641" si="112">IF(MONTH(A578)=5,1,0)</f>
        <v>0</v>
      </c>
      <c r="H578">
        <f t="shared" ref="H578:H641" si="113">IF(MONTH(A578)=6,1,0)</f>
        <v>0</v>
      </c>
      <c r="I578">
        <f t="shared" ref="I578:I641" si="114">IF(MONTH(A578)=7,1,0)</f>
        <v>0</v>
      </c>
      <c r="J578">
        <f t="shared" ref="J578:J641" si="115">IF(MONTH(A578)=8,1,0)</f>
        <v>0</v>
      </c>
      <c r="K578">
        <f t="shared" ref="K578:K641" si="116">IF(MONTH(A578)=9,1,0)</f>
        <v>0</v>
      </c>
      <c r="L578">
        <f t="shared" ref="L578:L641" si="117">IF(MONTH(A578)=10,1,0)</f>
        <v>0</v>
      </c>
      <c r="M578">
        <f t="shared" ref="M578:M641" si="118">IF(MONTH(A578)=11,1,0)</f>
        <v>0</v>
      </c>
      <c r="N578">
        <f t="shared" ref="N578:N641" si="119">IF(MONTH(A578)=12,1,0)</f>
        <v>0</v>
      </c>
    </row>
    <row r="579" spans="1:14" x14ac:dyDescent="0.35">
      <c r="A579" s="17">
        <v>45677</v>
      </c>
      <c r="B579">
        <f>AVERAGE(Tableau2[[#This Row],[AWB]:[IAM]])</f>
        <v>1.2069349128927496E-4</v>
      </c>
      <c r="C579">
        <f t="shared" si="108"/>
        <v>1</v>
      </c>
      <c r="D579">
        <f t="shared" si="109"/>
        <v>0</v>
      </c>
      <c r="E579">
        <f t="shared" si="110"/>
        <v>0</v>
      </c>
      <c r="F579">
        <f t="shared" si="111"/>
        <v>0</v>
      </c>
      <c r="G579">
        <f t="shared" si="112"/>
        <v>0</v>
      </c>
      <c r="H579">
        <f t="shared" si="113"/>
        <v>0</v>
      </c>
      <c r="I579">
        <f t="shared" si="114"/>
        <v>0</v>
      </c>
      <c r="J579">
        <f t="shared" si="115"/>
        <v>0</v>
      </c>
      <c r="K579">
        <f t="shared" si="116"/>
        <v>0</v>
      </c>
      <c r="L579">
        <f t="shared" si="117"/>
        <v>0</v>
      </c>
      <c r="M579">
        <f t="shared" si="118"/>
        <v>0</v>
      </c>
      <c r="N579">
        <f t="shared" si="119"/>
        <v>0</v>
      </c>
    </row>
    <row r="580" spans="1:14" x14ac:dyDescent="0.35">
      <c r="A580" s="17">
        <v>45679</v>
      </c>
      <c r="B580">
        <f>AVERAGE(Tableau2[[#This Row],[AWB]:[IAM]])</f>
        <v>-9.5849763987159425E-3</v>
      </c>
      <c r="C580">
        <f t="shared" si="108"/>
        <v>1</v>
      </c>
      <c r="D580">
        <f t="shared" si="109"/>
        <v>0</v>
      </c>
      <c r="E580">
        <f t="shared" si="110"/>
        <v>0</v>
      </c>
      <c r="F580">
        <f t="shared" si="111"/>
        <v>0</v>
      </c>
      <c r="G580">
        <f t="shared" si="112"/>
        <v>0</v>
      </c>
      <c r="H580">
        <f t="shared" si="113"/>
        <v>0</v>
      </c>
      <c r="I580">
        <f t="shared" si="114"/>
        <v>0</v>
      </c>
      <c r="J580">
        <f t="shared" si="115"/>
        <v>0</v>
      </c>
      <c r="K580">
        <f t="shared" si="116"/>
        <v>0</v>
      </c>
      <c r="L580">
        <f t="shared" si="117"/>
        <v>0</v>
      </c>
      <c r="M580">
        <f t="shared" si="118"/>
        <v>0</v>
      </c>
      <c r="N580">
        <f t="shared" si="119"/>
        <v>0</v>
      </c>
    </row>
    <row r="581" spans="1:14" x14ac:dyDescent="0.35">
      <c r="A581" s="17">
        <v>45680</v>
      </c>
      <c r="B581">
        <f>AVERAGE(Tableau2[[#This Row],[AWB]:[IAM]])</f>
        <v>3.1401835725876227E-3</v>
      </c>
      <c r="C581">
        <f t="shared" si="108"/>
        <v>1</v>
      </c>
      <c r="D581">
        <f t="shared" si="109"/>
        <v>0</v>
      </c>
      <c r="E581">
        <f t="shared" si="110"/>
        <v>0</v>
      </c>
      <c r="F581">
        <f t="shared" si="111"/>
        <v>0</v>
      </c>
      <c r="G581">
        <f t="shared" si="112"/>
        <v>0</v>
      </c>
      <c r="H581">
        <f t="shared" si="113"/>
        <v>0</v>
      </c>
      <c r="I581">
        <f t="shared" si="114"/>
        <v>0</v>
      </c>
      <c r="J581">
        <f t="shared" si="115"/>
        <v>0</v>
      </c>
      <c r="K581">
        <f t="shared" si="116"/>
        <v>0</v>
      </c>
      <c r="L581">
        <f t="shared" si="117"/>
        <v>0</v>
      </c>
      <c r="M581">
        <f t="shared" si="118"/>
        <v>0</v>
      </c>
      <c r="N581">
        <f t="shared" si="119"/>
        <v>0</v>
      </c>
    </row>
    <row r="582" spans="1:14" x14ac:dyDescent="0.35">
      <c r="A582" s="17">
        <v>45681</v>
      </c>
      <c r="B582">
        <f>AVERAGE(Tableau2[[#This Row],[AWB]:[IAM]])</f>
        <v>3.4613904119665299E-3</v>
      </c>
      <c r="C582">
        <f t="shared" si="108"/>
        <v>1</v>
      </c>
      <c r="D582">
        <f t="shared" si="109"/>
        <v>0</v>
      </c>
      <c r="E582">
        <f t="shared" si="110"/>
        <v>0</v>
      </c>
      <c r="F582">
        <f t="shared" si="111"/>
        <v>0</v>
      </c>
      <c r="G582">
        <f t="shared" si="112"/>
        <v>0</v>
      </c>
      <c r="H582">
        <f t="shared" si="113"/>
        <v>0</v>
      </c>
      <c r="I582">
        <f t="shared" si="114"/>
        <v>0</v>
      </c>
      <c r="J582">
        <f t="shared" si="115"/>
        <v>0</v>
      </c>
      <c r="K582">
        <f t="shared" si="116"/>
        <v>0</v>
      </c>
      <c r="L582">
        <f t="shared" si="117"/>
        <v>0</v>
      </c>
      <c r="M582">
        <f t="shared" si="118"/>
        <v>0</v>
      </c>
      <c r="N582">
        <f t="shared" si="119"/>
        <v>0</v>
      </c>
    </row>
    <row r="583" spans="1:14" x14ac:dyDescent="0.35">
      <c r="A583" s="17">
        <v>45685</v>
      </c>
      <c r="B583">
        <f>AVERAGE(Tableau2[[#This Row],[AWB]:[IAM]])</f>
        <v>1.553576284611082E-3</v>
      </c>
      <c r="C583">
        <f t="shared" si="108"/>
        <v>1</v>
      </c>
      <c r="D583">
        <f t="shared" si="109"/>
        <v>0</v>
      </c>
      <c r="E583">
        <f t="shared" si="110"/>
        <v>0</v>
      </c>
      <c r="F583">
        <f t="shared" si="111"/>
        <v>0</v>
      </c>
      <c r="G583">
        <f t="shared" si="112"/>
        <v>0</v>
      </c>
      <c r="H583">
        <f t="shared" si="113"/>
        <v>0</v>
      </c>
      <c r="I583">
        <f t="shared" si="114"/>
        <v>0</v>
      </c>
      <c r="J583">
        <f t="shared" si="115"/>
        <v>0</v>
      </c>
      <c r="K583">
        <f t="shared" si="116"/>
        <v>0</v>
      </c>
      <c r="L583">
        <f t="shared" si="117"/>
        <v>0</v>
      </c>
      <c r="M583">
        <f t="shared" si="118"/>
        <v>0</v>
      </c>
      <c r="N583">
        <f t="shared" si="119"/>
        <v>0</v>
      </c>
    </row>
    <row r="584" spans="1:14" x14ac:dyDescent="0.35">
      <c r="A584" s="17">
        <v>45692</v>
      </c>
      <c r="B584">
        <f>AVERAGE(Tableau2[[#This Row],[AWB]:[IAM]])</f>
        <v>5.5590933062157084E-3</v>
      </c>
      <c r="C584">
        <f t="shared" si="108"/>
        <v>0</v>
      </c>
      <c r="D584">
        <f t="shared" si="109"/>
        <v>1</v>
      </c>
      <c r="E584">
        <f t="shared" si="110"/>
        <v>0</v>
      </c>
      <c r="F584">
        <f t="shared" si="111"/>
        <v>0</v>
      </c>
      <c r="G584">
        <f t="shared" si="112"/>
        <v>0</v>
      </c>
      <c r="H584">
        <f t="shared" si="113"/>
        <v>0</v>
      </c>
      <c r="I584">
        <f t="shared" si="114"/>
        <v>0</v>
      </c>
      <c r="J584">
        <f t="shared" si="115"/>
        <v>0</v>
      </c>
      <c r="K584">
        <f t="shared" si="116"/>
        <v>0</v>
      </c>
      <c r="L584">
        <f t="shared" si="117"/>
        <v>0</v>
      </c>
      <c r="M584">
        <f t="shared" si="118"/>
        <v>0</v>
      </c>
      <c r="N584">
        <f t="shared" si="119"/>
        <v>0</v>
      </c>
    </row>
    <row r="585" spans="1:14" x14ac:dyDescent="0.35">
      <c r="A585" s="17">
        <v>45693</v>
      </c>
      <c r="B585">
        <f>AVERAGE(Tableau2[[#This Row],[AWB]:[IAM]])</f>
        <v>-1.8935545237415768E-3</v>
      </c>
      <c r="C585">
        <f t="shared" si="108"/>
        <v>0</v>
      </c>
      <c r="D585">
        <f t="shared" si="109"/>
        <v>1</v>
      </c>
      <c r="E585">
        <f t="shared" si="110"/>
        <v>0</v>
      </c>
      <c r="F585">
        <f t="shared" si="111"/>
        <v>0</v>
      </c>
      <c r="G585">
        <f t="shared" si="112"/>
        <v>0</v>
      </c>
      <c r="H585">
        <f t="shared" si="113"/>
        <v>0</v>
      </c>
      <c r="I585">
        <f t="shared" si="114"/>
        <v>0</v>
      </c>
      <c r="J585">
        <f t="shared" si="115"/>
        <v>0</v>
      </c>
      <c r="K585">
        <f t="shared" si="116"/>
        <v>0</v>
      </c>
      <c r="L585">
        <f t="shared" si="117"/>
        <v>0</v>
      </c>
      <c r="M585">
        <f t="shared" si="118"/>
        <v>0</v>
      </c>
      <c r="N585">
        <f t="shared" si="119"/>
        <v>0</v>
      </c>
    </row>
    <row r="586" spans="1:14" x14ac:dyDescent="0.35">
      <c r="A586" s="17">
        <v>45694</v>
      </c>
      <c r="B586">
        <f>AVERAGE(Tableau2[[#This Row],[AWB]:[IAM]])</f>
        <v>4.0975689097491903E-3</v>
      </c>
      <c r="C586">
        <f t="shared" si="108"/>
        <v>0</v>
      </c>
      <c r="D586">
        <f t="shared" si="109"/>
        <v>1</v>
      </c>
      <c r="E586">
        <f t="shared" si="110"/>
        <v>0</v>
      </c>
      <c r="F586">
        <f t="shared" si="111"/>
        <v>0</v>
      </c>
      <c r="G586">
        <f t="shared" si="112"/>
        <v>0</v>
      </c>
      <c r="H586">
        <f t="shared" si="113"/>
        <v>0</v>
      </c>
      <c r="I586">
        <f t="shared" si="114"/>
        <v>0</v>
      </c>
      <c r="J586">
        <f t="shared" si="115"/>
        <v>0</v>
      </c>
      <c r="K586">
        <f t="shared" si="116"/>
        <v>0</v>
      </c>
      <c r="L586">
        <f t="shared" si="117"/>
        <v>0</v>
      </c>
      <c r="M586">
        <f t="shared" si="118"/>
        <v>0</v>
      </c>
      <c r="N586">
        <f t="shared" si="119"/>
        <v>0</v>
      </c>
    </row>
    <row r="587" spans="1:14" x14ac:dyDescent="0.35">
      <c r="A587" s="17">
        <v>45695</v>
      </c>
      <c r="B587">
        <f>AVERAGE(Tableau2[[#This Row],[AWB]:[IAM]])</f>
        <v>-8.7608408254924257E-4</v>
      </c>
      <c r="C587">
        <f t="shared" si="108"/>
        <v>0</v>
      </c>
      <c r="D587">
        <f t="shared" si="109"/>
        <v>1</v>
      </c>
      <c r="E587">
        <f t="shared" si="110"/>
        <v>0</v>
      </c>
      <c r="F587">
        <f t="shared" si="111"/>
        <v>0</v>
      </c>
      <c r="G587">
        <f t="shared" si="112"/>
        <v>0</v>
      </c>
      <c r="H587">
        <f t="shared" si="113"/>
        <v>0</v>
      </c>
      <c r="I587">
        <f t="shared" si="114"/>
        <v>0</v>
      </c>
      <c r="J587">
        <f t="shared" si="115"/>
        <v>0</v>
      </c>
      <c r="K587">
        <f t="shared" si="116"/>
        <v>0</v>
      </c>
      <c r="L587">
        <f t="shared" si="117"/>
        <v>0</v>
      </c>
      <c r="M587">
        <f t="shared" si="118"/>
        <v>0</v>
      </c>
      <c r="N587">
        <f t="shared" si="119"/>
        <v>0</v>
      </c>
    </row>
    <row r="588" spans="1:14" x14ac:dyDescent="0.35">
      <c r="A588" s="17">
        <v>45698</v>
      </c>
      <c r="B588">
        <f>AVERAGE(Tableau2[[#This Row],[AWB]:[IAM]])</f>
        <v>1.7087394037266991E-3</v>
      </c>
      <c r="C588">
        <f t="shared" si="108"/>
        <v>0</v>
      </c>
      <c r="D588">
        <f t="shared" si="109"/>
        <v>1</v>
      </c>
      <c r="E588">
        <f t="shared" si="110"/>
        <v>0</v>
      </c>
      <c r="F588">
        <f t="shared" si="111"/>
        <v>0</v>
      </c>
      <c r="G588">
        <f t="shared" si="112"/>
        <v>0</v>
      </c>
      <c r="H588">
        <f t="shared" si="113"/>
        <v>0</v>
      </c>
      <c r="I588">
        <f t="shared" si="114"/>
        <v>0</v>
      </c>
      <c r="J588">
        <f t="shared" si="115"/>
        <v>0</v>
      </c>
      <c r="K588">
        <f t="shared" si="116"/>
        <v>0</v>
      </c>
      <c r="L588">
        <f t="shared" si="117"/>
        <v>0</v>
      </c>
      <c r="M588">
        <f t="shared" si="118"/>
        <v>0</v>
      </c>
      <c r="N588">
        <f t="shared" si="119"/>
        <v>0</v>
      </c>
    </row>
    <row r="589" spans="1:14" x14ac:dyDescent="0.35">
      <c r="A589" s="17">
        <v>45699</v>
      </c>
      <c r="B589">
        <f>AVERAGE(Tableau2[[#This Row],[AWB]:[IAM]])</f>
        <v>-1.919781434001612E-3</v>
      </c>
      <c r="C589">
        <f t="shared" si="108"/>
        <v>0</v>
      </c>
      <c r="D589">
        <f t="shared" si="109"/>
        <v>1</v>
      </c>
      <c r="E589">
        <f t="shared" si="110"/>
        <v>0</v>
      </c>
      <c r="F589">
        <f t="shared" si="111"/>
        <v>0</v>
      </c>
      <c r="G589">
        <f t="shared" si="112"/>
        <v>0</v>
      </c>
      <c r="H589">
        <f t="shared" si="113"/>
        <v>0</v>
      </c>
      <c r="I589">
        <f t="shared" si="114"/>
        <v>0</v>
      </c>
      <c r="J589">
        <f t="shared" si="115"/>
        <v>0</v>
      </c>
      <c r="K589">
        <f t="shared" si="116"/>
        <v>0</v>
      </c>
      <c r="L589">
        <f t="shared" si="117"/>
        <v>0</v>
      </c>
      <c r="M589">
        <f t="shared" si="118"/>
        <v>0</v>
      </c>
      <c r="N589">
        <f t="shared" si="119"/>
        <v>0</v>
      </c>
    </row>
    <row r="590" spans="1:14" x14ac:dyDescent="0.35">
      <c r="A590" s="17">
        <v>45701</v>
      </c>
      <c r="B590">
        <f>AVERAGE(Tableau2[[#This Row],[AWB]:[IAM]])</f>
        <v>-3.2490890178562461E-3</v>
      </c>
      <c r="C590">
        <f t="shared" si="108"/>
        <v>0</v>
      </c>
      <c r="D590">
        <f t="shared" si="109"/>
        <v>1</v>
      </c>
      <c r="E590">
        <f t="shared" si="110"/>
        <v>0</v>
      </c>
      <c r="F590">
        <f t="shared" si="111"/>
        <v>0</v>
      </c>
      <c r="G590">
        <f t="shared" si="112"/>
        <v>0</v>
      </c>
      <c r="H590">
        <f t="shared" si="113"/>
        <v>0</v>
      </c>
      <c r="I590">
        <f t="shared" si="114"/>
        <v>0</v>
      </c>
      <c r="J590">
        <f t="shared" si="115"/>
        <v>0</v>
      </c>
      <c r="K590">
        <f t="shared" si="116"/>
        <v>0</v>
      </c>
      <c r="L590">
        <f t="shared" si="117"/>
        <v>0</v>
      </c>
      <c r="M590">
        <f t="shared" si="118"/>
        <v>0</v>
      </c>
      <c r="N590">
        <f t="shared" si="119"/>
        <v>0</v>
      </c>
    </row>
    <row r="591" spans="1:14" x14ac:dyDescent="0.35">
      <c r="A591" s="17">
        <v>45702</v>
      </c>
      <c r="B591">
        <f>AVERAGE(Tableau2[[#This Row],[AWB]:[IAM]])</f>
        <v>8.2824858964905476E-3</v>
      </c>
      <c r="C591">
        <f t="shared" si="108"/>
        <v>0</v>
      </c>
      <c r="D591">
        <f t="shared" si="109"/>
        <v>1</v>
      </c>
      <c r="E591">
        <f t="shared" si="110"/>
        <v>0</v>
      </c>
      <c r="F591">
        <f t="shared" si="111"/>
        <v>0</v>
      </c>
      <c r="G591">
        <f t="shared" si="112"/>
        <v>0</v>
      </c>
      <c r="H591">
        <f t="shared" si="113"/>
        <v>0</v>
      </c>
      <c r="I591">
        <f t="shared" si="114"/>
        <v>0</v>
      </c>
      <c r="J591">
        <f t="shared" si="115"/>
        <v>0</v>
      </c>
      <c r="K591">
        <f t="shared" si="116"/>
        <v>0</v>
      </c>
      <c r="L591">
        <f t="shared" si="117"/>
        <v>0</v>
      </c>
      <c r="M591">
        <f t="shared" si="118"/>
        <v>0</v>
      </c>
      <c r="N591">
        <f t="shared" si="119"/>
        <v>0</v>
      </c>
    </row>
    <row r="592" spans="1:14" x14ac:dyDescent="0.35">
      <c r="A592" s="17">
        <v>45705</v>
      </c>
      <c r="B592">
        <f>AVERAGE(Tableau2[[#This Row],[AWB]:[IAM]])</f>
        <v>1.5089556523993889E-2</v>
      </c>
      <c r="C592">
        <f t="shared" si="108"/>
        <v>0</v>
      </c>
      <c r="D592">
        <f t="shared" si="109"/>
        <v>1</v>
      </c>
      <c r="E592">
        <f t="shared" si="110"/>
        <v>0</v>
      </c>
      <c r="F592">
        <f t="shared" si="111"/>
        <v>0</v>
      </c>
      <c r="G592">
        <f t="shared" si="112"/>
        <v>0</v>
      </c>
      <c r="H592">
        <f t="shared" si="113"/>
        <v>0</v>
      </c>
      <c r="I592">
        <f t="shared" si="114"/>
        <v>0</v>
      </c>
      <c r="J592">
        <f t="shared" si="115"/>
        <v>0</v>
      </c>
      <c r="K592">
        <f t="shared" si="116"/>
        <v>0</v>
      </c>
      <c r="L592">
        <f t="shared" si="117"/>
        <v>0</v>
      </c>
      <c r="M592">
        <f t="shared" si="118"/>
        <v>0</v>
      </c>
      <c r="N592">
        <f t="shared" si="119"/>
        <v>0</v>
      </c>
    </row>
    <row r="593" spans="1:14" x14ac:dyDescent="0.35">
      <c r="A593" s="17">
        <v>45706</v>
      </c>
      <c r="B593">
        <f>AVERAGE(Tableau2[[#This Row],[AWB]:[IAM]])</f>
        <v>1.8396011785773566E-3</v>
      </c>
      <c r="C593">
        <f t="shared" si="108"/>
        <v>0</v>
      </c>
      <c r="D593">
        <f t="shared" si="109"/>
        <v>1</v>
      </c>
      <c r="E593">
        <f t="shared" si="110"/>
        <v>0</v>
      </c>
      <c r="F593">
        <f t="shared" si="111"/>
        <v>0</v>
      </c>
      <c r="G593">
        <f t="shared" si="112"/>
        <v>0</v>
      </c>
      <c r="H593">
        <f t="shared" si="113"/>
        <v>0</v>
      </c>
      <c r="I593">
        <f t="shared" si="114"/>
        <v>0</v>
      </c>
      <c r="J593">
        <f t="shared" si="115"/>
        <v>0</v>
      </c>
      <c r="K593">
        <f t="shared" si="116"/>
        <v>0</v>
      </c>
      <c r="L593">
        <f t="shared" si="117"/>
        <v>0</v>
      </c>
      <c r="M593">
        <f t="shared" si="118"/>
        <v>0</v>
      </c>
      <c r="N593">
        <f t="shared" si="119"/>
        <v>0</v>
      </c>
    </row>
    <row r="594" spans="1:14" x14ac:dyDescent="0.35">
      <c r="A594" s="17">
        <v>45707</v>
      </c>
      <c r="B594">
        <f>AVERAGE(Tableau2[[#This Row],[AWB]:[IAM]])</f>
        <v>6.1239155950391774E-3</v>
      </c>
      <c r="C594">
        <f t="shared" si="108"/>
        <v>0</v>
      </c>
      <c r="D594">
        <f t="shared" si="109"/>
        <v>1</v>
      </c>
      <c r="E594">
        <f t="shared" si="110"/>
        <v>0</v>
      </c>
      <c r="F594">
        <f t="shared" si="111"/>
        <v>0</v>
      </c>
      <c r="G594">
        <f t="shared" si="112"/>
        <v>0</v>
      </c>
      <c r="H594">
        <f t="shared" si="113"/>
        <v>0</v>
      </c>
      <c r="I594">
        <f t="shared" si="114"/>
        <v>0</v>
      </c>
      <c r="J594">
        <f t="shared" si="115"/>
        <v>0</v>
      </c>
      <c r="K594">
        <f t="shared" si="116"/>
        <v>0</v>
      </c>
      <c r="L594">
        <f t="shared" si="117"/>
        <v>0</v>
      </c>
      <c r="M594">
        <f t="shared" si="118"/>
        <v>0</v>
      </c>
      <c r="N594">
        <f t="shared" si="119"/>
        <v>0</v>
      </c>
    </row>
    <row r="595" spans="1:14" x14ac:dyDescent="0.35">
      <c r="A595" s="17">
        <v>45708</v>
      </c>
      <c r="B595">
        <f>AVERAGE(Tableau2[[#This Row],[AWB]:[IAM]])</f>
        <v>-4.0053937529475258E-3</v>
      </c>
      <c r="C595">
        <f t="shared" si="108"/>
        <v>0</v>
      </c>
      <c r="D595">
        <f t="shared" si="109"/>
        <v>1</v>
      </c>
      <c r="E595">
        <f t="shared" si="110"/>
        <v>0</v>
      </c>
      <c r="F595">
        <f t="shared" si="111"/>
        <v>0</v>
      </c>
      <c r="G595">
        <f t="shared" si="112"/>
        <v>0</v>
      </c>
      <c r="H595">
        <f t="shared" si="113"/>
        <v>0</v>
      </c>
      <c r="I595">
        <f t="shared" si="114"/>
        <v>0</v>
      </c>
      <c r="J595">
        <f t="shared" si="115"/>
        <v>0</v>
      </c>
      <c r="K595">
        <f t="shared" si="116"/>
        <v>0</v>
      </c>
      <c r="L595">
        <f t="shared" si="117"/>
        <v>0</v>
      </c>
      <c r="M595">
        <f t="shared" si="118"/>
        <v>0</v>
      </c>
      <c r="N595">
        <f t="shared" si="119"/>
        <v>0</v>
      </c>
    </row>
    <row r="596" spans="1:14" x14ac:dyDescent="0.35">
      <c r="A596" s="17">
        <v>45709</v>
      </c>
      <c r="B596">
        <f>AVERAGE(Tableau2[[#This Row],[AWB]:[IAM]])</f>
        <v>-6.8842426937799654E-3</v>
      </c>
      <c r="C596">
        <f t="shared" si="108"/>
        <v>0</v>
      </c>
      <c r="D596">
        <f t="shared" si="109"/>
        <v>1</v>
      </c>
      <c r="E596">
        <f t="shared" si="110"/>
        <v>0</v>
      </c>
      <c r="F596">
        <f t="shared" si="111"/>
        <v>0</v>
      </c>
      <c r="G596">
        <f t="shared" si="112"/>
        <v>0</v>
      </c>
      <c r="H596">
        <f t="shared" si="113"/>
        <v>0</v>
      </c>
      <c r="I596">
        <f t="shared" si="114"/>
        <v>0</v>
      </c>
      <c r="J596">
        <f t="shared" si="115"/>
        <v>0</v>
      </c>
      <c r="K596">
        <f t="shared" si="116"/>
        <v>0</v>
      </c>
      <c r="L596">
        <f t="shared" si="117"/>
        <v>0</v>
      </c>
      <c r="M596">
        <f t="shared" si="118"/>
        <v>0</v>
      </c>
      <c r="N596">
        <f t="shared" si="119"/>
        <v>0</v>
      </c>
    </row>
    <row r="597" spans="1:14" x14ac:dyDescent="0.35">
      <c r="A597" s="17">
        <v>45712</v>
      </c>
      <c r="B597">
        <f>AVERAGE(Tableau2[[#This Row],[AWB]:[IAM]])</f>
        <v>3.5397210726394374E-3</v>
      </c>
      <c r="C597">
        <f t="shared" si="108"/>
        <v>0</v>
      </c>
      <c r="D597">
        <f t="shared" si="109"/>
        <v>1</v>
      </c>
      <c r="E597">
        <f t="shared" si="110"/>
        <v>0</v>
      </c>
      <c r="F597">
        <f t="shared" si="111"/>
        <v>0</v>
      </c>
      <c r="G597">
        <f t="shared" si="112"/>
        <v>0</v>
      </c>
      <c r="H597">
        <f t="shared" si="113"/>
        <v>0</v>
      </c>
      <c r="I597">
        <f t="shared" si="114"/>
        <v>0</v>
      </c>
      <c r="J597">
        <f t="shared" si="115"/>
        <v>0</v>
      </c>
      <c r="K597">
        <f t="shared" si="116"/>
        <v>0</v>
      </c>
      <c r="L597">
        <f t="shared" si="117"/>
        <v>0</v>
      </c>
      <c r="M597">
        <f t="shared" si="118"/>
        <v>0</v>
      </c>
      <c r="N597">
        <f t="shared" si="119"/>
        <v>0</v>
      </c>
    </row>
    <row r="598" spans="1:14" x14ac:dyDescent="0.35">
      <c r="A598" s="17">
        <v>45713</v>
      </c>
      <c r="B598">
        <f>AVERAGE(Tableau2[[#This Row],[AWB]:[IAM]])</f>
        <v>3.1293226599661472E-3</v>
      </c>
      <c r="C598">
        <f t="shared" si="108"/>
        <v>0</v>
      </c>
      <c r="D598">
        <f t="shared" si="109"/>
        <v>1</v>
      </c>
      <c r="E598">
        <f t="shared" si="110"/>
        <v>0</v>
      </c>
      <c r="F598">
        <f t="shared" si="111"/>
        <v>0</v>
      </c>
      <c r="G598">
        <f t="shared" si="112"/>
        <v>0</v>
      </c>
      <c r="H598">
        <f t="shared" si="113"/>
        <v>0</v>
      </c>
      <c r="I598">
        <f t="shared" si="114"/>
        <v>0</v>
      </c>
      <c r="J598">
        <f t="shared" si="115"/>
        <v>0</v>
      </c>
      <c r="K598">
        <f t="shared" si="116"/>
        <v>0</v>
      </c>
      <c r="L598">
        <f t="shared" si="117"/>
        <v>0</v>
      </c>
      <c r="M598">
        <f t="shared" si="118"/>
        <v>0</v>
      </c>
      <c r="N598">
        <f t="shared" si="119"/>
        <v>0</v>
      </c>
    </row>
    <row r="599" spans="1:14" x14ac:dyDescent="0.35">
      <c r="A599" s="17">
        <v>45714</v>
      </c>
      <c r="B599">
        <f>AVERAGE(Tableau2[[#This Row],[AWB]:[IAM]])</f>
        <v>8.447683372014306E-4</v>
      </c>
      <c r="C599">
        <f t="shared" si="108"/>
        <v>0</v>
      </c>
      <c r="D599">
        <f t="shared" si="109"/>
        <v>1</v>
      </c>
      <c r="E599">
        <f t="shared" si="110"/>
        <v>0</v>
      </c>
      <c r="F599">
        <f t="shared" si="111"/>
        <v>0</v>
      </c>
      <c r="G599">
        <f t="shared" si="112"/>
        <v>0</v>
      </c>
      <c r="H599">
        <f t="shared" si="113"/>
        <v>0</v>
      </c>
      <c r="I599">
        <f t="shared" si="114"/>
        <v>0</v>
      </c>
      <c r="J599">
        <f t="shared" si="115"/>
        <v>0</v>
      </c>
      <c r="K599">
        <f t="shared" si="116"/>
        <v>0</v>
      </c>
      <c r="L599">
        <f t="shared" si="117"/>
        <v>0</v>
      </c>
      <c r="M599">
        <f t="shared" si="118"/>
        <v>0</v>
      </c>
      <c r="N599">
        <f t="shared" si="119"/>
        <v>0</v>
      </c>
    </row>
    <row r="600" spans="1:14" x14ac:dyDescent="0.35">
      <c r="A600" s="17">
        <v>45715</v>
      </c>
      <c r="B600">
        <f>AVERAGE(Tableau2[[#This Row],[AWB]:[IAM]])</f>
        <v>-5.0823872464657565E-3</v>
      </c>
      <c r="C600">
        <f t="shared" si="108"/>
        <v>0</v>
      </c>
      <c r="D600">
        <f t="shared" si="109"/>
        <v>1</v>
      </c>
      <c r="E600">
        <f t="shared" si="110"/>
        <v>0</v>
      </c>
      <c r="F600">
        <f t="shared" si="111"/>
        <v>0</v>
      </c>
      <c r="G600">
        <f t="shared" si="112"/>
        <v>0</v>
      </c>
      <c r="H600">
        <f t="shared" si="113"/>
        <v>0</v>
      </c>
      <c r="I600">
        <f t="shared" si="114"/>
        <v>0</v>
      </c>
      <c r="J600">
        <f t="shared" si="115"/>
        <v>0</v>
      </c>
      <c r="K600">
        <f t="shared" si="116"/>
        <v>0</v>
      </c>
      <c r="L600">
        <f t="shared" si="117"/>
        <v>0</v>
      </c>
      <c r="M600">
        <f t="shared" si="118"/>
        <v>0</v>
      </c>
      <c r="N600">
        <f t="shared" si="119"/>
        <v>0</v>
      </c>
    </row>
    <row r="601" spans="1:14" x14ac:dyDescent="0.35">
      <c r="A601" s="17">
        <v>45720</v>
      </c>
      <c r="B601">
        <f>AVERAGE(Tableau2[[#This Row],[AWB]:[IAM]])</f>
        <v>-1.5868297709203314E-2</v>
      </c>
      <c r="C601">
        <f t="shared" si="108"/>
        <v>0</v>
      </c>
      <c r="D601">
        <f t="shared" si="109"/>
        <v>0</v>
      </c>
      <c r="E601">
        <f t="shared" si="110"/>
        <v>1</v>
      </c>
      <c r="F601">
        <f t="shared" si="111"/>
        <v>0</v>
      </c>
      <c r="G601">
        <f t="shared" si="112"/>
        <v>0</v>
      </c>
      <c r="H601">
        <f t="shared" si="113"/>
        <v>0</v>
      </c>
      <c r="I601">
        <f t="shared" si="114"/>
        <v>0</v>
      </c>
      <c r="J601">
        <f t="shared" si="115"/>
        <v>0</v>
      </c>
      <c r="K601">
        <f t="shared" si="116"/>
        <v>0</v>
      </c>
      <c r="L601">
        <f t="shared" si="117"/>
        <v>0</v>
      </c>
      <c r="M601">
        <f t="shared" si="118"/>
        <v>0</v>
      </c>
      <c r="N601">
        <f t="shared" si="119"/>
        <v>0</v>
      </c>
    </row>
    <row r="602" spans="1:14" x14ac:dyDescent="0.35">
      <c r="A602" s="17">
        <v>45721</v>
      </c>
      <c r="B602">
        <f>AVERAGE(Tableau2[[#This Row],[AWB]:[IAM]])</f>
        <v>-9.6628065098465221E-3</v>
      </c>
      <c r="C602">
        <f t="shared" si="108"/>
        <v>0</v>
      </c>
      <c r="D602">
        <f t="shared" si="109"/>
        <v>0</v>
      </c>
      <c r="E602">
        <f t="shared" si="110"/>
        <v>1</v>
      </c>
      <c r="F602">
        <f t="shared" si="111"/>
        <v>0</v>
      </c>
      <c r="G602">
        <f t="shared" si="112"/>
        <v>0</v>
      </c>
      <c r="H602">
        <f t="shared" si="113"/>
        <v>0</v>
      </c>
      <c r="I602">
        <f t="shared" si="114"/>
        <v>0</v>
      </c>
      <c r="J602">
        <f t="shared" si="115"/>
        <v>0</v>
      </c>
      <c r="K602">
        <f t="shared" si="116"/>
        <v>0</v>
      </c>
      <c r="L602">
        <f t="shared" si="117"/>
        <v>0</v>
      </c>
      <c r="M602">
        <f t="shared" si="118"/>
        <v>0</v>
      </c>
      <c r="N602">
        <f t="shared" si="119"/>
        <v>0</v>
      </c>
    </row>
    <row r="603" spans="1:14" x14ac:dyDescent="0.35">
      <c r="A603" s="17">
        <v>45722</v>
      </c>
      <c r="B603">
        <f>AVERAGE(Tableau2[[#This Row],[AWB]:[IAM]])</f>
        <v>2.2274519923330791E-3</v>
      </c>
      <c r="C603">
        <f t="shared" si="108"/>
        <v>0</v>
      </c>
      <c r="D603">
        <f t="shared" si="109"/>
        <v>0</v>
      </c>
      <c r="E603">
        <f t="shared" si="110"/>
        <v>1</v>
      </c>
      <c r="F603">
        <f t="shared" si="111"/>
        <v>0</v>
      </c>
      <c r="G603">
        <f t="shared" si="112"/>
        <v>0</v>
      </c>
      <c r="H603">
        <f t="shared" si="113"/>
        <v>0</v>
      </c>
      <c r="I603">
        <f t="shared" si="114"/>
        <v>0</v>
      </c>
      <c r="J603">
        <f t="shared" si="115"/>
        <v>0</v>
      </c>
      <c r="K603">
        <f t="shared" si="116"/>
        <v>0</v>
      </c>
      <c r="L603">
        <f t="shared" si="117"/>
        <v>0</v>
      </c>
      <c r="M603">
        <f t="shared" si="118"/>
        <v>0</v>
      </c>
      <c r="N603">
        <f t="shared" si="119"/>
        <v>0</v>
      </c>
    </row>
    <row r="604" spans="1:14" x14ac:dyDescent="0.35">
      <c r="A604" s="17">
        <v>45723</v>
      </c>
      <c r="B604">
        <f>AVERAGE(Tableau2[[#This Row],[AWB]:[IAM]])</f>
        <v>5.8833804973746264E-3</v>
      </c>
      <c r="C604">
        <f t="shared" si="108"/>
        <v>0</v>
      </c>
      <c r="D604">
        <f t="shared" si="109"/>
        <v>0</v>
      </c>
      <c r="E604">
        <f t="shared" si="110"/>
        <v>1</v>
      </c>
      <c r="F604">
        <f t="shared" si="111"/>
        <v>0</v>
      </c>
      <c r="G604">
        <f t="shared" si="112"/>
        <v>0</v>
      </c>
      <c r="H604">
        <f t="shared" si="113"/>
        <v>0</v>
      </c>
      <c r="I604">
        <f t="shared" si="114"/>
        <v>0</v>
      </c>
      <c r="J604">
        <f t="shared" si="115"/>
        <v>0</v>
      </c>
      <c r="K604">
        <f t="shared" si="116"/>
        <v>0</v>
      </c>
      <c r="L604">
        <f t="shared" si="117"/>
        <v>0</v>
      </c>
      <c r="M604">
        <f t="shared" si="118"/>
        <v>0</v>
      </c>
      <c r="N604">
        <f t="shared" si="119"/>
        <v>0</v>
      </c>
    </row>
    <row r="605" spans="1:14" x14ac:dyDescent="0.35">
      <c r="A605" s="17">
        <v>45729</v>
      </c>
      <c r="B605">
        <f>AVERAGE(Tableau2[[#This Row],[AWB]:[IAM]])</f>
        <v>-1.2913742261483663E-2</v>
      </c>
      <c r="C605">
        <f t="shared" si="108"/>
        <v>0</v>
      </c>
      <c r="D605">
        <f t="shared" si="109"/>
        <v>0</v>
      </c>
      <c r="E605">
        <f t="shared" si="110"/>
        <v>1</v>
      </c>
      <c r="F605">
        <f t="shared" si="111"/>
        <v>0</v>
      </c>
      <c r="G605">
        <f t="shared" si="112"/>
        <v>0</v>
      </c>
      <c r="H605">
        <f t="shared" si="113"/>
        <v>0</v>
      </c>
      <c r="I605">
        <f t="shared" si="114"/>
        <v>0</v>
      </c>
      <c r="J605">
        <f t="shared" si="115"/>
        <v>0</v>
      </c>
      <c r="K605">
        <f t="shared" si="116"/>
        <v>0</v>
      </c>
      <c r="L605">
        <f t="shared" si="117"/>
        <v>0</v>
      </c>
      <c r="M605">
        <f t="shared" si="118"/>
        <v>0</v>
      </c>
      <c r="N605">
        <f t="shared" si="119"/>
        <v>0</v>
      </c>
    </row>
    <row r="606" spans="1:14" x14ac:dyDescent="0.35">
      <c r="A606" s="17">
        <v>45730</v>
      </c>
      <c r="B606">
        <f>AVERAGE(Tableau2[[#This Row],[AWB]:[IAM]])</f>
        <v>5.8640079076076176E-3</v>
      </c>
      <c r="C606">
        <f t="shared" si="108"/>
        <v>0</v>
      </c>
      <c r="D606">
        <f t="shared" si="109"/>
        <v>0</v>
      </c>
      <c r="E606">
        <f t="shared" si="110"/>
        <v>1</v>
      </c>
      <c r="F606">
        <f t="shared" si="111"/>
        <v>0</v>
      </c>
      <c r="G606">
        <f t="shared" si="112"/>
        <v>0</v>
      </c>
      <c r="H606">
        <f t="shared" si="113"/>
        <v>0</v>
      </c>
      <c r="I606">
        <f t="shared" si="114"/>
        <v>0</v>
      </c>
      <c r="J606">
        <f t="shared" si="115"/>
        <v>0</v>
      </c>
      <c r="K606">
        <f t="shared" si="116"/>
        <v>0</v>
      </c>
      <c r="L606">
        <f t="shared" si="117"/>
        <v>0</v>
      </c>
      <c r="M606">
        <f t="shared" si="118"/>
        <v>0</v>
      </c>
      <c r="N606">
        <f t="shared" si="119"/>
        <v>0</v>
      </c>
    </row>
    <row r="607" spans="1:14" x14ac:dyDescent="0.35">
      <c r="A607" s="17">
        <v>45734</v>
      </c>
      <c r="B607">
        <f>AVERAGE(Tableau2[[#This Row],[AWB]:[IAM]])</f>
        <v>1.0730453743923712E-2</v>
      </c>
      <c r="C607">
        <f t="shared" si="108"/>
        <v>0</v>
      </c>
      <c r="D607">
        <f t="shared" si="109"/>
        <v>0</v>
      </c>
      <c r="E607">
        <f t="shared" si="110"/>
        <v>1</v>
      </c>
      <c r="F607">
        <f t="shared" si="111"/>
        <v>0</v>
      </c>
      <c r="G607">
        <f t="shared" si="112"/>
        <v>0</v>
      </c>
      <c r="H607">
        <f t="shared" si="113"/>
        <v>0</v>
      </c>
      <c r="I607">
        <f t="shared" si="114"/>
        <v>0</v>
      </c>
      <c r="J607">
        <f t="shared" si="115"/>
        <v>0</v>
      </c>
      <c r="K607">
        <f t="shared" si="116"/>
        <v>0</v>
      </c>
      <c r="L607">
        <f t="shared" si="117"/>
        <v>0</v>
      </c>
      <c r="M607">
        <f t="shared" si="118"/>
        <v>0</v>
      </c>
      <c r="N607">
        <f t="shared" si="119"/>
        <v>0</v>
      </c>
    </row>
    <row r="608" spans="1:14" x14ac:dyDescent="0.35">
      <c r="A608" s="17">
        <v>45735</v>
      </c>
      <c r="B608">
        <f>AVERAGE(Tableau2[[#This Row],[AWB]:[IAM]])</f>
        <v>1.4930937902194663E-2</v>
      </c>
      <c r="C608">
        <f t="shared" si="108"/>
        <v>0</v>
      </c>
      <c r="D608">
        <f t="shared" si="109"/>
        <v>0</v>
      </c>
      <c r="E608">
        <f t="shared" si="110"/>
        <v>1</v>
      </c>
      <c r="F608">
        <f t="shared" si="111"/>
        <v>0</v>
      </c>
      <c r="G608">
        <f t="shared" si="112"/>
        <v>0</v>
      </c>
      <c r="H608">
        <f t="shared" si="113"/>
        <v>0</v>
      </c>
      <c r="I608">
        <f t="shared" si="114"/>
        <v>0</v>
      </c>
      <c r="J608">
        <f t="shared" si="115"/>
        <v>0</v>
      </c>
      <c r="K608">
        <f t="shared" si="116"/>
        <v>0</v>
      </c>
      <c r="L608">
        <f t="shared" si="117"/>
        <v>0</v>
      </c>
      <c r="M608">
        <f t="shared" si="118"/>
        <v>0</v>
      </c>
      <c r="N608">
        <f t="shared" si="119"/>
        <v>0</v>
      </c>
    </row>
    <row r="609" spans="1:14" x14ac:dyDescent="0.35">
      <c r="A609" s="17">
        <v>45736</v>
      </c>
      <c r="B609">
        <f>AVERAGE(Tableau2[[#This Row],[AWB]:[IAM]])</f>
        <v>1.8662694434446101E-2</v>
      </c>
      <c r="C609">
        <f t="shared" si="108"/>
        <v>0</v>
      </c>
      <c r="D609">
        <f t="shared" si="109"/>
        <v>0</v>
      </c>
      <c r="E609">
        <f t="shared" si="110"/>
        <v>1</v>
      </c>
      <c r="F609">
        <f t="shared" si="111"/>
        <v>0</v>
      </c>
      <c r="G609">
        <f t="shared" si="112"/>
        <v>0</v>
      </c>
      <c r="H609">
        <f t="shared" si="113"/>
        <v>0</v>
      </c>
      <c r="I609">
        <f t="shared" si="114"/>
        <v>0</v>
      </c>
      <c r="J609">
        <f t="shared" si="115"/>
        <v>0</v>
      </c>
      <c r="K609">
        <f t="shared" si="116"/>
        <v>0</v>
      </c>
      <c r="L609">
        <f t="shared" si="117"/>
        <v>0</v>
      </c>
      <c r="M609">
        <f t="shared" si="118"/>
        <v>0</v>
      </c>
      <c r="N609">
        <f t="shared" si="119"/>
        <v>0</v>
      </c>
    </row>
    <row r="610" spans="1:14" x14ac:dyDescent="0.35">
      <c r="A610" s="17">
        <v>45737</v>
      </c>
      <c r="B610">
        <f>AVERAGE(Tableau2[[#This Row],[AWB]:[IAM]])</f>
        <v>1.3984037790741788E-2</v>
      </c>
      <c r="C610">
        <f t="shared" si="108"/>
        <v>0</v>
      </c>
      <c r="D610">
        <f t="shared" si="109"/>
        <v>0</v>
      </c>
      <c r="E610">
        <f t="shared" si="110"/>
        <v>1</v>
      </c>
      <c r="F610">
        <f t="shared" si="111"/>
        <v>0</v>
      </c>
      <c r="G610">
        <f t="shared" si="112"/>
        <v>0</v>
      </c>
      <c r="H610">
        <f t="shared" si="113"/>
        <v>0</v>
      </c>
      <c r="I610">
        <f t="shared" si="114"/>
        <v>0</v>
      </c>
      <c r="J610">
        <f t="shared" si="115"/>
        <v>0</v>
      </c>
      <c r="K610">
        <f t="shared" si="116"/>
        <v>0</v>
      </c>
      <c r="L610">
        <f t="shared" si="117"/>
        <v>0</v>
      </c>
      <c r="M610">
        <f t="shared" si="118"/>
        <v>0</v>
      </c>
      <c r="N610">
        <f t="shared" si="119"/>
        <v>0</v>
      </c>
    </row>
    <row r="611" spans="1:14" x14ac:dyDescent="0.35">
      <c r="A611" s="17">
        <v>45740</v>
      </c>
      <c r="B611">
        <f>AVERAGE(Tableau2[[#This Row],[AWB]:[IAM]])</f>
        <v>9.4258985951434383E-3</v>
      </c>
      <c r="C611">
        <f t="shared" si="108"/>
        <v>0</v>
      </c>
      <c r="D611">
        <f t="shared" si="109"/>
        <v>0</v>
      </c>
      <c r="E611">
        <f t="shared" si="110"/>
        <v>1</v>
      </c>
      <c r="F611">
        <f t="shared" si="111"/>
        <v>0</v>
      </c>
      <c r="G611">
        <f t="shared" si="112"/>
        <v>0</v>
      </c>
      <c r="H611">
        <f t="shared" si="113"/>
        <v>0</v>
      </c>
      <c r="I611">
        <f t="shared" si="114"/>
        <v>0</v>
      </c>
      <c r="J611">
        <f t="shared" si="115"/>
        <v>0</v>
      </c>
      <c r="K611">
        <f t="shared" si="116"/>
        <v>0</v>
      </c>
      <c r="L611">
        <f t="shared" si="117"/>
        <v>0</v>
      </c>
      <c r="M611">
        <f t="shared" si="118"/>
        <v>0</v>
      </c>
      <c r="N611">
        <f t="shared" si="119"/>
        <v>0</v>
      </c>
    </row>
    <row r="612" spans="1:14" x14ac:dyDescent="0.35">
      <c r="A612" s="17">
        <v>45741</v>
      </c>
      <c r="B612">
        <f>AVERAGE(Tableau2[[#This Row],[AWB]:[IAM]])</f>
        <v>-4.0061132952854328E-3</v>
      </c>
      <c r="C612">
        <f t="shared" si="108"/>
        <v>0</v>
      </c>
      <c r="D612">
        <f t="shared" si="109"/>
        <v>0</v>
      </c>
      <c r="E612">
        <f t="shared" si="110"/>
        <v>1</v>
      </c>
      <c r="F612">
        <f t="shared" si="111"/>
        <v>0</v>
      </c>
      <c r="G612">
        <f t="shared" si="112"/>
        <v>0</v>
      </c>
      <c r="H612">
        <f t="shared" si="113"/>
        <v>0</v>
      </c>
      <c r="I612">
        <f t="shared" si="114"/>
        <v>0</v>
      </c>
      <c r="J612">
        <f t="shared" si="115"/>
        <v>0</v>
      </c>
      <c r="K612">
        <f t="shared" si="116"/>
        <v>0</v>
      </c>
      <c r="L612">
        <f t="shared" si="117"/>
        <v>0</v>
      </c>
      <c r="M612">
        <f t="shared" si="118"/>
        <v>0</v>
      </c>
      <c r="N612">
        <f t="shared" si="119"/>
        <v>0</v>
      </c>
    </row>
    <row r="613" spans="1:14" x14ac:dyDescent="0.35">
      <c r="A613" s="17">
        <v>45742</v>
      </c>
      <c r="B613">
        <f>AVERAGE(Tableau2[[#This Row],[AWB]:[IAM]])</f>
        <v>-4.5438233119487375E-3</v>
      </c>
      <c r="C613">
        <f t="shared" si="108"/>
        <v>0</v>
      </c>
      <c r="D613">
        <f t="shared" si="109"/>
        <v>0</v>
      </c>
      <c r="E613">
        <f t="shared" si="110"/>
        <v>1</v>
      </c>
      <c r="F613">
        <f t="shared" si="111"/>
        <v>0</v>
      </c>
      <c r="G613">
        <f t="shared" si="112"/>
        <v>0</v>
      </c>
      <c r="H613">
        <f t="shared" si="113"/>
        <v>0</v>
      </c>
      <c r="I613">
        <f t="shared" si="114"/>
        <v>0</v>
      </c>
      <c r="J613">
        <f t="shared" si="115"/>
        <v>0</v>
      </c>
      <c r="K613">
        <f t="shared" si="116"/>
        <v>0</v>
      </c>
      <c r="L613">
        <f t="shared" si="117"/>
        <v>0</v>
      </c>
      <c r="M613">
        <f t="shared" si="118"/>
        <v>0</v>
      </c>
      <c r="N613">
        <f t="shared" si="119"/>
        <v>0</v>
      </c>
    </row>
    <row r="614" spans="1:14" x14ac:dyDescent="0.35">
      <c r="A614" s="17">
        <v>45744</v>
      </c>
      <c r="B614">
        <f>AVERAGE(Tableau2[[#This Row],[AWB]:[IAM]])</f>
        <v>6.6758024008040729E-3</v>
      </c>
      <c r="C614">
        <f t="shared" si="108"/>
        <v>0</v>
      </c>
      <c r="D614">
        <f t="shared" si="109"/>
        <v>0</v>
      </c>
      <c r="E614">
        <f t="shared" si="110"/>
        <v>1</v>
      </c>
      <c r="F614">
        <f t="shared" si="111"/>
        <v>0</v>
      </c>
      <c r="G614">
        <f t="shared" si="112"/>
        <v>0</v>
      </c>
      <c r="H614">
        <f t="shared" si="113"/>
        <v>0</v>
      </c>
      <c r="I614">
        <f t="shared" si="114"/>
        <v>0</v>
      </c>
      <c r="J614">
        <f t="shared" si="115"/>
        <v>0</v>
      </c>
      <c r="K614">
        <f t="shared" si="116"/>
        <v>0</v>
      </c>
      <c r="L614">
        <f t="shared" si="117"/>
        <v>0</v>
      </c>
      <c r="M614">
        <f t="shared" si="118"/>
        <v>0</v>
      </c>
      <c r="N614">
        <f t="shared" si="119"/>
        <v>0</v>
      </c>
    </row>
    <row r="615" spans="1:14" x14ac:dyDescent="0.35">
      <c r="A615" s="17">
        <v>45749</v>
      </c>
      <c r="B615">
        <f>AVERAGE(Tableau2[[#This Row],[AWB]:[IAM]])</f>
        <v>-6.2368049148876043E-3</v>
      </c>
      <c r="C615">
        <f t="shared" si="108"/>
        <v>0</v>
      </c>
      <c r="D615">
        <f t="shared" si="109"/>
        <v>0</v>
      </c>
      <c r="E615">
        <f t="shared" si="110"/>
        <v>0</v>
      </c>
      <c r="F615">
        <f t="shared" si="111"/>
        <v>1</v>
      </c>
      <c r="G615">
        <f t="shared" si="112"/>
        <v>0</v>
      </c>
      <c r="H615">
        <f t="shared" si="113"/>
        <v>0</v>
      </c>
      <c r="I615">
        <f t="shared" si="114"/>
        <v>0</v>
      </c>
      <c r="J615">
        <f t="shared" si="115"/>
        <v>0</v>
      </c>
      <c r="K615">
        <f t="shared" si="116"/>
        <v>0</v>
      </c>
      <c r="L615">
        <f t="shared" si="117"/>
        <v>0</v>
      </c>
      <c r="M615">
        <f t="shared" si="118"/>
        <v>0</v>
      </c>
      <c r="N615">
        <f t="shared" si="119"/>
        <v>0</v>
      </c>
    </row>
    <row r="616" spans="1:14" x14ac:dyDescent="0.35">
      <c r="A616" s="17">
        <v>45750</v>
      </c>
      <c r="B616">
        <f>AVERAGE(Tableau2[[#This Row],[AWB]:[IAM]])</f>
        <v>-1.877548514186839E-2</v>
      </c>
      <c r="C616">
        <f t="shared" si="108"/>
        <v>0</v>
      </c>
      <c r="D616">
        <f t="shared" si="109"/>
        <v>0</v>
      </c>
      <c r="E616">
        <f t="shared" si="110"/>
        <v>0</v>
      </c>
      <c r="F616">
        <f t="shared" si="111"/>
        <v>1</v>
      </c>
      <c r="G616">
        <f t="shared" si="112"/>
        <v>0</v>
      </c>
      <c r="H616">
        <f t="shared" si="113"/>
        <v>0</v>
      </c>
      <c r="I616">
        <f t="shared" si="114"/>
        <v>0</v>
      </c>
      <c r="J616">
        <f t="shared" si="115"/>
        <v>0</v>
      </c>
      <c r="K616">
        <f t="shared" si="116"/>
        <v>0</v>
      </c>
      <c r="L616">
        <f t="shared" si="117"/>
        <v>0</v>
      </c>
      <c r="M616">
        <f t="shared" si="118"/>
        <v>0</v>
      </c>
      <c r="N616">
        <f t="shared" si="119"/>
        <v>0</v>
      </c>
    </row>
    <row r="617" spans="1:14" x14ac:dyDescent="0.35">
      <c r="A617" s="17">
        <v>45751</v>
      </c>
      <c r="B617">
        <f>AVERAGE(Tableau2[[#This Row],[AWB]:[IAM]])</f>
        <v>-4.8334372392114678E-3</v>
      </c>
      <c r="C617">
        <f t="shared" si="108"/>
        <v>0</v>
      </c>
      <c r="D617">
        <f t="shared" si="109"/>
        <v>0</v>
      </c>
      <c r="E617">
        <f t="shared" si="110"/>
        <v>0</v>
      </c>
      <c r="F617">
        <f t="shared" si="111"/>
        <v>1</v>
      </c>
      <c r="G617">
        <f t="shared" si="112"/>
        <v>0</v>
      </c>
      <c r="H617">
        <f t="shared" si="113"/>
        <v>0</v>
      </c>
      <c r="I617">
        <f t="shared" si="114"/>
        <v>0</v>
      </c>
      <c r="J617">
        <f t="shared" si="115"/>
        <v>0</v>
      </c>
      <c r="K617">
        <f t="shared" si="116"/>
        <v>0</v>
      </c>
      <c r="L617">
        <f t="shared" si="117"/>
        <v>0</v>
      </c>
      <c r="M617">
        <f t="shared" si="118"/>
        <v>0</v>
      </c>
      <c r="N617">
        <f t="shared" si="119"/>
        <v>0</v>
      </c>
    </row>
    <row r="618" spans="1:14" x14ac:dyDescent="0.35">
      <c r="A618" s="17">
        <v>45754</v>
      </c>
      <c r="B618">
        <f>AVERAGE(Tableau2[[#This Row],[AWB]:[IAM]])</f>
        <v>-6.4703914185081951E-2</v>
      </c>
      <c r="C618">
        <f t="shared" si="108"/>
        <v>0</v>
      </c>
      <c r="D618">
        <f t="shared" si="109"/>
        <v>0</v>
      </c>
      <c r="E618">
        <f t="shared" si="110"/>
        <v>0</v>
      </c>
      <c r="F618">
        <f t="shared" si="111"/>
        <v>1</v>
      </c>
      <c r="G618">
        <f t="shared" si="112"/>
        <v>0</v>
      </c>
      <c r="H618">
        <f t="shared" si="113"/>
        <v>0</v>
      </c>
      <c r="I618">
        <f t="shared" si="114"/>
        <v>0</v>
      </c>
      <c r="J618">
        <f t="shared" si="115"/>
        <v>0</v>
      </c>
      <c r="K618">
        <f t="shared" si="116"/>
        <v>0</v>
      </c>
      <c r="L618">
        <f t="shared" si="117"/>
        <v>0</v>
      </c>
      <c r="M618">
        <f t="shared" si="118"/>
        <v>0</v>
      </c>
      <c r="N618">
        <f t="shared" si="119"/>
        <v>0</v>
      </c>
    </row>
    <row r="619" spans="1:14" x14ac:dyDescent="0.35">
      <c r="A619" s="17">
        <v>45755</v>
      </c>
      <c r="B619">
        <f>AVERAGE(Tableau2[[#This Row],[AWB]:[IAM]])</f>
        <v>1.6611136763793735E-2</v>
      </c>
      <c r="C619">
        <f t="shared" si="108"/>
        <v>0</v>
      </c>
      <c r="D619">
        <f t="shared" si="109"/>
        <v>0</v>
      </c>
      <c r="E619">
        <f t="shared" si="110"/>
        <v>0</v>
      </c>
      <c r="F619">
        <f t="shared" si="111"/>
        <v>1</v>
      </c>
      <c r="G619">
        <f t="shared" si="112"/>
        <v>0</v>
      </c>
      <c r="H619">
        <f t="shared" si="113"/>
        <v>0</v>
      </c>
      <c r="I619">
        <f t="shared" si="114"/>
        <v>0</v>
      </c>
      <c r="J619">
        <f t="shared" si="115"/>
        <v>0</v>
      </c>
      <c r="K619">
        <f t="shared" si="116"/>
        <v>0</v>
      </c>
      <c r="L619">
        <f t="shared" si="117"/>
        <v>0</v>
      </c>
      <c r="M619">
        <f t="shared" si="118"/>
        <v>0</v>
      </c>
      <c r="N619">
        <f t="shared" si="119"/>
        <v>0</v>
      </c>
    </row>
    <row r="620" spans="1:14" x14ac:dyDescent="0.35">
      <c r="A620" s="17">
        <v>45756</v>
      </c>
      <c r="B620">
        <f>AVERAGE(Tableau2[[#This Row],[AWB]:[IAM]])</f>
        <v>-2.7986933560866963E-2</v>
      </c>
      <c r="C620">
        <f t="shared" si="108"/>
        <v>0</v>
      </c>
      <c r="D620">
        <f t="shared" si="109"/>
        <v>0</v>
      </c>
      <c r="E620">
        <f t="shared" si="110"/>
        <v>0</v>
      </c>
      <c r="F620">
        <f t="shared" si="111"/>
        <v>1</v>
      </c>
      <c r="G620">
        <f t="shared" si="112"/>
        <v>0</v>
      </c>
      <c r="H620">
        <f t="shared" si="113"/>
        <v>0</v>
      </c>
      <c r="I620">
        <f t="shared" si="114"/>
        <v>0</v>
      </c>
      <c r="J620">
        <f t="shared" si="115"/>
        <v>0</v>
      </c>
      <c r="K620">
        <f t="shared" si="116"/>
        <v>0</v>
      </c>
      <c r="L620">
        <f t="shared" si="117"/>
        <v>0</v>
      </c>
      <c r="M620">
        <f t="shared" si="118"/>
        <v>0</v>
      </c>
      <c r="N620">
        <f t="shared" si="119"/>
        <v>0</v>
      </c>
    </row>
    <row r="621" spans="1:14" x14ac:dyDescent="0.35">
      <c r="A621" s="17">
        <v>45757</v>
      </c>
      <c r="B621">
        <f>AVERAGE(Tableau2[[#This Row],[AWB]:[IAM]])</f>
        <v>1.9399378729386685E-2</v>
      </c>
      <c r="C621">
        <f t="shared" si="108"/>
        <v>0</v>
      </c>
      <c r="D621">
        <f t="shared" si="109"/>
        <v>0</v>
      </c>
      <c r="E621">
        <f t="shared" si="110"/>
        <v>0</v>
      </c>
      <c r="F621">
        <f t="shared" si="111"/>
        <v>1</v>
      </c>
      <c r="G621">
        <f t="shared" si="112"/>
        <v>0</v>
      </c>
      <c r="H621">
        <f t="shared" si="113"/>
        <v>0</v>
      </c>
      <c r="I621">
        <f t="shared" si="114"/>
        <v>0</v>
      </c>
      <c r="J621">
        <f t="shared" si="115"/>
        <v>0</v>
      </c>
      <c r="K621">
        <f t="shared" si="116"/>
        <v>0</v>
      </c>
      <c r="L621">
        <f t="shared" si="117"/>
        <v>0</v>
      </c>
      <c r="M621">
        <f t="shared" si="118"/>
        <v>0</v>
      </c>
      <c r="N621">
        <f t="shared" si="119"/>
        <v>0</v>
      </c>
    </row>
    <row r="622" spans="1:14" x14ac:dyDescent="0.35">
      <c r="A622" s="17">
        <v>45758</v>
      </c>
      <c r="B622">
        <f>AVERAGE(Tableau2[[#This Row],[AWB]:[IAM]])</f>
        <v>-3.3955922602380069E-2</v>
      </c>
      <c r="C622">
        <f t="shared" si="108"/>
        <v>0</v>
      </c>
      <c r="D622">
        <f t="shared" si="109"/>
        <v>0</v>
      </c>
      <c r="E622">
        <f t="shared" si="110"/>
        <v>0</v>
      </c>
      <c r="F622">
        <f t="shared" si="111"/>
        <v>1</v>
      </c>
      <c r="G622">
        <f t="shared" si="112"/>
        <v>0</v>
      </c>
      <c r="H622">
        <f t="shared" si="113"/>
        <v>0</v>
      </c>
      <c r="I622">
        <f t="shared" si="114"/>
        <v>0</v>
      </c>
      <c r="J622">
        <f t="shared" si="115"/>
        <v>0</v>
      </c>
      <c r="K622">
        <f t="shared" si="116"/>
        <v>0</v>
      </c>
      <c r="L622">
        <f t="shared" si="117"/>
        <v>0</v>
      </c>
      <c r="M622">
        <f t="shared" si="118"/>
        <v>0</v>
      </c>
      <c r="N622">
        <f t="shared" si="119"/>
        <v>0</v>
      </c>
    </row>
    <row r="623" spans="1:14" x14ac:dyDescent="0.35">
      <c r="A623" s="17">
        <v>45761</v>
      </c>
      <c r="B623">
        <f>AVERAGE(Tableau2[[#This Row],[AWB]:[IAM]])</f>
        <v>4.5582137826606008E-2</v>
      </c>
      <c r="C623">
        <f t="shared" si="108"/>
        <v>0</v>
      </c>
      <c r="D623">
        <f t="shared" si="109"/>
        <v>0</v>
      </c>
      <c r="E623">
        <f t="shared" si="110"/>
        <v>0</v>
      </c>
      <c r="F623">
        <f t="shared" si="111"/>
        <v>1</v>
      </c>
      <c r="G623">
        <f t="shared" si="112"/>
        <v>0</v>
      </c>
      <c r="H623">
        <f t="shared" si="113"/>
        <v>0</v>
      </c>
      <c r="I623">
        <f t="shared" si="114"/>
        <v>0</v>
      </c>
      <c r="J623">
        <f t="shared" si="115"/>
        <v>0</v>
      </c>
      <c r="K623">
        <f t="shared" si="116"/>
        <v>0</v>
      </c>
      <c r="L623">
        <f t="shared" si="117"/>
        <v>0</v>
      </c>
      <c r="M623">
        <f t="shared" si="118"/>
        <v>0</v>
      </c>
      <c r="N623">
        <f t="shared" si="119"/>
        <v>0</v>
      </c>
    </row>
    <row r="624" spans="1:14" x14ac:dyDescent="0.35">
      <c r="A624" s="17">
        <v>45762</v>
      </c>
      <c r="B624">
        <f>AVERAGE(Tableau2[[#This Row],[AWB]:[IAM]])</f>
        <v>3.4307766670313579E-2</v>
      </c>
      <c r="C624">
        <f t="shared" si="108"/>
        <v>0</v>
      </c>
      <c r="D624">
        <f t="shared" si="109"/>
        <v>0</v>
      </c>
      <c r="E624">
        <f t="shared" si="110"/>
        <v>0</v>
      </c>
      <c r="F624">
        <f t="shared" si="111"/>
        <v>1</v>
      </c>
      <c r="G624">
        <f t="shared" si="112"/>
        <v>0</v>
      </c>
      <c r="H624">
        <f t="shared" si="113"/>
        <v>0</v>
      </c>
      <c r="I624">
        <f t="shared" si="114"/>
        <v>0</v>
      </c>
      <c r="J624">
        <f t="shared" si="115"/>
        <v>0</v>
      </c>
      <c r="K624">
        <f t="shared" si="116"/>
        <v>0</v>
      </c>
      <c r="L624">
        <f t="shared" si="117"/>
        <v>0</v>
      </c>
      <c r="M624">
        <f t="shared" si="118"/>
        <v>0</v>
      </c>
      <c r="N624">
        <f t="shared" si="119"/>
        <v>0</v>
      </c>
    </row>
    <row r="625" spans="1:14" x14ac:dyDescent="0.35">
      <c r="A625" s="17">
        <v>45763</v>
      </c>
      <c r="B625">
        <f>AVERAGE(Tableau2[[#This Row],[AWB]:[IAM]])</f>
        <v>5.4321629257381284E-3</v>
      </c>
      <c r="C625">
        <f t="shared" si="108"/>
        <v>0</v>
      </c>
      <c r="D625">
        <f t="shared" si="109"/>
        <v>0</v>
      </c>
      <c r="E625">
        <f t="shared" si="110"/>
        <v>0</v>
      </c>
      <c r="F625">
        <f t="shared" si="111"/>
        <v>1</v>
      </c>
      <c r="G625">
        <f t="shared" si="112"/>
        <v>0</v>
      </c>
      <c r="H625">
        <f t="shared" si="113"/>
        <v>0</v>
      </c>
      <c r="I625">
        <f t="shared" si="114"/>
        <v>0</v>
      </c>
      <c r="J625">
        <f t="shared" si="115"/>
        <v>0</v>
      </c>
      <c r="K625">
        <f t="shared" si="116"/>
        <v>0</v>
      </c>
      <c r="L625">
        <f t="shared" si="117"/>
        <v>0</v>
      </c>
      <c r="M625">
        <f t="shared" si="118"/>
        <v>0</v>
      </c>
      <c r="N625">
        <f t="shared" si="119"/>
        <v>0</v>
      </c>
    </row>
    <row r="626" spans="1:14" x14ac:dyDescent="0.35">
      <c r="A626" s="17">
        <v>45764</v>
      </c>
      <c r="B626">
        <f>AVERAGE(Tableau2[[#This Row],[AWB]:[IAM]])</f>
        <v>3.6220843968122153E-3</v>
      </c>
      <c r="C626">
        <f t="shared" si="108"/>
        <v>0</v>
      </c>
      <c r="D626">
        <f t="shared" si="109"/>
        <v>0</v>
      </c>
      <c r="E626">
        <f t="shared" si="110"/>
        <v>0</v>
      </c>
      <c r="F626">
        <f t="shared" si="111"/>
        <v>1</v>
      </c>
      <c r="G626">
        <f t="shared" si="112"/>
        <v>0</v>
      </c>
      <c r="H626">
        <f t="shared" si="113"/>
        <v>0</v>
      </c>
      <c r="I626">
        <f t="shared" si="114"/>
        <v>0</v>
      </c>
      <c r="J626">
        <f t="shared" si="115"/>
        <v>0</v>
      </c>
      <c r="K626">
        <f t="shared" si="116"/>
        <v>0</v>
      </c>
      <c r="L626">
        <f t="shared" si="117"/>
        <v>0</v>
      </c>
      <c r="M626">
        <f t="shared" si="118"/>
        <v>0</v>
      </c>
      <c r="N626">
        <f t="shared" si="119"/>
        <v>0</v>
      </c>
    </row>
    <row r="627" spans="1:14" x14ac:dyDescent="0.35">
      <c r="A627" s="17">
        <v>45769</v>
      </c>
      <c r="B627">
        <f>AVERAGE(Tableau2[[#This Row],[AWB]:[IAM]])</f>
        <v>1.4783514939273601E-3</v>
      </c>
      <c r="C627">
        <f t="shared" si="108"/>
        <v>0</v>
      </c>
      <c r="D627">
        <f t="shared" si="109"/>
        <v>0</v>
      </c>
      <c r="E627">
        <f t="shared" si="110"/>
        <v>0</v>
      </c>
      <c r="F627">
        <f t="shared" si="111"/>
        <v>1</v>
      </c>
      <c r="G627">
        <f t="shared" si="112"/>
        <v>0</v>
      </c>
      <c r="H627">
        <f t="shared" si="113"/>
        <v>0</v>
      </c>
      <c r="I627">
        <f t="shared" si="114"/>
        <v>0</v>
      </c>
      <c r="J627">
        <f t="shared" si="115"/>
        <v>0</v>
      </c>
      <c r="K627">
        <f t="shared" si="116"/>
        <v>0</v>
      </c>
      <c r="L627">
        <f t="shared" si="117"/>
        <v>0</v>
      </c>
      <c r="M627">
        <f t="shared" si="118"/>
        <v>0</v>
      </c>
      <c r="N627">
        <f t="shared" si="119"/>
        <v>0</v>
      </c>
    </row>
    <row r="628" spans="1:14" x14ac:dyDescent="0.35">
      <c r="A628" s="17">
        <v>45770</v>
      </c>
      <c r="B628">
        <f>AVERAGE(Tableau2[[#This Row],[AWB]:[IAM]])</f>
        <v>7.8346966315610087E-3</v>
      </c>
      <c r="C628">
        <f t="shared" si="108"/>
        <v>0</v>
      </c>
      <c r="D628">
        <f t="shared" si="109"/>
        <v>0</v>
      </c>
      <c r="E628">
        <f t="shared" si="110"/>
        <v>0</v>
      </c>
      <c r="F628">
        <f t="shared" si="111"/>
        <v>1</v>
      </c>
      <c r="G628">
        <f t="shared" si="112"/>
        <v>0</v>
      </c>
      <c r="H628">
        <f t="shared" si="113"/>
        <v>0</v>
      </c>
      <c r="I628">
        <f t="shared" si="114"/>
        <v>0</v>
      </c>
      <c r="J628">
        <f t="shared" si="115"/>
        <v>0</v>
      </c>
      <c r="K628">
        <f t="shared" si="116"/>
        <v>0</v>
      </c>
      <c r="L628">
        <f t="shared" si="117"/>
        <v>0</v>
      </c>
      <c r="M628">
        <f t="shared" si="118"/>
        <v>0</v>
      </c>
      <c r="N628">
        <f t="shared" si="119"/>
        <v>0</v>
      </c>
    </row>
    <row r="629" spans="1:14" x14ac:dyDescent="0.35">
      <c r="A629" s="17">
        <v>45772</v>
      </c>
      <c r="B629">
        <f>AVERAGE(Tableau2[[#This Row],[AWB]:[IAM]])</f>
        <v>7.1820078849386777E-3</v>
      </c>
      <c r="C629">
        <f t="shared" si="108"/>
        <v>0</v>
      </c>
      <c r="D629">
        <f t="shared" si="109"/>
        <v>0</v>
      </c>
      <c r="E629">
        <f t="shared" si="110"/>
        <v>0</v>
      </c>
      <c r="F629">
        <f t="shared" si="111"/>
        <v>1</v>
      </c>
      <c r="G629">
        <f t="shared" si="112"/>
        <v>0</v>
      </c>
      <c r="H629">
        <f t="shared" si="113"/>
        <v>0</v>
      </c>
      <c r="I629">
        <f t="shared" si="114"/>
        <v>0</v>
      </c>
      <c r="J629">
        <f t="shared" si="115"/>
        <v>0</v>
      </c>
      <c r="K629">
        <f t="shared" si="116"/>
        <v>0</v>
      </c>
      <c r="L629">
        <f t="shared" si="117"/>
        <v>0</v>
      </c>
      <c r="M629">
        <f t="shared" si="118"/>
        <v>0</v>
      </c>
      <c r="N629">
        <f t="shared" si="119"/>
        <v>0</v>
      </c>
    </row>
    <row r="630" spans="1:14" x14ac:dyDescent="0.35">
      <c r="A630" s="17">
        <v>45777</v>
      </c>
      <c r="B630">
        <f>AVERAGE(Tableau2[[#This Row],[AWB]:[IAM]])</f>
        <v>-3.7424058452526139E-3</v>
      </c>
      <c r="C630">
        <f t="shared" si="108"/>
        <v>0</v>
      </c>
      <c r="D630">
        <f t="shared" si="109"/>
        <v>0</v>
      </c>
      <c r="E630">
        <f t="shared" si="110"/>
        <v>0</v>
      </c>
      <c r="F630">
        <f t="shared" si="111"/>
        <v>1</v>
      </c>
      <c r="G630">
        <f t="shared" si="112"/>
        <v>0</v>
      </c>
      <c r="H630">
        <f t="shared" si="113"/>
        <v>0</v>
      </c>
      <c r="I630">
        <f t="shared" si="114"/>
        <v>0</v>
      </c>
      <c r="J630">
        <f t="shared" si="115"/>
        <v>0</v>
      </c>
      <c r="K630">
        <f t="shared" si="116"/>
        <v>0</v>
      </c>
      <c r="L630">
        <f t="shared" si="117"/>
        <v>0</v>
      </c>
      <c r="M630">
        <f t="shared" si="118"/>
        <v>0</v>
      </c>
      <c r="N630">
        <f t="shared" si="119"/>
        <v>0</v>
      </c>
    </row>
    <row r="631" spans="1:14" x14ac:dyDescent="0.35">
      <c r="A631" s="17">
        <v>45779</v>
      </c>
      <c r="B631">
        <f>AVERAGE(Tableau2[[#This Row],[AWB]:[IAM]])</f>
        <v>1.1898747771930087E-2</v>
      </c>
      <c r="C631">
        <f t="shared" si="108"/>
        <v>0</v>
      </c>
      <c r="D631">
        <f t="shared" si="109"/>
        <v>0</v>
      </c>
      <c r="E631">
        <f t="shared" si="110"/>
        <v>0</v>
      </c>
      <c r="F631">
        <f t="shared" si="111"/>
        <v>0</v>
      </c>
      <c r="G631">
        <f t="shared" si="112"/>
        <v>1</v>
      </c>
      <c r="H631">
        <f t="shared" si="113"/>
        <v>0</v>
      </c>
      <c r="I631">
        <f t="shared" si="114"/>
        <v>0</v>
      </c>
      <c r="J631">
        <f t="shared" si="115"/>
        <v>0</v>
      </c>
      <c r="K631">
        <f t="shared" si="116"/>
        <v>0</v>
      </c>
      <c r="L631">
        <f t="shared" si="117"/>
        <v>0</v>
      </c>
      <c r="M631">
        <f t="shared" si="118"/>
        <v>0</v>
      </c>
      <c r="N631">
        <f t="shared" si="119"/>
        <v>0</v>
      </c>
    </row>
    <row r="632" spans="1:14" x14ac:dyDescent="0.35">
      <c r="A632" s="17">
        <v>45782</v>
      </c>
      <c r="B632">
        <f>AVERAGE(Tableau2[[#This Row],[AWB]:[IAM]])</f>
        <v>-1.128179326072153E-3</v>
      </c>
      <c r="C632">
        <f t="shared" si="108"/>
        <v>0</v>
      </c>
      <c r="D632">
        <f t="shared" si="109"/>
        <v>0</v>
      </c>
      <c r="E632">
        <f t="shared" si="110"/>
        <v>0</v>
      </c>
      <c r="F632">
        <f t="shared" si="111"/>
        <v>0</v>
      </c>
      <c r="G632">
        <f t="shared" si="112"/>
        <v>1</v>
      </c>
      <c r="H632">
        <f t="shared" si="113"/>
        <v>0</v>
      </c>
      <c r="I632">
        <f t="shared" si="114"/>
        <v>0</v>
      </c>
      <c r="J632">
        <f t="shared" si="115"/>
        <v>0</v>
      </c>
      <c r="K632">
        <f t="shared" si="116"/>
        <v>0</v>
      </c>
      <c r="L632">
        <f t="shared" si="117"/>
        <v>0</v>
      </c>
      <c r="M632">
        <f t="shared" si="118"/>
        <v>0</v>
      </c>
      <c r="N632">
        <f t="shared" si="119"/>
        <v>0</v>
      </c>
    </row>
    <row r="633" spans="1:14" x14ac:dyDescent="0.35">
      <c r="A633" s="17">
        <v>45783</v>
      </c>
      <c r="B633">
        <f>AVERAGE(Tableau2[[#This Row],[AWB]:[IAM]])</f>
        <v>1.2539570085887835E-2</v>
      </c>
      <c r="C633">
        <f t="shared" si="108"/>
        <v>0</v>
      </c>
      <c r="D633">
        <f t="shared" si="109"/>
        <v>0</v>
      </c>
      <c r="E633">
        <f t="shared" si="110"/>
        <v>0</v>
      </c>
      <c r="F633">
        <f t="shared" si="111"/>
        <v>0</v>
      </c>
      <c r="G633">
        <f t="shared" si="112"/>
        <v>1</v>
      </c>
      <c r="H633">
        <f t="shared" si="113"/>
        <v>0</v>
      </c>
      <c r="I633">
        <f t="shared" si="114"/>
        <v>0</v>
      </c>
      <c r="J633">
        <f t="shared" si="115"/>
        <v>0</v>
      </c>
      <c r="K633">
        <f t="shared" si="116"/>
        <v>0</v>
      </c>
      <c r="L633">
        <f t="shared" si="117"/>
        <v>0</v>
      </c>
      <c r="M633">
        <f t="shared" si="118"/>
        <v>0</v>
      </c>
      <c r="N633">
        <f t="shared" si="119"/>
        <v>0</v>
      </c>
    </row>
    <row r="634" spans="1:14" x14ac:dyDescent="0.35">
      <c r="A634" s="17">
        <v>45785</v>
      </c>
      <c r="B634">
        <f>AVERAGE(Tableau2[[#This Row],[AWB]:[IAM]])</f>
        <v>-3.6295015489924568E-3</v>
      </c>
      <c r="C634">
        <f t="shared" si="108"/>
        <v>0</v>
      </c>
      <c r="D634">
        <f t="shared" si="109"/>
        <v>0</v>
      </c>
      <c r="E634">
        <f t="shared" si="110"/>
        <v>0</v>
      </c>
      <c r="F634">
        <f t="shared" si="111"/>
        <v>0</v>
      </c>
      <c r="G634">
        <f t="shared" si="112"/>
        <v>1</v>
      </c>
      <c r="H634">
        <f t="shared" si="113"/>
        <v>0</v>
      </c>
      <c r="I634">
        <f t="shared" si="114"/>
        <v>0</v>
      </c>
      <c r="J634">
        <f t="shared" si="115"/>
        <v>0</v>
      </c>
      <c r="K634">
        <f t="shared" si="116"/>
        <v>0</v>
      </c>
      <c r="L634">
        <f t="shared" si="117"/>
        <v>0</v>
      </c>
      <c r="M634">
        <f t="shared" si="118"/>
        <v>0</v>
      </c>
      <c r="N634">
        <f t="shared" si="119"/>
        <v>0</v>
      </c>
    </row>
    <row r="635" spans="1:14" x14ac:dyDescent="0.35">
      <c r="A635" s="17">
        <v>45786</v>
      </c>
      <c r="B635">
        <f>AVERAGE(Tableau2[[#This Row],[AWB]:[IAM]])</f>
        <v>6.1584442472436196E-3</v>
      </c>
      <c r="C635">
        <f t="shared" si="108"/>
        <v>0</v>
      </c>
      <c r="D635">
        <f t="shared" si="109"/>
        <v>0</v>
      </c>
      <c r="E635">
        <f t="shared" si="110"/>
        <v>0</v>
      </c>
      <c r="F635">
        <f t="shared" si="111"/>
        <v>0</v>
      </c>
      <c r="G635">
        <f t="shared" si="112"/>
        <v>1</v>
      </c>
      <c r="H635">
        <f t="shared" si="113"/>
        <v>0</v>
      </c>
      <c r="I635">
        <f t="shared" si="114"/>
        <v>0</v>
      </c>
      <c r="J635">
        <f t="shared" si="115"/>
        <v>0</v>
      </c>
      <c r="K635">
        <f t="shared" si="116"/>
        <v>0</v>
      </c>
      <c r="L635">
        <f t="shared" si="117"/>
        <v>0</v>
      </c>
      <c r="M635">
        <f t="shared" si="118"/>
        <v>0</v>
      </c>
      <c r="N635">
        <f t="shared" si="119"/>
        <v>0</v>
      </c>
    </row>
    <row r="636" spans="1:14" x14ac:dyDescent="0.35">
      <c r="A636" s="17">
        <v>45792</v>
      </c>
      <c r="B636">
        <f>AVERAGE(Tableau2[[#This Row],[AWB]:[IAM]])</f>
        <v>6.4930737872520173E-3</v>
      </c>
      <c r="C636">
        <f t="shared" si="108"/>
        <v>0</v>
      </c>
      <c r="D636">
        <f t="shared" si="109"/>
        <v>0</v>
      </c>
      <c r="E636">
        <f t="shared" si="110"/>
        <v>0</v>
      </c>
      <c r="F636">
        <f t="shared" si="111"/>
        <v>0</v>
      </c>
      <c r="G636">
        <f t="shared" si="112"/>
        <v>1</v>
      </c>
      <c r="H636">
        <f t="shared" si="113"/>
        <v>0</v>
      </c>
      <c r="I636">
        <f t="shared" si="114"/>
        <v>0</v>
      </c>
      <c r="J636">
        <f t="shared" si="115"/>
        <v>0</v>
      </c>
      <c r="K636">
        <f t="shared" si="116"/>
        <v>0</v>
      </c>
      <c r="L636">
        <f t="shared" si="117"/>
        <v>0</v>
      </c>
      <c r="M636">
        <f t="shared" si="118"/>
        <v>0</v>
      </c>
      <c r="N636">
        <f t="shared" si="119"/>
        <v>0</v>
      </c>
    </row>
    <row r="637" spans="1:14" x14ac:dyDescent="0.35">
      <c r="A637" s="17">
        <v>45793</v>
      </c>
      <c r="B637">
        <f>AVERAGE(Tableau2[[#This Row],[AWB]:[IAM]])</f>
        <v>-1.6864706939668888E-2</v>
      </c>
      <c r="C637">
        <f t="shared" si="108"/>
        <v>0</v>
      </c>
      <c r="D637">
        <f t="shared" si="109"/>
        <v>0</v>
      </c>
      <c r="E637">
        <f t="shared" si="110"/>
        <v>0</v>
      </c>
      <c r="F637">
        <f t="shared" si="111"/>
        <v>0</v>
      </c>
      <c r="G637">
        <f t="shared" si="112"/>
        <v>1</v>
      </c>
      <c r="H637">
        <f t="shared" si="113"/>
        <v>0</v>
      </c>
      <c r="I637">
        <f t="shared" si="114"/>
        <v>0</v>
      </c>
      <c r="J637">
        <f t="shared" si="115"/>
        <v>0</v>
      </c>
      <c r="K637">
        <f t="shared" si="116"/>
        <v>0</v>
      </c>
      <c r="L637">
        <f t="shared" si="117"/>
        <v>0</v>
      </c>
      <c r="M637">
        <f t="shared" si="118"/>
        <v>0</v>
      </c>
      <c r="N637">
        <f t="shared" si="119"/>
        <v>0</v>
      </c>
    </row>
    <row r="638" spans="1:14" x14ac:dyDescent="0.35">
      <c r="A638" s="17">
        <v>45797</v>
      </c>
      <c r="B638">
        <f>AVERAGE(Tableau2[[#This Row],[AWB]:[IAM]])</f>
        <v>1.4856412918734511E-2</v>
      </c>
      <c r="C638">
        <f t="shared" si="108"/>
        <v>0</v>
      </c>
      <c r="D638">
        <f t="shared" si="109"/>
        <v>0</v>
      </c>
      <c r="E638">
        <f t="shared" si="110"/>
        <v>0</v>
      </c>
      <c r="F638">
        <f t="shared" si="111"/>
        <v>0</v>
      </c>
      <c r="G638">
        <f t="shared" si="112"/>
        <v>1</v>
      </c>
      <c r="H638">
        <f t="shared" si="113"/>
        <v>0</v>
      </c>
      <c r="I638">
        <f t="shared" si="114"/>
        <v>0</v>
      </c>
      <c r="J638">
        <f t="shared" si="115"/>
        <v>0</v>
      </c>
      <c r="K638">
        <f t="shared" si="116"/>
        <v>0</v>
      </c>
      <c r="L638">
        <f t="shared" si="117"/>
        <v>0</v>
      </c>
      <c r="M638">
        <f t="shared" si="118"/>
        <v>0</v>
      </c>
      <c r="N638">
        <f t="shared" si="119"/>
        <v>0</v>
      </c>
    </row>
    <row r="639" spans="1:14" x14ac:dyDescent="0.35">
      <c r="A639" s="17">
        <v>45798</v>
      </c>
      <c r="B639">
        <f>AVERAGE(Tableau2[[#This Row],[AWB]:[IAM]])</f>
        <v>3.0705618644098738E-3</v>
      </c>
      <c r="C639">
        <f t="shared" si="108"/>
        <v>0</v>
      </c>
      <c r="D639">
        <f t="shared" si="109"/>
        <v>0</v>
      </c>
      <c r="E639">
        <f t="shared" si="110"/>
        <v>0</v>
      </c>
      <c r="F639">
        <f t="shared" si="111"/>
        <v>0</v>
      </c>
      <c r="G639">
        <f t="shared" si="112"/>
        <v>1</v>
      </c>
      <c r="H639">
        <f t="shared" si="113"/>
        <v>0</v>
      </c>
      <c r="I639">
        <f t="shared" si="114"/>
        <v>0</v>
      </c>
      <c r="J639">
        <f t="shared" si="115"/>
        <v>0</v>
      </c>
      <c r="K639">
        <f t="shared" si="116"/>
        <v>0</v>
      </c>
      <c r="L639">
        <f t="shared" si="117"/>
        <v>0</v>
      </c>
      <c r="M639">
        <f t="shared" si="118"/>
        <v>0</v>
      </c>
      <c r="N639">
        <f t="shared" si="119"/>
        <v>0</v>
      </c>
    </row>
    <row r="640" spans="1:14" x14ac:dyDescent="0.35">
      <c r="A640" s="17">
        <v>45799</v>
      </c>
      <c r="B640">
        <f>AVERAGE(Tableau2[[#This Row],[AWB]:[IAM]])</f>
        <v>3.7942212256211519E-3</v>
      </c>
      <c r="C640">
        <f t="shared" si="108"/>
        <v>0</v>
      </c>
      <c r="D640">
        <f t="shared" si="109"/>
        <v>0</v>
      </c>
      <c r="E640">
        <f t="shared" si="110"/>
        <v>0</v>
      </c>
      <c r="F640">
        <f t="shared" si="111"/>
        <v>0</v>
      </c>
      <c r="G640">
        <f t="shared" si="112"/>
        <v>1</v>
      </c>
      <c r="H640">
        <f t="shared" si="113"/>
        <v>0</v>
      </c>
      <c r="I640">
        <f t="shared" si="114"/>
        <v>0</v>
      </c>
      <c r="J640">
        <f t="shared" si="115"/>
        <v>0</v>
      </c>
      <c r="K640">
        <f t="shared" si="116"/>
        <v>0</v>
      </c>
      <c r="L640">
        <f t="shared" si="117"/>
        <v>0</v>
      </c>
      <c r="M640">
        <f t="shared" si="118"/>
        <v>0</v>
      </c>
      <c r="N640">
        <f t="shared" si="119"/>
        <v>0</v>
      </c>
    </row>
    <row r="641" spans="1:14" x14ac:dyDescent="0.35">
      <c r="A641" s="17">
        <v>45800</v>
      </c>
      <c r="B641">
        <f>AVERAGE(Tableau2[[#This Row],[AWB]:[IAM]])</f>
        <v>-5.5546583002897406E-3</v>
      </c>
      <c r="C641">
        <f t="shared" si="108"/>
        <v>0</v>
      </c>
      <c r="D641">
        <f t="shared" si="109"/>
        <v>0</v>
      </c>
      <c r="E641">
        <f t="shared" si="110"/>
        <v>0</v>
      </c>
      <c r="F641">
        <f t="shared" si="111"/>
        <v>0</v>
      </c>
      <c r="G641">
        <f t="shared" si="112"/>
        <v>1</v>
      </c>
      <c r="H641">
        <f t="shared" si="113"/>
        <v>0</v>
      </c>
      <c r="I641">
        <f t="shared" si="114"/>
        <v>0</v>
      </c>
      <c r="J641">
        <f t="shared" si="115"/>
        <v>0</v>
      </c>
      <c r="K641">
        <f t="shared" si="116"/>
        <v>0</v>
      </c>
      <c r="L641">
        <f t="shared" si="117"/>
        <v>0</v>
      </c>
      <c r="M641">
        <f t="shared" si="118"/>
        <v>0</v>
      </c>
      <c r="N641">
        <f t="shared" si="119"/>
        <v>0</v>
      </c>
    </row>
    <row r="642" spans="1:14" x14ac:dyDescent="0.35">
      <c r="A642" s="17">
        <v>45804</v>
      </c>
      <c r="B642">
        <f>AVERAGE(Tableau2[[#This Row],[AWB]:[IAM]])</f>
        <v>-1.0212851880904089E-2</v>
      </c>
      <c r="C642">
        <f t="shared" ref="C642:C705" si="120">IF(MONTH(A642)=1,1,0)</f>
        <v>0</v>
      </c>
      <c r="D642">
        <f t="shared" ref="D642:D705" si="121">IF(MONTH(A642)=2,1,0)</f>
        <v>0</v>
      </c>
      <c r="E642">
        <f t="shared" ref="E642:E705" si="122">IF(MONTH(A642)=3,1,0)</f>
        <v>0</v>
      </c>
      <c r="F642">
        <f t="shared" ref="F642:F705" si="123">IF(MONTH(A642)=4,1,0)</f>
        <v>0</v>
      </c>
      <c r="G642">
        <f t="shared" ref="G642:G705" si="124">IF(MONTH(A642)=5,1,0)</f>
        <v>1</v>
      </c>
      <c r="H642">
        <f t="shared" ref="H642:H705" si="125">IF(MONTH(A642)=6,1,0)</f>
        <v>0</v>
      </c>
      <c r="I642">
        <f t="shared" ref="I642:I705" si="126">IF(MONTH(A642)=7,1,0)</f>
        <v>0</v>
      </c>
      <c r="J642">
        <f t="shared" ref="J642:J705" si="127">IF(MONTH(A642)=8,1,0)</f>
        <v>0</v>
      </c>
      <c r="K642">
        <f t="shared" ref="K642:K705" si="128">IF(MONTH(A642)=9,1,0)</f>
        <v>0</v>
      </c>
      <c r="L642">
        <f t="shared" ref="L642:L705" si="129">IF(MONTH(A642)=10,1,0)</f>
        <v>0</v>
      </c>
      <c r="M642">
        <f t="shared" ref="M642:M705" si="130">IF(MONTH(A642)=11,1,0)</f>
        <v>0</v>
      </c>
      <c r="N642">
        <f t="shared" ref="N642:N705" si="131">IF(MONTH(A642)=12,1,0)</f>
        <v>0</v>
      </c>
    </row>
    <row r="643" spans="1:14" x14ac:dyDescent="0.35">
      <c r="A643" s="17">
        <v>45805</v>
      </c>
      <c r="B643">
        <f>AVERAGE(Tableau2[[#This Row],[AWB]:[IAM]])</f>
        <v>-3.2444653705778139E-3</v>
      </c>
      <c r="C643">
        <f t="shared" si="120"/>
        <v>0</v>
      </c>
      <c r="D643">
        <f t="shared" si="121"/>
        <v>0</v>
      </c>
      <c r="E643">
        <f t="shared" si="122"/>
        <v>0</v>
      </c>
      <c r="F643">
        <f t="shared" si="123"/>
        <v>0</v>
      </c>
      <c r="G643">
        <f t="shared" si="124"/>
        <v>1</v>
      </c>
      <c r="H643">
        <f t="shared" si="125"/>
        <v>0</v>
      </c>
      <c r="I643">
        <f t="shared" si="126"/>
        <v>0</v>
      </c>
      <c r="J643">
        <f t="shared" si="127"/>
        <v>0</v>
      </c>
      <c r="K643">
        <f t="shared" si="128"/>
        <v>0</v>
      </c>
      <c r="L643">
        <f t="shared" si="129"/>
        <v>0</v>
      </c>
      <c r="M643">
        <f t="shared" si="130"/>
        <v>0</v>
      </c>
      <c r="N643">
        <f t="shared" si="131"/>
        <v>0</v>
      </c>
    </row>
    <row r="644" spans="1:14" x14ac:dyDescent="0.35">
      <c r="A644" s="17">
        <v>45807</v>
      </c>
      <c r="B644">
        <f>AVERAGE(Tableau2[[#This Row],[AWB]:[IAM]])</f>
        <v>1.237509506192686E-2</v>
      </c>
      <c r="C644">
        <f t="shared" si="120"/>
        <v>0</v>
      </c>
      <c r="D644">
        <f t="shared" si="121"/>
        <v>0</v>
      </c>
      <c r="E644">
        <f t="shared" si="122"/>
        <v>0</v>
      </c>
      <c r="F644">
        <f t="shared" si="123"/>
        <v>0</v>
      </c>
      <c r="G644">
        <f t="shared" si="124"/>
        <v>1</v>
      </c>
      <c r="H644">
        <f t="shared" si="125"/>
        <v>0</v>
      </c>
      <c r="I644">
        <f t="shared" si="126"/>
        <v>0</v>
      </c>
      <c r="J644">
        <f t="shared" si="127"/>
        <v>0</v>
      </c>
      <c r="K644">
        <f t="shared" si="128"/>
        <v>0</v>
      </c>
      <c r="L644">
        <f t="shared" si="129"/>
        <v>0</v>
      </c>
      <c r="M644">
        <f t="shared" si="130"/>
        <v>0</v>
      </c>
      <c r="N644">
        <f t="shared" si="131"/>
        <v>0</v>
      </c>
    </row>
    <row r="645" spans="1:14" x14ac:dyDescent="0.35">
      <c r="A645" s="17">
        <v>45810</v>
      </c>
      <c r="B645">
        <f>AVERAGE(Tableau2[[#This Row],[AWB]:[IAM]])</f>
        <v>1.3206229104141856E-2</v>
      </c>
      <c r="C645">
        <f t="shared" si="120"/>
        <v>0</v>
      </c>
      <c r="D645">
        <f t="shared" si="121"/>
        <v>0</v>
      </c>
      <c r="E645">
        <f t="shared" si="122"/>
        <v>0</v>
      </c>
      <c r="F645">
        <f t="shared" si="123"/>
        <v>0</v>
      </c>
      <c r="G645">
        <f t="shared" si="124"/>
        <v>0</v>
      </c>
      <c r="H645">
        <f t="shared" si="125"/>
        <v>1</v>
      </c>
      <c r="I645">
        <f t="shared" si="126"/>
        <v>0</v>
      </c>
      <c r="J645">
        <f t="shared" si="127"/>
        <v>0</v>
      </c>
      <c r="K645">
        <f t="shared" si="128"/>
        <v>0</v>
      </c>
      <c r="L645">
        <f t="shared" si="129"/>
        <v>0</v>
      </c>
      <c r="M645">
        <f t="shared" si="130"/>
        <v>0</v>
      </c>
      <c r="N645">
        <f t="shared" si="131"/>
        <v>0</v>
      </c>
    </row>
    <row r="646" spans="1:14" x14ac:dyDescent="0.35">
      <c r="A646" s="17">
        <v>45812</v>
      </c>
      <c r="B646">
        <f>AVERAGE(Tableau2[[#This Row],[AWB]:[IAM]])</f>
        <v>2.4468107377118433E-2</v>
      </c>
      <c r="C646">
        <f t="shared" si="120"/>
        <v>0</v>
      </c>
      <c r="D646">
        <f t="shared" si="121"/>
        <v>0</v>
      </c>
      <c r="E646">
        <f t="shared" si="122"/>
        <v>0</v>
      </c>
      <c r="F646">
        <f t="shared" si="123"/>
        <v>0</v>
      </c>
      <c r="G646">
        <f t="shared" si="124"/>
        <v>0</v>
      </c>
      <c r="H646">
        <f t="shared" si="125"/>
        <v>1</v>
      </c>
      <c r="I646">
        <f t="shared" si="126"/>
        <v>0</v>
      </c>
      <c r="J646">
        <f t="shared" si="127"/>
        <v>0</v>
      </c>
      <c r="K646">
        <f t="shared" si="128"/>
        <v>0</v>
      </c>
      <c r="L646">
        <f t="shared" si="129"/>
        <v>0</v>
      </c>
      <c r="M646">
        <f t="shared" si="130"/>
        <v>0</v>
      </c>
      <c r="N646">
        <f t="shared" si="131"/>
        <v>0</v>
      </c>
    </row>
    <row r="647" spans="1:14" x14ac:dyDescent="0.35">
      <c r="A647" s="17">
        <v>45813</v>
      </c>
      <c r="B647">
        <f>AVERAGE(Tableau2[[#This Row],[AWB]:[IAM]])</f>
        <v>9.0543035825962574E-3</v>
      </c>
      <c r="C647">
        <f t="shared" si="120"/>
        <v>0</v>
      </c>
      <c r="D647">
        <f t="shared" si="121"/>
        <v>0</v>
      </c>
      <c r="E647">
        <f t="shared" si="122"/>
        <v>0</v>
      </c>
      <c r="F647">
        <f t="shared" si="123"/>
        <v>0</v>
      </c>
      <c r="G647">
        <f t="shared" si="124"/>
        <v>0</v>
      </c>
      <c r="H647">
        <f t="shared" si="125"/>
        <v>1</v>
      </c>
      <c r="I647">
        <f t="shared" si="126"/>
        <v>0</v>
      </c>
      <c r="J647">
        <f t="shared" si="127"/>
        <v>0</v>
      </c>
      <c r="K647">
        <f t="shared" si="128"/>
        <v>0</v>
      </c>
      <c r="L647">
        <f t="shared" si="129"/>
        <v>0</v>
      </c>
      <c r="M647">
        <f t="shared" si="130"/>
        <v>0</v>
      </c>
      <c r="N647">
        <f t="shared" si="131"/>
        <v>0</v>
      </c>
    </row>
    <row r="648" spans="1:14" x14ac:dyDescent="0.35">
      <c r="A648" s="17">
        <v>45814</v>
      </c>
      <c r="B648">
        <f>AVERAGE(Tableau2[[#This Row],[AWB]:[IAM]])</f>
        <v>-1.2537203152032973E-3</v>
      </c>
      <c r="C648">
        <f t="shared" si="120"/>
        <v>0</v>
      </c>
      <c r="D648">
        <f t="shared" si="121"/>
        <v>0</v>
      </c>
      <c r="E648">
        <f t="shared" si="122"/>
        <v>0</v>
      </c>
      <c r="F648">
        <f t="shared" si="123"/>
        <v>0</v>
      </c>
      <c r="G648">
        <f t="shared" si="124"/>
        <v>0</v>
      </c>
      <c r="H648">
        <f t="shared" si="125"/>
        <v>1</v>
      </c>
      <c r="I648">
        <f t="shared" si="126"/>
        <v>0</v>
      </c>
      <c r="J648">
        <f t="shared" si="127"/>
        <v>0</v>
      </c>
      <c r="K648">
        <f t="shared" si="128"/>
        <v>0</v>
      </c>
      <c r="L648">
        <f t="shared" si="129"/>
        <v>0</v>
      </c>
      <c r="M648">
        <f t="shared" si="130"/>
        <v>0</v>
      </c>
      <c r="N648">
        <f t="shared" si="131"/>
        <v>0</v>
      </c>
    </row>
    <row r="649" spans="1:14" x14ac:dyDescent="0.35">
      <c r="A649" s="17">
        <v>45818</v>
      </c>
      <c r="B649">
        <f>AVERAGE(Tableau2[[#This Row],[AWB]:[IAM]])</f>
        <v>1.6744943638423181E-3</v>
      </c>
      <c r="C649">
        <f t="shared" si="120"/>
        <v>0</v>
      </c>
      <c r="D649">
        <f t="shared" si="121"/>
        <v>0</v>
      </c>
      <c r="E649">
        <f t="shared" si="122"/>
        <v>0</v>
      </c>
      <c r="F649">
        <f t="shared" si="123"/>
        <v>0</v>
      </c>
      <c r="G649">
        <f t="shared" si="124"/>
        <v>0</v>
      </c>
      <c r="H649">
        <f t="shared" si="125"/>
        <v>1</v>
      </c>
      <c r="I649">
        <f t="shared" si="126"/>
        <v>0</v>
      </c>
      <c r="J649">
        <f t="shared" si="127"/>
        <v>0</v>
      </c>
      <c r="K649">
        <f t="shared" si="128"/>
        <v>0</v>
      </c>
      <c r="L649">
        <f t="shared" si="129"/>
        <v>0</v>
      </c>
      <c r="M649">
        <f t="shared" si="130"/>
        <v>0</v>
      </c>
      <c r="N649">
        <f t="shared" si="131"/>
        <v>0</v>
      </c>
    </row>
    <row r="650" spans="1:14" x14ac:dyDescent="0.35">
      <c r="A650" s="17">
        <v>45820</v>
      </c>
      <c r="B650">
        <f>AVERAGE(Tableau2[[#This Row],[AWB]:[IAM]])</f>
        <v>-1.0787038295465847E-2</v>
      </c>
      <c r="C650">
        <f t="shared" si="120"/>
        <v>0</v>
      </c>
      <c r="D650">
        <f t="shared" si="121"/>
        <v>0</v>
      </c>
      <c r="E650">
        <f t="shared" si="122"/>
        <v>0</v>
      </c>
      <c r="F650">
        <f t="shared" si="123"/>
        <v>0</v>
      </c>
      <c r="G650">
        <f t="shared" si="124"/>
        <v>0</v>
      </c>
      <c r="H650">
        <f t="shared" si="125"/>
        <v>1</v>
      </c>
      <c r="I650">
        <f t="shared" si="126"/>
        <v>0</v>
      </c>
      <c r="J650">
        <f t="shared" si="127"/>
        <v>0</v>
      </c>
      <c r="K650">
        <f t="shared" si="128"/>
        <v>0</v>
      </c>
      <c r="L650">
        <f t="shared" si="129"/>
        <v>0</v>
      </c>
      <c r="M650">
        <f t="shared" si="130"/>
        <v>0</v>
      </c>
      <c r="N650">
        <f t="shared" si="131"/>
        <v>0</v>
      </c>
    </row>
    <row r="651" spans="1:14" x14ac:dyDescent="0.35">
      <c r="A651" s="17">
        <v>45821</v>
      </c>
      <c r="B651">
        <f>AVERAGE(Tableau2[[#This Row],[AWB]:[IAM]])</f>
        <v>-9.5056912273083546E-3</v>
      </c>
      <c r="C651">
        <f t="shared" si="120"/>
        <v>0</v>
      </c>
      <c r="D651">
        <f t="shared" si="121"/>
        <v>0</v>
      </c>
      <c r="E651">
        <f t="shared" si="122"/>
        <v>0</v>
      </c>
      <c r="F651">
        <f t="shared" si="123"/>
        <v>0</v>
      </c>
      <c r="G651">
        <f t="shared" si="124"/>
        <v>0</v>
      </c>
      <c r="H651">
        <f t="shared" si="125"/>
        <v>1</v>
      </c>
      <c r="I651">
        <f t="shared" si="126"/>
        <v>0</v>
      </c>
      <c r="J651">
        <f t="shared" si="127"/>
        <v>0</v>
      </c>
      <c r="K651">
        <f t="shared" si="128"/>
        <v>0</v>
      </c>
      <c r="L651">
        <f t="shared" si="129"/>
        <v>0</v>
      </c>
      <c r="M651">
        <f t="shared" si="130"/>
        <v>0</v>
      </c>
      <c r="N651">
        <f t="shared" si="131"/>
        <v>0</v>
      </c>
    </row>
    <row r="652" spans="1:14" x14ac:dyDescent="0.35">
      <c r="A652" s="17">
        <v>45824</v>
      </c>
      <c r="B652">
        <f>AVERAGE(Tableau2[[#This Row],[AWB]:[IAM]])</f>
        <v>-8.4414025545174205E-3</v>
      </c>
      <c r="C652">
        <f t="shared" si="120"/>
        <v>0</v>
      </c>
      <c r="D652">
        <f t="shared" si="121"/>
        <v>0</v>
      </c>
      <c r="E652">
        <f t="shared" si="122"/>
        <v>0</v>
      </c>
      <c r="F652">
        <f t="shared" si="123"/>
        <v>0</v>
      </c>
      <c r="G652">
        <f t="shared" si="124"/>
        <v>0</v>
      </c>
      <c r="H652">
        <f t="shared" si="125"/>
        <v>1</v>
      </c>
      <c r="I652">
        <f t="shared" si="126"/>
        <v>0</v>
      </c>
      <c r="J652">
        <f t="shared" si="127"/>
        <v>0</v>
      </c>
      <c r="K652">
        <f t="shared" si="128"/>
        <v>0</v>
      </c>
      <c r="L652">
        <f t="shared" si="129"/>
        <v>0</v>
      </c>
      <c r="M652">
        <f t="shared" si="130"/>
        <v>0</v>
      </c>
      <c r="N652">
        <f t="shared" si="131"/>
        <v>0</v>
      </c>
    </row>
    <row r="653" spans="1:14" x14ac:dyDescent="0.35">
      <c r="A653" s="17">
        <v>45825</v>
      </c>
      <c r="B653">
        <f>AVERAGE(Tableau2[[#This Row],[AWB]:[IAM]])</f>
        <v>-4.5673940225687193E-3</v>
      </c>
      <c r="C653">
        <f t="shared" si="120"/>
        <v>0</v>
      </c>
      <c r="D653">
        <f t="shared" si="121"/>
        <v>0</v>
      </c>
      <c r="E653">
        <f t="shared" si="122"/>
        <v>0</v>
      </c>
      <c r="F653">
        <f t="shared" si="123"/>
        <v>0</v>
      </c>
      <c r="G653">
        <f t="shared" si="124"/>
        <v>0</v>
      </c>
      <c r="H653">
        <f t="shared" si="125"/>
        <v>1</v>
      </c>
      <c r="I653">
        <f t="shared" si="126"/>
        <v>0</v>
      </c>
      <c r="J653">
        <f t="shared" si="127"/>
        <v>0</v>
      </c>
      <c r="K653">
        <f t="shared" si="128"/>
        <v>0</v>
      </c>
      <c r="L653">
        <f t="shared" si="129"/>
        <v>0</v>
      </c>
      <c r="M653">
        <f t="shared" si="130"/>
        <v>0</v>
      </c>
      <c r="N653">
        <f t="shared" si="131"/>
        <v>0</v>
      </c>
    </row>
    <row r="654" spans="1:14" x14ac:dyDescent="0.35">
      <c r="A654" s="17">
        <v>45827</v>
      </c>
      <c r="B654">
        <f>AVERAGE(Tableau2[[#This Row],[AWB]:[IAM]])</f>
        <v>-2.3166581709290431E-2</v>
      </c>
      <c r="C654">
        <f t="shared" si="120"/>
        <v>0</v>
      </c>
      <c r="D654">
        <f t="shared" si="121"/>
        <v>0</v>
      </c>
      <c r="E654">
        <f t="shared" si="122"/>
        <v>0</v>
      </c>
      <c r="F654">
        <f t="shared" si="123"/>
        <v>0</v>
      </c>
      <c r="G654">
        <f t="shared" si="124"/>
        <v>0</v>
      </c>
      <c r="H654">
        <f t="shared" si="125"/>
        <v>1</v>
      </c>
      <c r="I654">
        <f t="shared" si="126"/>
        <v>0</v>
      </c>
      <c r="J654">
        <f t="shared" si="127"/>
        <v>0</v>
      </c>
      <c r="K654">
        <f t="shared" si="128"/>
        <v>0</v>
      </c>
      <c r="L654">
        <f t="shared" si="129"/>
        <v>0</v>
      </c>
      <c r="M654">
        <f t="shared" si="130"/>
        <v>0</v>
      </c>
      <c r="N654">
        <f t="shared" si="131"/>
        <v>0</v>
      </c>
    </row>
    <row r="655" spans="1:14" x14ac:dyDescent="0.35">
      <c r="A655" s="17">
        <v>45828</v>
      </c>
      <c r="B655">
        <f>AVERAGE(Tableau2[[#This Row],[AWB]:[IAM]])</f>
        <v>1.9341196736946637E-2</v>
      </c>
      <c r="C655">
        <f t="shared" si="120"/>
        <v>0</v>
      </c>
      <c r="D655">
        <f t="shared" si="121"/>
        <v>0</v>
      </c>
      <c r="E655">
        <f t="shared" si="122"/>
        <v>0</v>
      </c>
      <c r="F655">
        <f t="shared" si="123"/>
        <v>0</v>
      </c>
      <c r="G655">
        <f t="shared" si="124"/>
        <v>0</v>
      </c>
      <c r="H655">
        <f t="shared" si="125"/>
        <v>1</v>
      </c>
      <c r="I655">
        <f t="shared" si="126"/>
        <v>0</v>
      </c>
      <c r="J655">
        <f t="shared" si="127"/>
        <v>0</v>
      </c>
      <c r="K655">
        <f t="shared" si="128"/>
        <v>0</v>
      </c>
      <c r="L655">
        <f t="shared" si="129"/>
        <v>0</v>
      </c>
      <c r="M655">
        <f t="shared" si="130"/>
        <v>0</v>
      </c>
      <c r="N655">
        <f t="shared" si="131"/>
        <v>0</v>
      </c>
    </row>
    <row r="656" spans="1:14" x14ac:dyDescent="0.35">
      <c r="A656" s="17">
        <v>45831</v>
      </c>
      <c r="B656">
        <f>AVERAGE(Tableau2[[#This Row],[AWB]:[IAM]])</f>
        <v>-5.9269588454096724E-3</v>
      </c>
      <c r="C656">
        <f t="shared" si="120"/>
        <v>0</v>
      </c>
      <c r="D656">
        <f t="shared" si="121"/>
        <v>0</v>
      </c>
      <c r="E656">
        <f t="shared" si="122"/>
        <v>0</v>
      </c>
      <c r="F656">
        <f t="shared" si="123"/>
        <v>0</v>
      </c>
      <c r="G656">
        <f t="shared" si="124"/>
        <v>0</v>
      </c>
      <c r="H656">
        <f t="shared" si="125"/>
        <v>1</v>
      </c>
      <c r="I656">
        <f t="shared" si="126"/>
        <v>0</v>
      </c>
      <c r="J656">
        <f t="shared" si="127"/>
        <v>0</v>
      </c>
      <c r="K656">
        <f t="shared" si="128"/>
        <v>0</v>
      </c>
      <c r="L656">
        <f t="shared" si="129"/>
        <v>0</v>
      </c>
      <c r="M656">
        <f t="shared" si="130"/>
        <v>0</v>
      </c>
      <c r="N656">
        <f t="shared" si="131"/>
        <v>0</v>
      </c>
    </row>
    <row r="657" spans="1:14" x14ac:dyDescent="0.35">
      <c r="A657" s="17">
        <v>45832</v>
      </c>
      <c r="B657">
        <f>AVERAGE(Tableau2[[#This Row],[AWB]:[IAM]])</f>
        <v>2.6028516872473255E-2</v>
      </c>
      <c r="C657">
        <f t="shared" si="120"/>
        <v>0</v>
      </c>
      <c r="D657">
        <f t="shared" si="121"/>
        <v>0</v>
      </c>
      <c r="E657">
        <f t="shared" si="122"/>
        <v>0</v>
      </c>
      <c r="F657">
        <f t="shared" si="123"/>
        <v>0</v>
      </c>
      <c r="G657">
        <f t="shared" si="124"/>
        <v>0</v>
      </c>
      <c r="H657">
        <f t="shared" si="125"/>
        <v>1</v>
      </c>
      <c r="I657">
        <f t="shared" si="126"/>
        <v>0</v>
      </c>
      <c r="J657">
        <f t="shared" si="127"/>
        <v>0</v>
      </c>
      <c r="K657">
        <f t="shared" si="128"/>
        <v>0</v>
      </c>
      <c r="L657">
        <f t="shared" si="129"/>
        <v>0</v>
      </c>
      <c r="M657">
        <f t="shared" si="130"/>
        <v>0</v>
      </c>
      <c r="N657">
        <f t="shared" si="131"/>
        <v>0</v>
      </c>
    </row>
    <row r="658" spans="1:14" x14ac:dyDescent="0.35">
      <c r="A658" s="17">
        <v>45833</v>
      </c>
      <c r="B658">
        <f>AVERAGE(Tableau2[[#This Row],[AWB]:[IAM]])</f>
        <v>9.745879841175845E-3</v>
      </c>
      <c r="C658">
        <f t="shared" si="120"/>
        <v>0</v>
      </c>
      <c r="D658">
        <f t="shared" si="121"/>
        <v>0</v>
      </c>
      <c r="E658">
        <f t="shared" si="122"/>
        <v>0</v>
      </c>
      <c r="F658">
        <f t="shared" si="123"/>
        <v>0</v>
      </c>
      <c r="G658">
        <f t="shared" si="124"/>
        <v>0</v>
      </c>
      <c r="H658">
        <f t="shared" si="125"/>
        <v>1</v>
      </c>
      <c r="I658">
        <f t="shared" si="126"/>
        <v>0</v>
      </c>
      <c r="J658">
        <f t="shared" si="127"/>
        <v>0</v>
      </c>
      <c r="K658">
        <f t="shared" si="128"/>
        <v>0</v>
      </c>
      <c r="L658">
        <f t="shared" si="129"/>
        <v>0</v>
      </c>
      <c r="M658">
        <f t="shared" si="130"/>
        <v>0</v>
      </c>
      <c r="N658">
        <f t="shared" si="131"/>
        <v>0</v>
      </c>
    </row>
    <row r="659" spans="1:14" x14ac:dyDescent="0.35">
      <c r="A659" s="17">
        <v>45834</v>
      </c>
      <c r="B659">
        <f>AVERAGE(Tableau2[[#This Row],[AWB]:[IAM]])</f>
        <v>-6.399913443810158E-4</v>
      </c>
      <c r="C659">
        <f t="shared" si="120"/>
        <v>0</v>
      </c>
      <c r="D659">
        <f t="shared" si="121"/>
        <v>0</v>
      </c>
      <c r="E659">
        <f t="shared" si="122"/>
        <v>0</v>
      </c>
      <c r="F659">
        <f t="shared" si="123"/>
        <v>0</v>
      </c>
      <c r="G659">
        <f t="shared" si="124"/>
        <v>0</v>
      </c>
      <c r="H659">
        <f t="shared" si="125"/>
        <v>1</v>
      </c>
      <c r="I659">
        <f t="shared" si="126"/>
        <v>0</v>
      </c>
      <c r="J659">
        <f t="shared" si="127"/>
        <v>0</v>
      </c>
      <c r="K659">
        <f t="shared" si="128"/>
        <v>0</v>
      </c>
      <c r="L659">
        <f t="shared" si="129"/>
        <v>0</v>
      </c>
      <c r="M659">
        <f t="shared" si="130"/>
        <v>0</v>
      </c>
      <c r="N659">
        <f t="shared" si="131"/>
        <v>0</v>
      </c>
    </row>
    <row r="660" spans="1:14" x14ac:dyDescent="0.35">
      <c r="A660" s="17">
        <v>45838</v>
      </c>
      <c r="B660">
        <f>AVERAGE(Tableau2[[#This Row],[AWB]:[IAM]])</f>
        <v>-5.2573590720034237E-3</v>
      </c>
      <c r="C660">
        <f t="shared" si="120"/>
        <v>0</v>
      </c>
      <c r="D660">
        <f t="shared" si="121"/>
        <v>0</v>
      </c>
      <c r="E660">
        <f t="shared" si="122"/>
        <v>0</v>
      </c>
      <c r="F660">
        <f t="shared" si="123"/>
        <v>0</v>
      </c>
      <c r="G660">
        <f t="shared" si="124"/>
        <v>0</v>
      </c>
      <c r="H660">
        <f t="shared" si="125"/>
        <v>1</v>
      </c>
      <c r="I660">
        <f t="shared" si="126"/>
        <v>0</v>
      </c>
      <c r="J660">
        <f t="shared" si="127"/>
        <v>0</v>
      </c>
      <c r="K660">
        <f t="shared" si="128"/>
        <v>0</v>
      </c>
      <c r="L660">
        <f t="shared" si="129"/>
        <v>0</v>
      </c>
      <c r="M660">
        <f t="shared" si="130"/>
        <v>0</v>
      </c>
      <c r="N660">
        <f t="shared" si="131"/>
        <v>0</v>
      </c>
    </row>
    <row r="661" spans="1:14" x14ac:dyDescent="0.35">
      <c r="A661" s="17">
        <v>45841</v>
      </c>
      <c r="B661">
        <f>AVERAGE(Tableau2[[#This Row],[AWB]:[IAM]])</f>
        <v>1.7332028324755711E-2</v>
      </c>
      <c r="C661">
        <f t="shared" si="120"/>
        <v>0</v>
      </c>
      <c r="D661">
        <f t="shared" si="121"/>
        <v>0</v>
      </c>
      <c r="E661">
        <f t="shared" si="122"/>
        <v>0</v>
      </c>
      <c r="F661">
        <f t="shared" si="123"/>
        <v>0</v>
      </c>
      <c r="G661">
        <f t="shared" si="124"/>
        <v>0</v>
      </c>
      <c r="H661">
        <f t="shared" si="125"/>
        <v>0</v>
      </c>
      <c r="I661">
        <f t="shared" si="126"/>
        <v>1</v>
      </c>
      <c r="J661">
        <f t="shared" si="127"/>
        <v>0</v>
      </c>
      <c r="K661">
        <f t="shared" si="128"/>
        <v>0</v>
      </c>
      <c r="L661">
        <f t="shared" si="129"/>
        <v>0</v>
      </c>
      <c r="M661">
        <f t="shared" si="130"/>
        <v>0</v>
      </c>
      <c r="N661">
        <f t="shared" si="131"/>
        <v>0</v>
      </c>
    </row>
    <row r="662" spans="1:14" x14ac:dyDescent="0.35">
      <c r="A662" s="17">
        <v>45842</v>
      </c>
      <c r="B662">
        <f>AVERAGE(Tableau2[[#This Row],[AWB]:[IAM]])</f>
        <v>4.3084168125686936E-3</v>
      </c>
      <c r="C662">
        <f t="shared" si="120"/>
        <v>0</v>
      </c>
      <c r="D662">
        <f t="shared" si="121"/>
        <v>0</v>
      </c>
      <c r="E662">
        <f t="shared" si="122"/>
        <v>0</v>
      </c>
      <c r="F662">
        <f t="shared" si="123"/>
        <v>0</v>
      </c>
      <c r="G662">
        <f t="shared" si="124"/>
        <v>0</v>
      </c>
      <c r="H662">
        <f t="shared" si="125"/>
        <v>0</v>
      </c>
      <c r="I662">
        <f t="shared" si="126"/>
        <v>1</v>
      </c>
      <c r="J662">
        <f t="shared" si="127"/>
        <v>0</v>
      </c>
      <c r="K662">
        <f t="shared" si="128"/>
        <v>0</v>
      </c>
      <c r="L662">
        <f t="shared" si="129"/>
        <v>0</v>
      </c>
      <c r="M662">
        <f t="shared" si="130"/>
        <v>0</v>
      </c>
      <c r="N662">
        <f t="shared" si="131"/>
        <v>0</v>
      </c>
    </row>
    <row r="663" spans="1:14" x14ac:dyDescent="0.35">
      <c r="A663" s="17">
        <v>45845</v>
      </c>
      <c r="B663">
        <f>AVERAGE(Tableau2[[#This Row],[AWB]:[IAM]])</f>
        <v>2.747715434102951E-3</v>
      </c>
      <c r="C663">
        <f t="shared" si="120"/>
        <v>0</v>
      </c>
      <c r="D663">
        <f t="shared" si="121"/>
        <v>0</v>
      </c>
      <c r="E663">
        <f t="shared" si="122"/>
        <v>0</v>
      </c>
      <c r="F663">
        <f t="shared" si="123"/>
        <v>0</v>
      </c>
      <c r="G663">
        <f t="shared" si="124"/>
        <v>0</v>
      </c>
      <c r="H663">
        <f t="shared" si="125"/>
        <v>0</v>
      </c>
      <c r="I663">
        <f t="shared" si="126"/>
        <v>1</v>
      </c>
      <c r="J663">
        <f t="shared" si="127"/>
        <v>0</v>
      </c>
      <c r="K663">
        <f t="shared" si="128"/>
        <v>0</v>
      </c>
      <c r="L663">
        <f t="shared" si="129"/>
        <v>0</v>
      </c>
      <c r="M663">
        <f t="shared" si="130"/>
        <v>0</v>
      </c>
      <c r="N663">
        <f t="shared" si="131"/>
        <v>0</v>
      </c>
    </row>
    <row r="664" spans="1:14" x14ac:dyDescent="0.35">
      <c r="A664" s="17">
        <v>45847</v>
      </c>
      <c r="B664">
        <f>AVERAGE(Tableau2[[#This Row],[AWB]:[IAM]])</f>
        <v>-3.0303571831294683E-4</v>
      </c>
      <c r="C664">
        <f t="shared" si="120"/>
        <v>0</v>
      </c>
      <c r="D664">
        <f t="shared" si="121"/>
        <v>0</v>
      </c>
      <c r="E664">
        <f t="shared" si="122"/>
        <v>0</v>
      </c>
      <c r="F664">
        <f t="shared" si="123"/>
        <v>0</v>
      </c>
      <c r="G664">
        <f t="shared" si="124"/>
        <v>0</v>
      </c>
      <c r="H664">
        <f t="shared" si="125"/>
        <v>0</v>
      </c>
      <c r="I664">
        <f t="shared" si="126"/>
        <v>1</v>
      </c>
      <c r="J664">
        <f t="shared" si="127"/>
        <v>0</v>
      </c>
      <c r="K664">
        <f t="shared" si="128"/>
        <v>0</v>
      </c>
      <c r="L664">
        <f t="shared" si="129"/>
        <v>0</v>
      </c>
      <c r="M664">
        <f t="shared" si="130"/>
        <v>0</v>
      </c>
      <c r="N664">
        <f t="shared" si="131"/>
        <v>0</v>
      </c>
    </row>
    <row r="665" spans="1:14" x14ac:dyDescent="0.35">
      <c r="A665" s="17">
        <v>45848</v>
      </c>
      <c r="B665">
        <f>AVERAGE(Tableau2[[#This Row],[AWB]:[IAM]])</f>
        <v>-2.528976811822499E-3</v>
      </c>
      <c r="C665">
        <f t="shared" si="120"/>
        <v>0</v>
      </c>
      <c r="D665">
        <f t="shared" si="121"/>
        <v>0</v>
      </c>
      <c r="E665">
        <f t="shared" si="122"/>
        <v>0</v>
      </c>
      <c r="F665">
        <f t="shared" si="123"/>
        <v>0</v>
      </c>
      <c r="G665">
        <f t="shared" si="124"/>
        <v>0</v>
      </c>
      <c r="H665">
        <f t="shared" si="125"/>
        <v>0</v>
      </c>
      <c r="I665">
        <f t="shared" si="126"/>
        <v>1</v>
      </c>
      <c r="J665">
        <f t="shared" si="127"/>
        <v>0</v>
      </c>
      <c r="K665">
        <f t="shared" si="128"/>
        <v>0</v>
      </c>
      <c r="L665">
        <f t="shared" si="129"/>
        <v>0</v>
      </c>
      <c r="M665">
        <f t="shared" si="130"/>
        <v>0</v>
      </c>
      <c r="N665">
        <f t="shared" si="131"/>
        <v>0</v>
      </c>
    </row>
    <row r="666" spans="1:14" x14ac:dyDescent="0.35">
      <c r="A666" s="17">
        <v>45852</v>
      </c>
      <c r="B666">
        <f>AVERAGE(Tableau2[[#This Row],[AWB]:[IAM]])</f>
        <v>3.7261655655988074E-3</v>
      </c>
      <c r="C666">
        <f t="shared" si="120"/>
        <v>0</v>
      </c>
      <c r="D666">
        <f t="shared" si="121"/>
        <v>0</v>
      </c>
      <c r="E666">
        <f t="shared" si="122"/>
        <v>0</v>
      </c>
      <c r="F666">
        <f t="shared" si="123"/>
        <v>0</v>
      </c>
      <c r="G666">
        <f t="shared" si="124"/>
        <v>0</v>
      </c>
      <c r="H666">
        <f t="shared" si="125"/>
        <v>0</v>
      </c>
      <c r="I666">
        <f t="shared" si="126"/>
        <v>1</v>
      </c>
      <c r="J666">
        <f t="shared" si="127"/>
        <v>0</v>
      </c>
      <c r="K666">
        <f t="shared" si="128"/>
        <v>0</v>
      </c>
      <c r="L666">
        <f t="shared" si="129"/>
        <v>0</v>
      </c>
      <c r="M666">
        <f t="shared" si="130"/>
        <v>0</v>
      </c>
      <c r="N666">
        <f t="shared" si="131"/>
        <v>0</v>
      </c>
    </row>
    <row r="667" spans="1:14" x14ac:dyDescent="0.35">
      <c r="A667" s="17">
        <v>45853</v>
      </c>
      <c r="B667">
        <f>AVERAGE(Tableau2[[#This Row],[AWB]:[IAM]])</f>
        <v>-7.4732059174416826E-3</v>
      </c>
      <c r="C667">
        <f t="shared" si="120"/>
        <v>0</v>
      </c>
      <c r="D667">
        <f t="shared" si="121"/>
        <v>0</v>
      </c>
      <c r="E667">
        <f t="shared" si="122"/>
        <v>0</v>
      </c>
      <c r="F667">
        <f t="shared" si="123"/>
        <v>0</v>
      </c>
      <c r="G667">
        <f t="shared" si="124"/>
        <v>0</v>
      </c>
      <c r="H667">
        <f t="shared" si="125"/>
        <v>0</v>
      </c>
      <c r="I667">
        <f t="shared" si="126"/>
        <v>1</v>
      </c>
      <c r="J667">
        <f t="shared" si="127"/>
        <v>0</v>
      </c>
      <c r="K667">
        <f t="shared" si="128"/>
        <v>0</v>
      </c>
      <c r="L667">
        <f t="shared" si="129"/>
        <v>0</v>
      </c>
      <c r="M667">
        <f t="shared" si="130"/>
        <v>0</v>
      </c>
      <c r="N667">
        <f t="shared" si="131"/>
        <v>0</v>
      </c>
    </row>
    <row r="668" spans="1:14" x14ac:dyDescent="0.35">
      <c r="A668" s="17">
        <v>45854</v>
      </c>
      <c r="B668">
        <f>AVERAGE(Tableau2[[#This Row],[AWB]:[IAM]])</f>
        <v>6.4720589417636162E-5</v>
      </c>
      <c r="C668">
        <f t="shared" si="120"/>
        <v>0</v>
      </c>
      <c r="D668">
        <f t="shared" si="121"/>
        <v>0</v>
      </c>
      <c r="E668">
        <f t="shared" si="122"/>
        <v>0</v>
      </c>
      <c r="F668">
        <f t="shared" si="123"/>
        <v>0</v>
      </c>
      <c r="G668">
        <f t="shared" si="124"/>
        <v>0</v>
      </c>
      <c r="H668">
        <f t="shared" si="125"/>
        <v>0</v>
      </c>
      <c r="I668">
        <f t="shared" si="126"/>
        <v>1</v>
      </c>
      <c r="J668">
        <f t="shared" si="127"/>
        <v>0</v>
      </c>
      <c r="K668">
        <f t="shared" si="128"/>
        <v>0</v>
      </c>
      <c r="L668">
        <f t="shared" si="129"/>
        <v>0</v>
      </c>
      <c r="M668">
        <f t="shared" si="130"/>
        <v>0</v>
      </c>
      <c r="N668">
        <f t="shared" si="131"/>
        <v>0</v>
      </c>
    </row>
    <row r="669" spans="1:14" x14ac:dyDescent="0.35">
      <c r="A669" s="17">
        <v>45855</v>
      </c>
      <c r="B669">
        <f>AVERAGE(Tableau2[[#This Row],[AWB]:[IAM]])</f>
        <v>1.0578273783735766E-2</v>
      </c>
      <c r="C669">
        <f t="shared" si="120"/>
        <v>0</v>
      </c>
      <c r="D669">
        <f t="shared" si="121"/>
        <v>0</v>
      </c>
      <c r="E669">
        <f t="shared" si="122"/>
        <v>0</v>
      </c>
      <c r="F669">
        <f t="shared" si="123"/>
        <v>0</v>
      </c>
      <c r="G669">
        <f t="shared" si="124"/>
        <v>0</v>
      </c>
      <c r="H669">
        <f t="shared" si="125"/>
        <v>0</v>
      </c>
      <c r="I669">
        <f t="shared" si="126"/>
        <v>1</v>
      </c>
      <c r="J669">
        <f t="shared" si="127"/>
        <v>0</v>
      </c>
      <c r="K669">
        <f t="shared" si="128"/>
        <v>0</v>
      </c>
      <c r="L669">
        <f t="shared" si="129"/>
        <v>0</v>
      </c>
      <c r="M669">
        <f t="shared" si="130"/>
        <v>0</v>
      </c>
      <c r="N669">
        <f t="shared" si="131"/>
        <v>0</v>
      </c>
    </row>
    <row r="670" spans="1:14" x14ac:dyDescent="0.35">
      <c r="A670" s="17">
        <v>45856</v>
      </c>
      <c r="B670">
        <f>AVERAGE(Tableau2[[#This Row],[AWB]:[IAM]])</f>
        <v>7.0636373393401916E-3</v>
      </c>
      <c r="C670">
        <f t="shared" si="120"/>
        <v>0</v>
      </c>
      <c r="D670">
        <f t="shared" si="121"/>
        <v>0</v>
      </c>
      <c r="E670">
        <f t="shared" si="122"/>
        <v>0</v>
      </c>
      <c r="F670">
        <f t="shared" si="123"/>
        <v>0</v>
      </c>
      <c r="G670">
        <f t="shared" si="124"/>
        <v>0</v>
      </c>
      <c r="H670">
        <f t="shared" si="125"/>
        <v>0</v>
      </c>
      <c r="I670">
        <f t="shared" si="126"/>
        <v>1</v>
      </c>
      <c r="J670">
        <f t="shared" si="127"/>
        <v>0</v>
      </c>
      <c r="K670">
        <f t="shared" si="128"/>
        <v>0</v>
      </c>
      <c r="L670">
        <f t="shared" si="129"/>
        <v>0</v>
      </c>
      <c r="M670">
        <f t="shared" si="130"/>
        <v>0</v>
      </c>
      <c r="N670">
        <f t="shared" si="131"/>
        <v>0</v>
      </c>
    </row>
    <row r="671" spans="1:14" x14ac:dyDescent="0.35">
      <c r="A671" s="17">
        <v>45859</v>
      </c>
      <c r="B671">
        <f>AVERAGE(Tableau2[[#This Row],[AWB]:[IAM]])</f>
        <v>6.157033369043388E-3</v>
      </c>
      <c r="C671">
        <f t="shared" si="120"/>
        <v>0</v>
      </c>
      <c r="D671">
        <f t="shared" si="121"/>
        <v>0</v>
      </c>
      <c r="E671">
        <f t="shared" si="122"/>
        <v>0</v>
      </c>
      <c r="F671">
        <f t="shared" si="123"/>
        <v>0</v>
      </c>
      <c r="G671">
        <f t="shared" si="124"/>
        <v>0</v>
      </c>
      <c r="H671">
        <f t="shared" si="125"/>
        <v>0</v>
      </c>
      <c r="I671">
        <f t="shared" si="126"/>
        <v>1</v>
      </c>
      <c r="J671">
        <f t="shared" si="127"/>
        <v>0</v>
      </c>
      <c r="K671">
        <f t="shared" si="128"/>
        <v>0</v>
      </c>
      <c r="L671">
        <f t="shared" si="129"/>
        <v>0</v>
      </c>
      <c r="M671">
        <f t="shared" si="130"/>
        <v>0</v>
      </c>
      <c r="N671">
        <f t="shared" si="131"/>
        <v>0</v>
      </c>
    </row>
    <row r="672" spans="1:14" x14ac:dyDescent="0.35">
      <c r="A672" s="17">
        <v>45861</v>
      </c>
      <c r="B672">
        <f>AVERAGE(Tableau2[[#This Row],[AWB]:[IAM]])</f>
        <v>-4.0106744962040393E-3</v>
      </c>
      <c r="C672">
        <f t="shared" si="120"/>
        <v>0</v>
      </c>
      <c r="D672">
        <f t="shared" si="121"/>
        <v>0</v>
      </c>
      <c r="E672">
        <f t="shared" si="122"/>
        <v>0</v>
      </c>
      <c r="F672">
        <f t="shared" si="123"/>
        <v>0</v>
      </c>
      <c r="G672">
        <f t="shared" si="124"/>
        <v>0</v>
      </c>
      <c r="H672">
        <f t="shared" si="125"/>
        <v>0</v>
      </c>
      <c r="I672">
        <f t="shared" si="126"/>
        <v>1</v>
      </c>
      <c r="J672">
        <f t="shared" si="127"/>
        <v>0</v>
      </c>
      <c r="K672">
        <f t="shared" si="128"/>
        <v>0</v>
      </c>
      <c r="L672">
        <f t="shared" si="129"/>
        <v>0</v>
      </c>
      <c r="M672">
        <f t="shared" si="130"/>
        <v>0</v>
      </c>
      <c r="N672">
        <f t="shared" si="131"/>
        <v>0</v>
      </c>
    </row>
    <row r="673" spans="1:14" x14ac:dyDescent="0.35">
      <c r="A673" s="17">
        <v>45862</v>
      </c>
      <c r="B673">
        <f>AVERAGE(Tableau2[[#This Row],[AWB]:[IAM]])</f>
        <v>2.2152349403934909E-3</v>
      </c>
      <c r="C673">
        <f t="shared" si="120"/>
        <v>0</v>
      </c>
      <c r="D673">
        <f t="shared" si="121"/>
        <v>0</v>
      </c>
      <c r="E673">
        <f t="shared" si="122"/>
        <v>0</v>
      </c>
      <c r="F673">
        <f t="shared" si="123"/>
        <v>0</v>
      </c>
      <c r="G673">
        <f t="shared" si="124"/>
        <v>0</v>
      </c>
      <c r="H673">
        <f t="shared" si="125"/>
        <v>0</v>
      </c>
      <c r="I673">
        <f t="shared" si="126"/>
        <v>1</v>
      </c>
      <c r="J673">
        <f t="shared" si="127"/>
        <v>0</v>
      </c>
      <c r="K673">
        <f t="shared" si="128"/>
        <v>0</v>
      </c>
      <c r="L673">
        <f t="shared" si="129"/>
        <v>0</v>
      </c>
      <c r="M673">
        <f t="shared" si="130"/>
        <v>0</v>
      </c>
      <c r="N673">
        <f t="shared" si="131"/>
        <v>0</v>
      </c>
    </row>
    <row r="674" spans="1:14" x14ac:dyDescent="0.35">
      <c r="A674" s="17">
        <v>45863</v>
      </c>
      <c r="B674">
        <f>AVERAGE(Tableau2[[#This Row],[AWB]:[IAM]])</f>
        <v>8.5105725619174823E-3</v>
      </c>
      <c r="C674">
        <f t="shared" si="120"/>
        <v>0</v>
      </c>
      <c r="D674">
        <f t="shared" si="121"/>
        <v>0</v>
      </c>
      <c r="E674">
        <f t="shared" si="122"/>
        <v>0</v>
      </c>
      <c r="F674">
        <f t="shared" si="123"/>
        <v>0</v>
      </c>
      <c r="G674">
        <f t="shared" si="124"/>
        <v>0</v>
      </c>
      <c r="H674">
        <f t="shared" si="125"/>
        <v>0</v>
      </c>
      <c r="I674">
        <f t="shared" si="126"/>
        <v>1</v>
      </c>
      <c r="J674">
        <f t="shared" si="127"/>
        <v>0</v>
      </c>
      <c r="K674">
        <f t="shared" si="128"/>
        <v>0</v>
      </c>
      <c r="L674">
        <f t="shared" si="129"/>
        <v>0</v>
      </c>
      <c r="M674">
        <f t="shared" si="130"/>
        <v>0</v>
      </c>
      <c r="N674">
        <f t="shared" si="131"/>
        <v>0</v>
      </c>
    </row>
    <row r="675" spans="1:14" x14ac:dyDescent="0.35">
      <c r="A675" s="17">
        <v>45867</v>
      </c>
      <c r="B675">
        <f>AVERAGE(Tableau2[[#This Row],[AWB]:[IAM]])</f>
        <v>-1.1021592798665311E-3</v>
      </c>
      <c r="C675">
        <f t="shared" si="120"/>
        <v>0</v>
      </c>
      <c r="D675">
        <f t="shared" si="121"/>
        <v>0</v>
      </c>
      <c r="E675">
        <f t="shared" si="122"/>
        <v>0</v>
      </c>
      <c r="F675">
        <f t="shared" si="123"/>
        <v>0</v>
      </c>
      <c r="G675">
        <f t="shared" si="124"/>
        <v>0</v>
      </c>
      <c r="H675">
        <f t="shared" si="125"/>
        <v>0</v>
      </c>
      <c r="I675">
        <f t="shared" si="126"/>
        <v>1</v>
      </c>
      <c r="J675">
        <f t="shared" si="127"/>
        <v>0</v>
      </c>
      <c r="K675">
        <f t="shared" si="128"/>
        <v>0</v>
      </c>
      <c r="L675">
        <f t="shared" si="129"/>
        <v>0</v>
      </c>
      <c r="M675">
        <f t="shared" si="130"/>
        <v>0</v>
      </c>
      <c r="N675">
        <f t="shared" si="131"/>
        <v>0</v>
      </c>
    </row>
    <row r="676" spans="1:14" x14ac:dyDescent="0.35">
      <c r="A676" s="17">
        <v>45869</v>
      </c>
      <c r="B676">
        <f>AVERAGE(Tableau2[[#This Row],[AWB]:[IAM]])</f>
        <v>4.2808248691418582E-3</v>
      </c>
      <c r="C676">
        <f t="shared" si="120"/>
        <v>0</v>
      </c>
      <c r="D676">
        <f t="shared" si="121"/>
        <v>0</v>
      </c>
      <c r="E676">
        <f t="shared" si="122"/>
        <v>0</v>
      </c>
      <c r="F676">
        <f t="shared" si="123"/>
        <v>0</v>
      </c>
      <c r="G676">
        <f t="shared" si="124"/>
        <v>0</v>
      </c>
      <c r="H676">
        <f t="shared" si="125"/>
        <v>0</v>
      </c>
      <c r="I676">
        <f t="shared" si="126"/>
        <v>1</v>
      </c>
      <c r="J676">
        <f t="shared" si="127"/>
        <v>0</v>
      </c>
      <c r="K676">
        <f t="shared" si="128"/>
        <v>0</v>
      </c>
      <c r="L676">
        <f t="shared" si="129"/>
        <v>0</v>
      </c>
      <c r="M676">
        <f t="shared" si="130"/>
        <v>0</v>
      </c>
      <c r="N676">
        <f t="shared" si="131"/>
        <v>0</v>
      </c>
    </row>
    <row r="677" spans="1:14" x14ac:dyDescent="0.35">
      <c r="A677" s="17">
        <v>45876</v>
      </c>
      <c r="B677">
        <f>AVERAGE(Tableau2[[#This Row],[AWB]:[IAM]])</f>
        <v>1.180397158604898E-2</v>
      </c>
      <c r="C677">
        <f t="shared" si="120"/>
        <v>0</v>
      </c>
      <c r="D677">
        <f t="shared" si="121"/>
        <v>0</v>
      </c>
      <c r="E677">
        <f t="shared" si="122"/>
        <v>0</v>
      </c>
      <c r="F677">
        <f t="shared" si="123"/>
        <v>0</v>
      </c>
      <c r="G677">
        <f t="shared" si="124"/>
        <v>0</v>
      </c>
      <c r="H677">
        <f t="shared" si="125"/>
        <v>0</v>
      </c>
      <c r="I677">
        <f t="shared" si="126"/>
        <v>0</v>
      </c>
      <c r="J677">
        <f t="shared" si="127"/>
        <v>1</v>
      </c>
      <c r="K677">
        <f t="shared" si="128"/>
        <v>0</v>
      </c>
      <c r="L677">
        <f t="shared" si="129"/>
        <v>0</v>
      </c>
      <c r="M677">
        <f t="shared" si="130"/>
        <v>0</v>
      </c>
      <c r="N677">
        <f t="shared" si="131"/>
        <v>0</v>
      </c>
    </row>
    <row r="678" spans="1:14" x14ac:dyDescent="0.35">
      <c r="A678" s="17">
        <v>45877</v>
      </c>
      <c r="B678">
        <f>AVERAGE(Tableau2[[#This Row],[AWB]:[IAM]])</f>
        <v>1.1583255122836839E-2</v>
      </c>
      <c r="C678">
        <f t="shared" si="120"/>
        <v>0</v>
      </c>
      <c r="D678">
        <f t="shared" si="121"/>
        <v>0</v>
      </c>
      <c r="E678">
        <f t="shared" si="122"/>
        <v>0</v>
      </c>
      <c r="F678">
        <f t="shared" si="123"/>
        <v>0</v>
      </c>
      <c r="G678">
        <f t="shared" si="124"/>
        <v>0</v>
      </c>
      <c r="H678">
        <f t="shared" si="125"/>
        <v>0</v>
      </c>
      <c r="I678">
        <f t="shared" si="126"/>
        <v>0</v>
      </c>
      <c r="J678">
        <f t="shared" si="127"/>
        <v>1</v>
      </c>
      <c r="K678">
        <f t="shared" si="128"/>
        <v>0</v>
      </c>
      <c r="L678">
        <f t="shared" si="129"/>
        <v>0</v>
      </c>
      <c r="M678">
        <f t="shared" si="130"/>
        <v>0</v>
      </c>
      <c r="N678">
        <f t="shared" si="131"/>
        <v>0</v>
      </c>
    </row>
    <row r="679" spans="1:14" x14ac:dyDescent="0.35">
      <c r="A679" s="17">
        <v>45880</v>
      </c>
      <c r="B679">
        <f>AVERAGE(Tableau2[[#This Row],[AWB]:[IAM]])</f>
        <v>-1.7748136680574901E-3</v>
      </c>
      <c r="C679">
        <f t="shared" si="120"/>
        <v>0</v>
      </c>
      <c r="D679">
        <f t="shared" si="121"/>
        <v>0</v>
      </c>
      <c r="E679">
        <f t="shared" si="122"/>
        <v>0</v>
      </c>
      <c r="F679">
        <f t="shared" si="123"/>
        <v>0</v>
      </c>
      <c r="G679">
        <f t="shared" si="124"/>
        <v>0</v>
      </c>
      <c r="H679">
        <f t="shared" si="125"/>
        <v>0</v>
      </c>
      <c r="I679">
        <f t="shared" si="126"/>
        <v>0</v>
      </c>
      <c r="J679">
        <f t="shared" si="127"/>
        <v>1</v>
      </c>
      <c r="K679">
        <f t="shared" si="128"/>
        <v>0</v>
      </c>
      <c r="L679">
        <f t="shared" si="129"/>
        <v>0</v>
      </c>
      <c r="M679">
        <f t="shared" si="130"/>
        <v>0</v>
      </c>
      <c r="N679">
        <f t="shared" si="131"/>
        <v>0</v>
      </c>
    </row>
    <row r="680" spans="1:14" x14ac:dyDescent="0.35">
      <c r="A680" s="17">
        <v>45881</v>
      </c>
      <c r="B680">
        <f>AVERAGE(Tableau2[[#This Row],[AWB]:[IAM]])</f>
        <v>-4.1971405444466139E-3</v>
      </c>
      <c r="C680">
        <f t="shared" si="120"/>
        <v>0</v>
      </c>
      <c r="D680">
        <f t="shared" si="121"/>
        <v>0</v>
      </c>
      <c r="E680">
        <f t="shared" si="122"/>
        <v>0</v>
      </c>
      <c r="F680">
        <f t="shared" si="123"/>
        <v>0</v>
      </c>
      <c r="G680">
        <f t="shared" si="124"/>
        <v>0</v>
      </c>
      <c r="H680">
        <f t="shared" si="125"/>
        <v>0</v>
      </c>
      <c r="I680">
        <f t="shared" si="126"/>
        <v>0</v>
      </c>
      <c r="J680">
        <f t="shared" si="127"/>
        <v>1</v>
      </c>
      <c r="K680">
        <f t="shared" si="128"/>
        <v>0</v>
      </c>
      <c r="L680">
        <f t="shared" si="129"/>
        <v>0</v>
      </c>
      <c r="M680">
        <f t="shared" si="130"/>
        <v>0</v>
      </c>
      <c r="N680">
        <f t="shared" si="131"/>
        <v>0</v>
      </c>
    </row>
    <row r="681" spans="1:14" x14ac:dyDescent="0.35">
      <c r="A681" s="17">
        <v>45882</v>
      </c>
      <c r="B681">
        <f>AVERAGE(Tableau2[[#This Row],[AWB]:[IAM]])</f>
        <v>2.8869735048709442E-3</v>
      </c>
      <c r="C681">
        <f t="shared" si="120"/>
        <v>0</v>
      </c>
      <c r="D681">
        <f t="shared" si="121"/>
        <v>0</v>
      </c>
      <c r="E681">
        <f t="shared" si="122"/>
        <v>0</v>
      </c>
      <c r="F681">
        <f t="shared" si="123"/>
        <v>0</v>
      </c>
      <c r="G681">
        <f t="shared" si="124"/>
        <v>0</v>
      </c>
      <c r="H681">
        <f t="shared" si="125"/>
        <v>0</v>
      </c>
      <c r="I681">
        <f t="shared" si="126"/>
        <v>0</v>
      </c>
      <c r="J681">
        <f t="shared" si="127"/>
        <v>1</v>
      </c>
      <c r="K681">
        <f t="shared" si="128"/>
        <v>0</v>
      </c>
      <c r="L681">
        <f t="shared" si="129"/>
        <v>0</v>
      </c>
      <c r="M681">
        <f t="shared" si="130"/>
        <v>0</v>
      </c>
      <c r="N681">
        <f t="shared" si="131"/>
        <v>0</v>
      </c>
    </row>
    <row r="682" spans="1:14" x14ac:dyDescent="0.35">
      <c r="A682" s="17">
        <v>45884</v>
      </c>
      <c r="B682">
        <f>AVERAGE(Tableau2[[#This Row],[AWB]:[IAM]])</f>
        <v>-3.226406774184308E-3</v>
      </c>
      <c r="C682">
        <f t="shared" si="120"/>
        <v>0</v>
      </c>
      <c r="D682">
        <f t="shared" si="121"/>
        <v>0</v>
      </c>
      <c r="E682">
        <f t="shared" si="122"/>
        <v>0</v>
      </c>
      <c r="F682">
        <f t="shared" si="123"/>
        <v>0</v>
      </c>
      <c r="G682">
        <f t="shared" si="124"/>
        <v>0</v>
      </c>
      <c r="H682">
        <f t="shared" si="125"/>
        <v>0</v>
      </c>
      <c r="I682">
        <f t="shared" si="126"/>
        <v>0</v>
      </c>
      <c r="J682">
        <f t="shared" si="127"/>
        <v>1</v>
      </c>
      <c r="K682">
        <f t="shared" si="128"/>
        <v>0</v>
      </c>
      <c r="L682">
        <f t="shared" si="129"/>
        <v>0</v>
      </c>
      <c r="M682">
        <f t="shared" si="130"/>
        <v>0</v>
      </c>
      <c r="N682">
        <f t="shared" si="131"/>
        <v>0</v>
      </c>
    </row>
    <row r="683" spans="1:14" x14ac:dyDescent="0.35">
      <c r="A683" s="17">
        <v>45888</v>
      </c>
      <c r="B683">
        <f>AVERAGE(Tableau2[[#This Row],[AWB]:[IAM]])</f>
        <v>-1.4078654818501294E-2</v>
      </c>
      <c r="C683">
        <f t="shared" si="120"/>
        <v>0</v>
      </c>
      <c r="D683">
        <f t="shared" si="121"/>
        <v>0</v>
      </c>
      <c r="E683">
        <f t="shared" si="122"/>
        <v>0</v>
      </c>
      <c r="F683">
        <f t="shared" si="123"/>
        <v>0</v>
      </c>
      <c r="G683">
        <f t="shared" si="124"/>
        <v>0</v>
      </c>
      <c r="H683">
        <f t="shared" si="125"/>
        <v>0</v>
      </c>
      <c r="I683">
        <f t="shared" si="126"/>
        <v>0</v>
      </c>
      <c r="J683">
        <f t="shared" si="127"/>
        <v>1</v>
      </c>
      <c r="K683">
        <f t="shared" si="128"/>
        <v>0</v>
      </c>
      <c r="L683">
        <f t="shared" si="129"/>
        <v>0</v>
      </c>
      <c r="M683">
        <f t="shared" si="130"/>
        <v>0</v>
      </c>
      <c r="N683">
        <f t="shared" si="131"/>
        <v>0</v>
      </c>
    </row>
    <row r="684" spans="1:14" x14ac:dyDescent="0.35">
      <c r="A684" s="17">
        <v>45891</v>
      </c>
      <c r="B684">
        <f>AVERAGE(Tableau2[[#This Row],[AWB]:[IAM]])</f>
        <v>1.1983157254868343E-2</v>
      </c>
      <c r="C684">
        <f t="shared" si="120"/>
        <v>0</v>
      </c>
      <c r="D684">
        <f t="shared" si="121"/>
        <v>0</v>
      </c>
      <c r="E684">
        <f t="shared" si="122"/>
        <v>0</v>
      </c>
      <c r="F684">
        <f t="shared" si="123"/>
        <v>0</v>
      </c>
      <c r="G684">
        <f t="shared" si="124"/>
        <v>0</v>
      </c>
      <c r="H684">
        <f t="shared" si="125"/>
        <v>0</v>
      </c>
      <c r="I684">
        <f t="shared" si="126"/>
        <v>0</v>
      </c>
      <c r="J684">
        <f t="shared" si="127"/>
        <v>1</v>
      </c>
      <c r="K684">
        <f t="shared" si="128"/>
        <v>0</v>
      </c>
      <c r="L684">
        <f t="shared" si="129"/>
        <v>0</v>
      </c>
      <c r="M684">
        <f t="shared" si="130"/>
        <v>0</v>
      </c>
      <c r="N684">
        <f t="shared" si="131"/>
        <v>0</v>
      </c>
    </row>
    <row r="685" spans="1:14" x14ac:dyDescent="0.35">
      <c r="A685" s="17">
        <v>45895</v>
      </c>
      <c r="B685">
        <f>AVERAGE(Tableau2[[#This Row],[AWB]:[IAM]])</f>
        <v>4.4060933877221641E-3</v>
      </c>
      <c r="C685">
        <f t="shared" si="120"/>
        <v>0</v>
      </c>
      <c r="D685">
        <f t="shared" si="121"/>
        <v>0</v>
      </c>
      <c r="E685">
        <f t="shared" si="122"/>
        <v>0</v>
      </c>
      <c r="F685">
        <f t="shared" si="123"/>
        <v>0</v>
      </c>
      <c r="G685">
        <f t="shared" si="124"/>
        <v>0</v>
      </c>
      <c r="H685">
        <f t="shared" si="125"/>
        <v>0</v>
      </c>
      <c r="I685">
        <f t="shared" si="126"/>
        <v>0</v>
      </c>
      <c r="J685">
        <f t="shared" si="127"/>
        <v>1</v>
      </c>
      <c r="K685">
        <f t="shared" si="128"/>
        <v>0</v>
      </c>
      <c r="L685">
        <f t="shared" si="129"/>
        <v>0</v>
      </c>
      <c r="M685">
        <f t="shared" si="130"/>
        <v>0</v>
      </c>
      <c r="N685">
        <f t="shared" si="131"/>
        <v>0</v>
      </c>
    </row>
    <row r="686" spans="1:14" x14ac:dyDescent="0.35">
      <c r="A686" s="17">
        <v>45896</v>
      </c>
      <c r="B686">
        <f>AVERAGE(Tableau2[[#This Row],[AWB]:[IAM]])</f>
        <v>8.0905688848312823E-3</v>
      </c>
      <c r="C686">
        <f t="shared" si="120"/>
        <v>0</v>
      </c>
      <c r="D686">
        <f t="shared" si="121"/>
        <v>0</v>
      </c>
      <c r="E686">
        <f t="shared" si="122"/>
        <v>0</v>
      </c>
      <c r="F686">
        <f t="shared" si="123"/>
        <v>0</v>
      </c>
      <c r="G686">
        <f t="shared" si="124"/>
        <v>0</v>
      </c>
      <c r="H686">
        <f t="shared" si="125"/>
        <v>0</v>
      </c>
      <c r="I686">
        <f t="shared" si="126"/>
        <v>0</v>
      </c>
      <c r="J686">
        <f t="shared" si="127"/>
        <v>1</v>
      </c>
      <c r="K686">
        <f t="shared" si="128"/>
        <v>0</v>
      </c>
      <c r="L686">
        <f t="shared" si="129"/>
        <v>0</v>
      </c>
      <c r="M686">
        <f t="shared" si="130"/>
        <v>0</v>
      </c>
      <c r="N686">
        <f t="shared" si="131"/>
        <v>0</v>
      </c>
    </row>
    <row r="687" spans="1:14" x14ac:dyDescent="0.35">
      <c r="A687" s="17">
        <v>45898</v>
      </c>
      <c r="B687">
        <f>AVERAGE(Tableau2[[#This Row],[AWB]:[IAM]])</f>
        <v>-9.8031911613826236E-3</v>
      </c>
      <c r="C687">
        <f t="shared" si="120"/>
        <v>0</v>
      </c>
      <c r="D687">
        <f t="shared" si="121"/>
        <v>0</v>
      </c>
      <c r="E687">
        <f t="shared" si="122"/>
        <v>0</v>
      </c>
      <c r="F687">
        <f t="shared" si="123"/>
        <v>0</v>
      </c>
      <c r="G687">
        <f t="shared" si="124"/>
        <v>0</v>
      </c>
      <c r="H687">
        <f t="shared" si="125"/>
        <v>0</v>
      </c>
      <c r="I687">
        <f t="shared" si="126"/>
        <v>0</v>
      </c>
      <c r="J687">
        <f t="shared" si="127"/>
        <v>1</v>
      </c>
      <c r="K687">
        <f t="shared" si="128"/>
        <v>0</v>
      </c>
      <c r="L687">
        <f t="shared" si="129"/>
        <v>0</v>
      </c>
      <c r="M687">
        <f t="shared" si="130"/>
        <v>0</v>
      </c>
      <c r="N687">
        <f t="shared" si="131"/>
        <v>0</v>
      </c>
    </row>
    <row r="688" spans="1:14" x14ac:dyDescent="0.35">
      <c r="A688" s="17">
        <v>45901</v>
      </c>
      <c r="B688">
        <f>AVERAGE(Tableau2[[#This Row],[AWB]:[IAM]])</f>
        <v>1.362819508834978E-2</v>
      </c>
      <c r="C688">
        <f t="shared" si="120"/>
        <v>0</v>
      </c>
      <c r="D688">
        <f t="shared" si="121"/>
        <v>0</v>
      </c>
      <c r="E688">
        <f t="shared" si="122"/>
        <v>0</v>
      </c>
      <c r="F688">
        <f t="shared" si="123"/>
        <v>0</v>
      </c>
      <c r="G688">
        <f t="shared" si="124"/>
        <v>0</v>
      </c>
      <c r="H688">
        <f t="shared" si="125"/>
        <v>0</v>
      </c>
      <c r="I688">
        <f t="shared" si="126"/>
        <v>0</v>
      </c>
      <c r="J688">
        <f t="shared" si="127"/>
        <v>0</v>
      </c>
      <c r="K688">
        <f t="shared" si="128"/>
        <v>1</v>
      </c>
      <c r="L688">
        <f t="shared" si="129"/>
        <v>0</v>
      </c>
      <c r="M688">
        <f t="shared" si="130"/>
        <v>0</v>
      </c>
      <c r="N688">
        <f t="shared" si="131"/>
        <v>0</v>
      </c>
    </row>
    <row r="689" spans="1:14" x14ac:dyDescent="0.35">
      <c r="A689" s="17">
        <v>45903</v>
      </c>
      <c r="B689">
        <f>AVERAGE(Tableau2[[#This Row],[AWB]:[IAM]])</f>
        <v>6.420111825889766E-5</v>
      </c>
      <c r="C689">
        <f t="shared" si="120"/>
        <v>0</v>
      </c>
      <c r="D689">
        <f t="shared" si="121"/>
        <v>0</v>
      </c>
      <c r="E689">
        <f t="shared" si="122"/>
        <v>0</v>
      </c>
      <c r="F689">
        <f t="shared" si="123"/>
        <v>0</v>
      </c>
      <c r="G689">
        <f t="shared" si="124"/>
        <v>0</v>
      </c>
      <c r="H689">
        <f t="shared" si="125"/>
        <v>0</v>
      </c>
      <c r="I689">
        <f t="shared" si="126"/>
        <v>0</v>
      </c>
      <c r="J689">
        <f t="shared" si="127"/>
        <v>0</v>
      </c>
      <c r="K689">
        <f t="shared" si="128"/>
        <v>1</v>
      </c>
      <c r="L689">
        <f t="shared" si="129"/>
        <v>0</v>
      </c>
      <c r="M689">
        <f t="shared" si="130"/>
        <v>0</v>
      </c>
      <c r="N689">
        <f t="shared" si="131"/>
        <v>0</v>
      </c>
    </row>
    <row r="690" spans="1:14" x14ac:dyDescent="0.35">
      <c r="A690" s="17">
        <v>45908</v>
      </c>
      <c r="B690">
        <f>AVERAGE(Tableau2[[#This Row],[AWB]:[IAM]])</f>
        <v>-1.2536582894829579E-2</v>
      </c>
      <c r="C690">
        <f t="shared" si="120"/>
        <v>0</v>
      </c>
      <c r="D690">
        <f t="shared" si="121"/>
        <v>0</v>
      </c>
      <c r="E690">
        <f t="shared" si="122"/>
        <v>0</v>
      </c>
      <c r="F690">
        <f t="shared" si="123"/>
        <v>0</v>
      </c>
      <c r="G690">
        <f t="shared" si="124"/>
        <v>0</v>
      </c>
      <c r="H690">
        <f t="shared" si="125"/>
        <v>0</v>
      </c>
      <c r="I690">
        <f t="shared" si="126"/>
        <v>0</v>
      </c>
      <c r="J690">
        <f t="shared" si="127"/>
        <v>0</v>
      </c>
      <c r="K690">
        <f t="shared" si="128"/>
        <v>1</v>
      </c>
      <c r="L690">
        <f t="shared" si="129"/>
        <v>0</v>
      </c>
      <c r="M690">
        <f t="shared" si="130"/>
        <v>0</v>
      </c>
      <c r="N690">
        <f t="shared" si="131"/>
        <v>0</v>
      </c>
    </row>
    <row r="691" spans="1:14" x14ac:dyDescent="0.35">
      <c r="A691" s="17">
        <v>45909</v>
      </c>
      <c r="B691">
        <f>AVERAGE(Tableau2[[#This Row],[AWB]:[IAM]])</f>
        <v>-2.5766183948503451E-2</v>
      </c>
      <c r="C691">
        <f t="shared" si="120"/>
        <v>0</v>
      </c>
      <c r="D691">
        <f t="shared" si="121"/>
        <v>0</v>
      </c>
      <c r="E691">
        <f t="shared" si="122"/>
        <v>0</v>
      </c>
      <c r="F691">
        <f t="shared" si="123"/>
        <v>0</v>
      </c>
      <c r="G691">
        <f t="shared" si="124"/>
        <v>0</v>
      </c>
      <c r="H691">
        <f t="shared" si="125"/>
        <v>0</v>
      </c>
      <c r="I691">
        <f t="shared" si="126"/>
        <v>0</v>
      </c>
      <c r="J691">
        <f t="shared" si="127"/>
        <v>0</v>
      </c>
      <c r="K691">
        <f t="shared" si="128"/>
        <v>1</v>
      </c>
      <c r="L691">
        <f t="shared" si="129"/>
        <v>0</v>
      </c>
      <c r="M691">
        <f t="shared" si="130"/>
        <v>0</v>
      </c>
      <c r="N691">
        <f t="shared" si="131"/>
        <v>0</v>
      </c>
    </row>
    <row r="692" spans="1:14" x14ac:dyDescent="0.35">
      <c r="A692" s="17">
        <v>45911</v>
      </c>
      <c r="B692">
        <f>AVERAGE(Tableau2[[#This Row],[AWB]:[IAM]])</f>
        <v>2.4200645576057452E-2</v>
      </c>
      <c r="C692">
        <f t="shared" si="120"/>
        <v>0</v>
      </c>
      <c r="D692">
        <f t="shared" si="121"/>
        <v>0</v>
      </c>
      <c r="E692">
        <f t="shared" si="122"/>
        <v>0</v>
      </c>
      <c r="F692">
        <f t="shared" si="123"/>
        <v>0</v>
      </c>
      <c r="G692">
        <f t="shared" si="124"/>
        <v>0</v>
      </c>
      <c r="H692">
        <f t="shared" si="125"/>
        <v>0</v>
      </c>
      <c r="I692">
        <f t="shared" si="126"/>
        <v>0</v>
      </c>
      <c r="J692">
        <f t="shared" si="127"/>
        <v>0</v>
      </c>
      <c r="K692">
        <f t="shared" si="128"/>
        <v>1</v>
      </c>
      <c r="L692">
        <f t="shared" si="129"/>
        <v>0</v>
      </c>
      <c r="M692">
        <f t="shared" si="130"/>
        <v>0</v>
      </c>
      <c r="N692">
        <f t="shared" si="131"/>
        <v>0</v>
      </c>
    </row>
    <row r="693" spans="1:14" x14ac:dyDescent="0.35">
      <c r="A693" s="17">
        <v>45912</v>
      </c>
      <c r="B693">
        <f>AVERAGE(Tableau2[[#This Row],[AWB]:[IAM]])</f>
        <v>-2.2037381356582392E-3</v>
      </c>
      <c r="C693">
        <f t="shared" si="120"/>
        <v>0</v>
      </c>
      <c r="D693">
        <f t="shared" si="121"/>
        <v>0</v>
      </c>
      <c r="E693">
        <f t="shared" si="122"/>
        <v>0</v>
      </c>
      <c r="F693">
        <f t="shared" si="123"/>
        <v>0</v>
      </c>
      <c r="G693">
        <f t="shared" si="124"/>
        <v>0</v>
      </c>
      <c r="H693">
        <f t="shared" si="125"/>
        <v>0</v>
      </c>
      <c r="I693">
        <f t="shared" si="126"/>
        <v>0</v>
      </c>
      <c r="J693">
        <f t="shared" si="127"/>
        <v>0</v>
      </c>
      <c r="K693">
        <f t="shared" si="128"/>
        <v>1</v>
      </c>
      <c r="L693">
        <f t="shared" si="129"/>
        <v>0</v>
      </c>
      <c r="M693">
        <f t="shared" si="130"/>
        <v>0</v>
      </c>
      <c r="N693">
        <f t="shared" si="131"/>
        <v>0</v>
      </c>
    </row>
    <row r="694" spans="1:14" x14ac:dyDescent="0.35">
      <c r="A694" s="17">
        <v>45915</v>
      </c>
      <c r="B694">
        <f>AVERAGE(Tableau2[[#This Row],[AWB]:[IAM]])</f>
        <v>-5.5901793674118048E-3</v>
      </c>
      <c r="C694">
        <f t="shared" si="120"/>
        <v>0</v>
      </c>
      <c r="D694">
        <f t="shared" si="121"/>
        <v>0</v>
      </c>
      <c r="E694">
        <f t="shared" si="122"/>
        <v>0</v>
      </c>
      <c r="F694">
        <f t="shared" si="123"/>
        <v>0</v>
      </c>
      <c r="G694">
        <f t="shared" si="124"/>
        <v>0</v>
      </c>
      <c r="H694">
        <f t="shared" si="125"/>
        <v>0</v>
      </c>
      <c r="I694">
        <f t="shared" si="126"/>
        <v>0</v>
      </c>
      <c r="J694">
        <f t="shared" si="127"/>
        <v>0</v>
      </c>
      <c r="K694">
        <f t="shared" si="128"/>
        <v>1</v>
      </c>
      <c r="L694">
        <f t="shared" si="129"/>
        <v>0</v>
      </c>
      <c r="M694">
        <f t="shared" si="130"/>
        <v>0</v>
      </c>
      <c r="N694">
        <f t="shared" si="131"/>
        <v>0</v>
      </c>
    </row>
    <row r="695" spans="1:14" x14ac:dyDescent="0.35">
      <c r="A695" s="17">
        <v>45916</v>
      </c>
      <c r="B695">
        <f>AVERAGE(Tableau2[[#This Row],[AWB]:[IAM]])</f>
        <v>7.0120522087628655E-4</v>
      </c>
      <c r="C695">
        <f t="shared" si="120"/>
        <v>0</v>
      </c>
      <c r="D695">
        <f t="shared" si="121"/>
        <v>0</v>
      </c>
      <c r="E695">
        <f t="shared" si="122"/>
        <v>0</v>
      </c>
      <c r="F695">
        <f t="shared" si="123"/>
        <v>0</v>
      </c>
      <c r="G695">
        <f t="shared" si="124"/>
        <v>0</v>
      </c>
      <c r="H695">
        <f t="shared" si="125"/>
        <v>0</v>
      </c>
      <c r="I695">
        <f t="shared" si="126"/>
        <v>0</v>
      </c>
      <c r="J695">
        <f t="shared" si="127"/>
        <v>0</v>
      </c>
      <c r="K695">
        <f t="shared" si="128"/>
        <v>1</v>
      </c>
      <c r="L695">
        <f t="shared" si="129"/>
        <v>0</v>
      </c>
      <c r="M695">
        <f t="shared" si="130"/>
        <v>0</v>
      </c>
      <c r="N695">
        <f t="shared" si="131"/>
        <v>0</v>
      </c>
    </row>
    <row r="696" spans="1:14" x14ac:dyDescent="0.35">
      <c r="A696" s="17">
        <v>45917</v>
      </c>
      <c r="B696">
        <f>AVERAGE(Tableau2[[#This Row],[AWB]:[IAM]])</f>
        <v>-6.3592142376619944E-3</v>
      </c>
      <c r="C696">
        <f t="shared" si="120"/>
        <v>0</v>
      </c>
      <c r="D696">
        <f t="shared" si="121"/>
        <v>0</v>
      </c>
      <c r="E696">
        <f t="shared" si="122"/>
        <v>0</v>
      </c>
      <c r="F696">
        <f t="shared" si="123"/>
        <v>0</v>
      </c>
      <c r="G696">
        <f t="shared" si="124"/>
        <v>0</v>
      </c>
      <c r="H696">
        <f t="shared" si="125"/>
        <v>0</v>
      </c>
      <c r="I696">
        <f t="shared" si="126"/>
        <v>0</v>
      </c>
      <c r="J696">
        <f t="shared" si="127"/>
        <v>0</v>
      </c>
      <c r="K696">
        <f t="shared" si="128"/>
        <v>1</v>
      </c>
      <c r="L696">
        <f t="shared" si="129"/>
        <v>0</v>
      </c>
      <c r="M696">
        <f t="shared" si="130"/>
        <v>0</v>
      </c>
      <c r="N696">
        <f t="shared" si="131"/>
        <v>0</v>
      </c>
    </row>
    <row r="697" spans="1:14" x14ac:dyDescent="0.35">
      <c r="A697" s="17">
        <v>45918</v>
      </c>
      <c r="B697">
        <f>AVERAGE(Tableau2[[#This Row],[AWB]:[IAM]])</f>
        <v>7.6403681101572434E-3</v>
      </c>
      <c r="C697">
        <f t="shared" si="120"/>
        <v>0</v>
      </c>
      <c r="D697">
        <f t="shared" si="121"/>
        <v>0</v>
      </c>
      <c r="E697">
        <f t="shared" si="122"/>
        <v>0</v>
      </c>
      <c r="F697">
        <f t="shared" si="123"/>
        <v>0</v>
      </c>
      <c r="G697">
        <f t="shared" si="124"/>
        <v>0</v>
      </c>
      <c r="H697">
        <f t="shared" si="125"/>
        <v>0</v>
      </c>
      <c r="I697">
        <f t="shared" si="126"/>
        <v>0</v>
      </c>
      <c r="J697">
        <f t="shared" si="127"/>
        <v>0</v>
      </c>
      <c r="K697">
        <f t="shared" si="128"/>
        <v>1</v>
      </c>
      <c r="L697">
        <f t="shared" si="129"/>
        <v>0</v>
      </c>
      <c r="M697">
        <f t="shared" si="130"/>
        <v>0</v>
      </c>
      <c r="N697">
        <f t="shared" si="131"/>
        <v>0</v>
      </c>
    </row>
    <row r="698" spans="1:14" x14ac:dyDescent="0.35">
      <c r="A698" s="17">
        <v>45919</v>
      </c>
      <c r="B698">
        <f>AVERAGE(Tableau2[[#This Row],[AWB]:[IAM]])</f>
        <v>8.2931951030810261E-3</v>
      </c>
      <c r="C698">
        <f t="shared" si="120"/>
        <v>0</v>
      </c>
      <c r="D698">
        <f t="shared" si="121"/>
        <v>0</v>
      </c>
      <c r="E698">
        <f t="shared" si="122"/>
        <v>0</v>
      </c>
      <c r="F698">
        <f t="shared" si="123"/>
        <v>0</v>
      </c>
      <c r="G698">
        <f t="shared" si="124"/>
        <v>0</v>
      </c>
      <c r="H698">
        <f t="shared" si="125"/>
        <v>0</v>
      </c>
      <c r="I698">
        <f t="shared" si="126"/>
        <v>0</v>
      </c>
      <c r="J698">
        <f t="shared" si="127"/>
        <v>0</v>
      </c>
      <c r="K698">
        <f t="shared" si="128"/>
        <v>1</v>
      </c>
      <c r="L698">
        <f t="shared" si="129"/>
        <v>0</v>
      </c>
      <c r="M698">
        <f t="shared" si="130"/>
        <v>0</v>
      </c>
      <c r="N698">
        <f t="shared" si="131"/>
        <v>0</v>
      </c>
    </row>
    <row r="699" spans="1:14" x14ac:dyDescent="0.35">
      <c r="A699" s="17">
        <v>45923</v>
      </c>
      <c r="B699">
        <f>AVERAGE(Tableau2[[#This Row],[AWB]:[IAM]])</f>
        <v>-1.0093355731197214E-2</v>
      </c>
      <c r="C699">
        <f t="shared" si="120"/>
        <v>0</v>
      </c>
      <c r="D699">
        <f t="shared" si="121"/>
        <v>0</v>
      </c>
      <c r="E699">
        <f t="shared" si="122"/>
        <v>0</v>
      </c>
      <c r="F699">
        <f t="shared" si="123"/>
        <v>0</v>
      </c>
      <c r="G699">
        <f t="shared" si="124"/>
        <v>0</v>
      </c>
      <c r="H699">
        <f t="shared" si="125"/>
        <v>0</v>
      </c>
      <c r="I699">
        <f t="shared" si="126"/>
        <v>0</v>
      </c>
      <c r="J699">
        <f t="shared" si="127"/>
        <v>0</v>
      </c>
      <c r="K699">
        <f t="shared" si="128"/>
        <v>1</v>
      </c>
      <c r="L699">
        <f t="shared" si="129"/>
        <v>0</v>
      </c>
      <c r="M699">
        <f t="shared" si="130"/>
        <v>0</v>
      </c>
      <c r="N699">
        <f t="shared" si="131"/>
        <v>0</v>
      </c>
    </row>
    <row r="700" spans="1:14" x14ac:dyDescent="0.35">
      <c r="A700" s="17">
        <v>45924</v>
      </c>
      <c r="B700">
        <f>AVERAGE(Tableau2[[#This Row],[AWB]:[IAM]])</f>
        <v>-2.0507863979339427E-4</v>
      </c>
      <c r="C700">
        <f t="shared" si="120"/>
        <v>0</v>
      </c>
      <c r="D700">
        <f t="shared" si="121"/>
        <v>0</v>
      </c>
      <c r="E700">
        <f t="shared" si="122"/>
        <v>0</v>
      </c>
      <c r="F700">
        <f t="shared" si="123"/>
        <v>0</v>
      </c>
      <c r="G700">
        <f t="shared" si="124"/>
        <v>0</v>
      </c>
      <c r="H700">
        <f t="shared" si="125"/>
        <v>0</v>
      </c>
      <c r="I700">
        <f t="shared" si="126"/>
        <v>0</v>
      </c>
      <c r="J700">
        <f t="shared" si="127"/>
        <v>0</v>
      </c>
      <c r="K700">
        <f t="shared" si="128"/>
        <v>1</v>
      </c>
      <c r="L700">
        <f t="shared" si="129"/>
        <v>0</v>
      </c>
      <c r="M700">
        <f t="shared" si="130"/>
        <v>0</v>
      </c>
      <c r="N700">
        <f t="shared" si="131"/>
        <v>0</v>
      </c>
    </row>
    <row r="701" spans="1:14" x14ac:dyDescent="0.35">
      <c r="A701" s="17">
        <v>45925</v>
      </c>
      <c r="B701">
        <f>AVERAGE(Tableau2[[#This Row],[AWB]:[IAM]])</f>
        <v>-1.2582105837909367E-2</v>
      </c>
      <c r="C701">
        <f t="shared" si="120"/>
        <v>0</v>
      </c>
      <c r="D701">
        <f t="shared" si="121"/>
        <v>0</v>
      </c>
      <c r="E701">
        <f t="shared" si="122"/>
        <v>0</v>
      </c>
      <c r="F701">
        <f t="shared" si="123"/>
        <v>0</v>
      </c>
      <c r="G701">
        <f t="shared" si="124"/>
        <v>0</v>
      </c>
      <c r="H701">
        <f t="shared" si="125"/>
        <v>0</v>
      </c>
      <c r="I701">
        <f t="shared" si="126"/>
        <v>0</v>
      </c>
      <c r="J701">
        <f t="shared" si="127"/>
        <v>0</v>
      </c>
      <c r="K701">
        <f t="shared" si="128"/>
        <v>1</v>
      </c>
      <c r="L701">
        <f t="shared" si="129"/>
        <v>0</v>
      </c>
      <c r="M701">
        <f t="shared" si="130"/>
        <v>0</v>
      </c>
      <c r="N701">
        <f t="shared" si="131"/>
        <v>0</v>
      </c>
    </row>
    <row r="702" spans="1:14" x14ac:dyDescent="0.35">
      <c r="A702" s="17">
        <v>45926</v>
      </c>
      <c r="B702">
        <f>AVERAGE(Tableau2[[#This Row],[AWB]:[IAM]])</f>
        <v>-5.6025342963156302E-3</v>
      </c>
      <c r="C702">
        <f t="shared" si="120"/>
        <v>0</v>
      </c>
      <c r="D702">
        <f t="shared" si="121"/>
        <v>0</v>
      </c>
      <c r="E702">
        <f t="shared" si="122"/>
        <v>0</v>
      </c>
      <c r="F702">
        <f t="shared" si="123"/>
        <v>0</v>
      </c>
      <c r="G702">
        <f t="shared" si="124"/>
        <v>0</v>
      </c>
      <c r="H702">
        <f t="shared" si="125"/>
        <v>0</v>
      </c>
      <c r="I702">
        <f t="shared" si="126"/>
        <v>0</v>
      </c>
      <c r="J702">
        <f t="shared" si="127"/>
        <v>0</v>
      </c>
      <c r="K702">
        <f t="shared" si="128"/>
        <v>1</v>
      </c>
      <c r="L702">
        <f t="shared" si="129"/>
        <v>0</v>
      </c>
      <c r="M702">
        <f t="shared" si="130"/>
        <v>0</v>
      </c>
      <c r="N702">
        <f t="shared" si="131"/>
        <v>0</v>
      </c>
    </row>
    <row r="703" spans="1:14" x14ac:dyDescent="0.35">
      <c r="A703" s="17">
        <v>45929</v>
      </c>
      <c r="B703">
        <f>AVERAGE(Tableau2[[#This Row],[AWB]:[IAM]])</f>
        <v>-2.3314636284751663E-2</v>
      </c>
      <c r="C703">
        <f t="shared" si="120"/>
        <v>0</v>
      </c>
      <c r="D703">
        <f t="shared" si="121"/>
        <v>0</v>
      </c>
      <c r="E703">
        <f t="shared" si="122"/>
        <v>0</v>
      </c>
      <c r="F703">
        <f t="shared" si="123"/>
        <v>0</v>
      </c>
      <c r="G703">
        <f t="shared" si="124"/>
        <v>0</v>
      </c>
      <c r="H703">
        <f t="shared" si="125"/>
        <v>0</v>
      </c>
      <c r="I703">
        <f t="shared" si="126"/>
        <v>0</v>
      </c>
      <c r="J703">
        <f t="shared" si="127"/>
        <v>0</v>
      </c>
      <c r="K703">
        <f t="shared" si="128"/>
        <v>1</v>
      </c>
      <c r="L703">
        <f t="shared" si="129"/>
        <v>0</v>
      </c>
      <c r="M703">
        <f t="shared" si="130"/>
        <v>0</v>
      </c>
      <c r="N703">
        <f t="shared" si="131"/>
        <v>0</v>
      </c>
    </row>
    <row r="704" spans="1:14" x14ac:dyDescent="0.35">
      <c r="A704" s="17">
        <v>45930</v>
      </c>
      <c r="B704">
        <f>AVERAGE(Tableau2[[#This Row],[AWB]:[IAM]])</f>
        <v>1.3187955559753051E-2</v>
      </c>
      <c r="C704">
        <f t="shared" si="120"/>
        <v>0</v>
      </c>
      <c r="D704">
        <f t="shared" si="121"/>
        <v>0</v>
      </c>
      <c r="E704">
        <f t="shared" si="122"/>
        <v>0</v>
      </c>
      <c r="F704">
        <f t="shared" si="123"/>
        <v>0</v>
      </c>
      <c r="G704">
        <f t="shared" si="124"/>
        <v>0</v>
      </c>
      <c r="H704">
        <f t="shared" si="125"/>
        <v>0</v>
      </c>
      <c r="I704">
        <f t="shared" si="126"/>
        <v>0</v>
      </c>
      <c r="J704">
        <f t="shared" si="127"/>
        <v>0</v>
      </c>
      <c r="K704">
        <f t="shared" si="128"/>
        <v>1</v>
      </c>
      <c r="L704">
        <f t="shared" si="129"/>
        <v>0</v>
      </c>
      <c r="M704">
        <f t="shared" si="130"/>
        <v>0</v>
      </c>
      <c r="N704">
        <f t="shared" si="131"/>
        <v>0</v>
      </c>
    </row>
    <row r="705" spans="1:14" x14ac:dyDescent="0.35">
      <c r="A705" s="17">
        <v>45931</v>
      </c>
      <c r="B705">
        <f>AVERAGE(Tableau2[[#This Row],[AWB]:[IAM]])</f>
        <v>-3.6831912637068601E-2</v>
      </c>
      <c r="C705">
        <f t="shared" si="120"/>
        <v>0</v>
      </c>
      <c r="D705">
        <f t="shared" si="121"/>
        <v>0</v>
      </c>
      <c r="E705">
        <f t="shared" si="122"/>
        <v>0</v>
      </c>
      <c r="F705">
        <f t="shared" si="123"/>
        <v>0</v>
      </c>
      <c r="G705">
        <f t="shared" si="124"/>
        <v>0</v>
      </c>
      <c r="H705">
        <f t="shared" si="125"/>
        <v>0</v>
      </c>
      <c r="I705">
        <f t="shared" si="126"/>
        <v>0</v>
      </c>
      <c r="J705">
        <f t="shared" si="127"/>
        <v>0</v>
      </c>
      <c r="K705">
        <f t="shared" si="128"/>
        <v>0</v>
      </c>
      <c r="L705">
        <f t="shared" si="129"/>
        <v>1</v>
      </c>
      <c r="M705">
        <f t="shared" si="130"/>
        <v>0</v>
      </c>
      <c r="N705">
        <f t="shared" si="131"/>
        <v>0</v>
      </c>
    </row>
    <row r="706" spans="1:14" x14ac:dyDescent="0.35">
      <c r="A706" s="17">
        <v>45932</v>
      </c>
      <c r="B706">
        <f>AVERAGE(Tableau2[[#This Row],[AWB]:[IAM]])</f>
        <v>3.0048001614068555E-3</v>
      </c>
      <c r="C706">
        <f t="shared" ref="C706:C759" si="132">IF(MONTH(A706)=1,1,0)</f>
        <v>0</v>
      </c>
      <c r="D706">
        <f t="shared" ref="D706:D759" si="133">IF(MONTH(A706)=2,1,0)</f>
        <v>0</v>
      </c>
      <c r="E706">
        <f t="shared" ref="E706:E759" si="134">IF(MONTH(A706)=3,1,0)</f>
        <v>0</v>
      </c>
      <c r="F706">
        <f t="shared" ref="F706:F759" si="135">IF(MONTH(A706)=4,1,0)</f>
        <v>0</v>
      </c>
      <c r="G706">
        <f t="shared" ref="G706:G759" si="136">IF(MONTH(A706)=5,1,0)</f>
        <v>0</v>
      </c>
      <c r="H706">
        <f t="shared" ref="H706:H759" si="137">IF(MONTH(A706)=6,1,0)</f>
        <v>0</v>
      </c>
      <c r="I706">
        <f t="shared" ref="I706:I759" si="138">IF(MONTH(A706)=7,1,0)</f>
        <v>0</v>
      </c>
      <c r="J706">
        <f t="shared" ref="J706:J759" si="139">IF(MONTH(A706)=8,1,0)</f>
        <v>0</v>
      </c>
      <c r="K706">
        <f t="shared" ref="K706:K759" si="140">IF(MONTH(A706)=9,1,0)</f>
        <v>0</v>
      </c>
      <c r="L706">
        <f t="shared" ref="L706:L759" si="141">IF(MONTH(A706)=10,1,0)</f>
        <v>1</v>
      </c>
      <c r="M706">
        <f t="shared" ref="M706:M759" si="142">IF(MONTH(A706)=11,1,0)</f>
        <v>0</v>
      </c>
      <c r="N706">
        <f t="shared" ref="N706:N759" si="143">IF(MONTH(A706)=12,1,0)</f>
        <v>0</v>
      </c>
    </row>
    <row r="707" spans="1:14" x14ac:dyDescent="0.35">
      <c r="A707" s="17">
        <v>45933</v>
      </c>
      <c r="B707">
        <f>AVERAGE(Tableau2[[#This Row],[AWB]:[IAM]])</f>
        <v>2.3525635595340648E-2</v>
      </c>
      <c r="C707">
        <f t="shared" si="132"/>
        <v>0</v>
      </c>
      <c r="D707">
        <f t="shared" si="133"/>
        <v>0</v>
      </c>
      <c r="E707">
        <f t="shared" si="134"/>
        <v>0</v>
      </c>
      <c r="F707">
        <f t="shared" si="135"/>
        <v>0</v>
      </c>
      <c r="G707">
        <f t="shared" si="136"/>
        <v>0</v>
      </c>
      <c r="H707">
        <f t="shared" si="137"/>
        <v>0</v>
      </c>
      <c r="I707">
        <f t="shared" si="138"/>
        <v>0</v>
      </c>
      <c r="J707">
        <f t="shared" si="139"/>
        <v>0</v>
      </c>
      <c r="K707">
        <f t="shared" si="140"/>
        <v>0</v>
      </c>
      <c r="L707">
        <f t="shared" si="141"/>
        <v>1</v>
      </c>
      <c r="M707">
        <f t="shared" si="142"/>
        <v>0</v>
      </c>
      <c r="N707">
        <f t="shared" si="143"/>
        <v>0</v>
      </c>
    </row>
    <row r="708" spans="1:14" x14ac:dyDescent="0.35">
      <c r="A708" s="17">
        <v>45938</v>
      </c>
      <c r="B708">
        <f>AVERAGE(Tableau2[[#This Row],[AWB]:[IAM]])</f>
        <v>6.0603905414633808E-3</v>
      </c>
      <c r="C708">
        <f t="shared" si="132"/>
        <v>0</v>
      </c>
      <c r="D708">
        <f t="shared" si="133"/>
        <v>0</v>
      </c>
      <c r="E708">
        <f t="shared" si="134"/>
        <v>0</v>
      </c>
      <c r="F708">
        <f t="shared" si="135"/>
        <v>0</v>
      </c>
      <c r="G708">
        <f t="shared" si="136"/>
        <v>0</v>
      </c>
      <c r="H708">
        <f t="shared" si="137"/>
        <v>0</v>
      </c>
      <c r="I708">
        <f t="shared" si="138"/>
        <v>0</v>
      </c>
      <c r="J708">
        <f t="shared" si="139"/>
        <v>0</v>
      </c>
      <c r="K708">
        <f t="shared" si="140"/>
        <v>0</v>
      </c>
      <c r="L708">
        <f t="shared" si="141"/>
        <v>1</v>
      </c>
      <c r="M708">
        <f t="shared" si="142"/>
        <v>0</v>
      </c>
      <c r="N708">
        <f t="shared" si="143"/>
        <v>0</v>
      </c>
    </row>
    <row r="709" spans="1:14" x14ac:dyDescent="0.35">
      <c r="A709" s="17">
        <v>45939</v>
      </c>
      <c r="B709">
        <f>AVERAGE(Tableau2[[#This Row],[AWB]:[IAM]])</f>
        <v>-1.4763790190602312E-2</v>
      </c>
      <c r="C709">
        <f t="shared" si="132"/>
        <v>0</v>
      </c>
      <c r="D709">
        <f t="shared" si="133"/>
        <v>0</v>
      </c>
      <c r="E709">
        <f t="shared" si="134"/>
        <v>0</v>
      </c>
      <c r="F709">
        <f t="shared" si="135"/>
        <v>0</v>
      </c>
      <c r="G709">
        <f t="shared" si="136"/>
        <v>0</v>
      </c>
      <c r="H709">
        <f t="shared" si="137"/>
        <v>0</v>
      </c>
      <c r="I709">
        <f t="shared" si="138"/>
        <v>0</v>
      </c>
      <c r="J709">
        <f t="shared" si="139"/>
        <v>0</v>
      </c>
      <c r="K709">
        <f t="shared" si="140"/>
        <v>0</v>
      </c>
      <c r="L709">
        <f t="shared" si="141"/>
        <v>1</v>
      </c>
      <c r="M709">
        <f t="shared" si="142"/>
        <v>0</v>
      </c>
      <c r="N709">
        <f t="shared" si="143"/>
        <v>0</v>
      </c>
    </row>
    <row r="710" spans="1:14" x14ac:dyDescent="0.35">
      <c r="A710" s="17">
        <v>45940</v>
      </c>
      <c r="B710">
        <f>AVERAGE(Tableau2[[#This Row],[AWB]:[IAM]])</f>
        <v>-4.988828513098913E-3</v>
      </c>
      <c r="C710">
        <f t="shared" si="132"/>
        <v>0</v>
      </c>
      <c r="D710">
        <f t="shared" si="133"/>
        <v>0</v>
      </c>
      <c r="E710">
        <f t="shared" si="134"/>
        <v>0</v>
      </c>
      <c r="F710">
        <f t="shared" si="135"/>
        <v>0</v>
      </c>
      <c r="G710">
        <f t="shared" si="136"/>
        <v>0</v>
      </c>
      <c r="H710">
        <f t="shared" si="137"/>
        <v>0</v>
      </c>
      <c r="I710">
        <f t="shared" si="138"/>
        <v>0</v>
      </c>
      <c r="J710">
        <f t="shared" si="139"/>
        <v>0</v>
      </c>
      <c r="K710">
        <f t="shared" si="140"/>
        <v>0</v>
      </c>
      <c r="L710">
        <f t="shared" si="141"/>
        <v>1</v>
      </c>
      <c r="M710">
        <f t="shared" si="142"/>
        <v>0</v>
      </c>
      <c r="N710">
        <f t="shared" si="143"/>
        <v>0</v>
      </c>
    </row>
    <row r="711" spans="1:14" x14ac:dyDescent="0.35">
      <c r="A711" s="17">
        <v>45943</v>
      </c>
      <c r="B711">
        <f>AVERAGE(Tableau2[[#This Row],[AWB]:[IAM]])</f>
        <v>4.486712695843692E-3</v>
      </c>
      <c r="C711">
        <f t="shared" si="132"/>
        <v>0</v>
      </c>
      <c r="D711">
        <f t="shared" si="133"/>
        <v>0</v>
      </c>
      <c r="E711">
        <f t="shared" si="134"/>
        <v>0</v>
      </c>
      <c r="F711">
        <f t="shared" si="135"/>
        <v>0</v>
      </c>
      <c r="G711">
        <f t="shared" si="136"/>
        <v>0</v>
      </c>
      <c r="H711">
        <f t="shared" si="137"/>
        <v>0</v>
      </c>
      <c r="I711">
        <f t="shared" si="138"/>
        <v>0</v>
      </c>
      <c r="J711">
        <f t="shared" si="139"/>
        <v>0</v>
      </c>
      <c r="K711">
        <f t="shared" si="140"/>
        <v>0</v>
      </c>
      <c r="L711">
        <f t="shared" si="141"/>
        <v>1</v>
      </c>
      <c r="M711">
        <f t="shared" si="142"/>
        <v>0</v>
      </c>
      <c r="N711">
        <f t="shared" si="143"/>
        <v>0</v>
      </c>
    </row>
    <row r="712" spans="1:14" x14ac:dyDescent="0.35">
      <c r="A712" s="17">
        <v>45944</v>
      </c>
      <c r="B712">
        <f>AVERAGE(Tableau2[[#This Row],[AWB]:[IAM]])</f>
        <v>-2.2027591445910412E-2</v>
      </c>
      <c r="C712">
        <f t="shared" si="132"/>
        <v>0</v>
      </c>
      <c r="D712">
        <f t="shared" si="133"/>
        <v>0</v>
      </c>
      <c r="E712">
        <f t="shared" si="134"/>
        <v>0</v>
      </c>
      <c r="F712">
        <f t="shared" si="135"/>
        <v>0</v>
      </c>
      <c r="G712">
        <f t="shared" si="136"/>
        <v>0</v>
      </c>
      <c r="H712">
        <f t="shared" si="137"/>
        <v>0</v>
      </c>
      <c r="I712">
        <f t="shared" si="138"/>
        <v>0</v>
      </c>
      <c r="J712">
        <f t="shared" si="139"/>
        <v>0</v>
      </c>
      <c r="K712">
        <f t="shared" si="140"/>
        <v>0</v>
      </c>
      <c r="L712">
        <f t="shared" si="141"/>
        <v>1</v>
      </c>
      <c r="M712">
        <f t="shared" si="142"/>
        <v>0</v>
      </c>
      <c r="N712">
        <f t="shared" si="143"/>
        <v>0</v>
      </c>
    </row>
    <row r="713" spans="1:14" x14ac:dyDescent="0.35">
      <c r="A713" s="17">
        <v>45945</v>
      </c>
      <c r="B713">
        <f>AVERAGE(Tableau2[[#This Row],[AWB]:[IAM]])</f>
        <v>-3.3601604154758669E-3</v>
      </c>
      <c r="C713">
        <f t="shared" si="132"/>
        <v>0</v>
      </c>
      <c r="D713">
        <f t="shared" si="133"/>
        <v>0</v>
      </c>
      <c r="E713">
        <f t="shared" si="134"/>
        <v>0</v>
      </c>
      <c r="F713">
        <f t="shared" si="135"/>
        <v>0</v>
      </c>
      <c r="G713">
        <f t="shared" si="136"/>
        <v>0</v>
      </c>
      <c r="H713">
        <f t="shared" si="137"/>
        <v>0</v>
      </c>
      <c r="I713">
        <f t="shared" si="138"/>
        <v>0</v>
      </c>
      <c r="J713">
        <f t="shared" si="139"/>
        <v>0</v>
      </c>
      <c r="K713">
        <f t="shared" si="140"/>
        <v>0</v>
      </c>
      <c r="L713">
        <f t="shared" si="141"/>
        <v>1</v>
      </c>
      <c r="M713">
        <f t="shared" si="142"/>
        <v>0</v>
      </c>
      <c r="N713">
        <f t="shared" si="143"/>
        <v>0</v>
      </c>
    </row>
    <row r="714" spans="1:14" x14ac:dyDescent="0.35">
      <c r="A714" s="17">
        <v>45946</v>
      </c>
      <c r="B714">
        <f>AVERAGE(Tableau2[[#This Row],[AWB]:[IAM]])</f>
        <v>1.2249536841839341E-2</v>
      </c>
      <c r="C714">
        <f t="shared" si="132"/>
        <v>0</v>
      </c>
      <c r="D714">
        <f t="shared" si="133"/>
        <v>0</v>
      </c>
      <c r="E714">
        <f t="shared" si="134"/>
        <v>0</v>
      </c>
      <c r="F714">
        <f t="shared" si="135"/>
        <v>0</v>
      </c>
      <c r="G714">
        <f t="shared" si="136"/>
        <v>0</v>
      </c>
      <c r="H714">
        <f t="shared" si="137"/>
        <v>0</v>
      </c>
      <c r="I714">
        <f t="shared" si="138"/>
        <v>0</v>
      </c>
      <c r="J714">
        <f t="shared" si="139"/>
        <v>0</v>
      </c>
      <c r="K714">
        <f t="shared" si="140"/>
        <v>0</v>
      </c>
      <c r="L714">
        <f t="shared" si="141"/>
        <v>1</v>
      </c>
      <c r="M714">
        <f t="shared" si="142"/>
        <v>0</v>
      </c>
      <c r="N714">
        <f t="shared" si="143"/>
        <v>0</v>
      </c>
    </row>
    <row r="715" spans="1:14" x14ac:dyDescent="0.35">
      <c r="A715" s="17">
        <v>45947</v>
      </c>
      <c r="B715">
        <f>AVERAGE(Tableau2[[#This Row],[AWB]:[IAM]])</f>
        <v>-5.7115192605566173E-4</v>
      </c>
      <c r="C715">
        <f t="shared" si="132"/>
        <v>0</v>
      </c>
      <c r="D715">
        <f t="shared" si="133"/>
        <v>0</v>
      </c>
      <c r="E715">
        <f t="shared" si="134"/>
        <v>0</v>
      </c>
      <c r="F715">
        <f t="shared" si="135"/>
        <v>0</v>
      </c>
      <c r="G715">
        <f t="shared" si="136"/>
        <v>0</v>
      </c>
      <c r="H715">
        <f t="shared" si="137"/>
        <v>0</v>
      </c>
      <c r="I715">
        <f t="shared" si="138"/>
        <v>0</v>
      </c>
      <c r="J715">
        <f t="shared" si="139"/>
        <v>0</v>
      </c>
      <c r="K715">
        <f t="shared" si="140"/>
        <v>0</v>
      </c>
      <c r="L715">
        <f t="shared" si="141"/>
        <v>1</v>
      </c>
      <c r="M715">
        <f t="shared" si="142"/>
        <v>0</v>
      </c>
      <c r="N715">
        <f t="shared" si="143"/>
        <v>0</v>
      </c>
    </row>
    <row r="716" spans="1:14" x14ac:dyDescent="0.35">
      <c r="A716" s="17">
        <v>45950</v>
      </c>
      <c r="B716">
        <f>AVERAGE(Tableau2[[#This Row],[AWB]:[IAM]])</f>
        <v>2.8479369414211968E-2</v>
      </c>
      <c r="C716">
        <f t="shared" si="132"/>
        <v>0</v>
      </c>
      <c r="D716">
        <f t="shared" si="133"/>
        <v>0</v>
      </c>
      <c r="E716">
        <f t="shared" si="134"/>
        <v>0</v>
      </c>
      <c r="F716">
        <f t="shared" si="135"/>
        <v>0</v>
      </c>
      <c r="G716">
        <f t="shared" si="136"/>
        <v>0</v>
      </c>
      <c r="H716">
        <f t="shared" si="137"/>
        <v>0</v>
      </c>
      <c r="I716">
        <f t="shared" si="138"/>
        <v>0</v>
      </c>
      <c r="J716">
        <f t="shared" si="139"/>
        <v>0</v>
      </c>
      <c r="K716">
        <f t="shared" si="140"/>
        <v>0</v>
      </c>
      <c r="L716">
        <f t="shared" si="141"/>
        <v>1</v>
      </c>
      <c r="M716">
        <f t="shared" si="142"/>
        <v>0</v>
      </c>
      <c r="N716">
        <f t="shared" si="143"/>
        <v>0</v>
      </c>
    </row>
    <row r="717" spans="1:14" x14ac:dyDescent="0.35">
      <c r="A717" s="17">
        <v>45951</v>
      </c>
      <c r="B717">
        <f>AVERAGE(Tableau2[[#This Row],[AWB]:[IAM]])</f>
        <v>2.0774342807251458E-2</v>
      </c>
      <c r="C717">
        <f t="shared" si="132"/>
        <v>0</v>
      </c>
      <c r="D717">
        <f t="shared" si="133"/>
        <v>0</v>
      </c>
      <c r="E717">
        <f t="shared" si="134"/>
        <v>0</v>
      </c>
      <c r="F717">
        <f t="shared" si="135"/>
        <v>0</v>
      </c>
      <c r="G717">
        <f t="shared" si="136"/>
        <v>0</v>
      </c>
      <c r="H717">
        <f t="shared" si="137"/>
        <v>0</v>
      </c>
      <c r="I717">
        <f t="shared" si="138"/>
        <v>0</v>
      </c>
      <c r="J717">
        <f t="shared" si="139"/>
        <v>0</v>
      </c>
      <c r="K717">
        <f t="shared" si="140"/>
        <v>0</v>
      </c>
      <c r="L717">
        <f t="shared" si="141"/>
        <v>1</v>
      </c>
      <c r="M717">
        <f t="shared" si="142"/>
        <v>0</v>
      </c>
      <c r="N717">
        <f t="shared" si="143"/>
        <v>0</v>
      </c>
    </row>
    <row r="718" spans="1:14" x14ac:dyDescent="0.35">
      <c r="A718" s="17">
        <v>45952</v>
      </c>
      <c r="B718">
        <f>AVERAGE(Tableau2[[#This Row],[AWB]:[IAM]])</f>
        <v>3.4970101258107078E-3</v>
      </c>
      <c r="C718">
        <f t="shared" si="132"/>
        <v>0</v>
      </c>
      <c r="D718">
        <f t="shared" si="133"/>
        <v>0</v>
      </c>
      <c r="E718">
        <f t="shared" si="134"/>
        <v>0</v>
      </c>
      <c r="F718">
        <f t="shared" si="135"/>
        <v>0</v>
      </c>
      <c r="G718">
        <f t="shared" si="136"/>
        <v>0</v>
      </c>
      <c r="H718">
        <f t="shared" si="137"/>
        <v>0</v>
      </c>
      <c r="I718">
        <f t="shared" si="138"/>
        <v>0</v>
      </c>
      <c r="J718">
        <f t="shared" si="139"/>
        <v>0</v>
      </c>
      <c r="K718">
        <f t="shared" si="140"/>
        <v>0</v>
      </c>
      <c r="L718">
        <f t="shared" si="141"/>
        <v>1</v>
      </c>
      <c r="M718">
        <f t="shared" si="142"/>
        <v>0</v>
      </c>
      <c r="N718">
        <f t="shared" si="143"/>
        <v>0</v>
      </c>
    </row>
    <row r="719" spans="1:14" x14ac:dyDescent="0.35">
      <c r="A719" s="17">
        <v>45953</v>
      </c>
      <c r="B719">
        <f>AVERAGE(Tableau2[[#This Row],[AWB]:[IAM]])</f>
        <v>-2.3957404904464243E-3</v>
      </c>
      <c r="C719">
        <f t="shared" si="132"/>
        <v>0</v>
      </c>
      <c r="D719">
        <f t="shared" si="133"/>
        <v>0</v>
      </c>
      <c r="E719">
        <f t="shared" si="134"/>
        <v>0</v>
      </c>
      <c r="F719">
        <f t="shared" si="135"/>
        <v>0</v>
      </c>
      <c r="G719">
        <f t="shared" si="136"/>
        <v>0</v>
      </c>
      <c r="H719">
        <f t="shared" si="137"/>
        <v>0</v>
      </c>
      <c r="I719">
        <f t="shared" si="138"/>
        <v>0</v>
      </c>
      <c r="J719">
        <f t="shared" si="139"/>
        <v>0</v>
      </c>
      <c r="K719">
        <f t="shared" si="140"/>
        <v>0</v>
      </c>
      <c r="L719">
        <f t="shared" si="141"/>
        <v>1</v>
      </c>
      <c r="M719">
        <f t="shared" si="142"/>
        <v>0</v>
      </c>
      <c r="N719">
        <f t="shared" si="143"/>
        <v>0</v>
      </c>
    </row>
    <row r="720" spans="1:14" x14ac:dyDescent="0.35">
      <c r="A720" s="17">
        <v>45954</v>
      </c>
      <c r="B720">
        <f>AVERAGE(Tableau2[[#This Row],[AWB]:[IAM]])</f>
        <v>4.1399210918216843E-3</v>
      </c>
      <c r="C720">
        <f t="shared" si="132"/>
        <v>0</v>
      </c>
      <c r="D720">
        <f t="shared" si="133"/>
        <v>0</v>
      </c>
      <c r="E720">
        <f t="shared" si="134"/>
        <v>0</v>
      </c>
      <c r="F720">
        <f t="shared" si="135"/>
        <v>0</v>
      </c>
      <c r="G720">
        <f t="shared" si="136"/>
        <v>0</v>
      </c>
      <c r="H720">
        <f t="shared" si="137"/>
        <v>0</v>
      </c>
      <c r="I720">
        <f t="shared" si="138"/>
        <v>0</v>
      </c>
      <c r="J720">
        <f t="shared" si="139"/>
        <v>0</v>
      </c>
      <c r="K720">
        <f t="shared" si="140"/>
        <v>0</v>
      </c>
      <c r="L720">
        <f t="shared" si="141"/>
        <v>1</v>
      </c>
      <c r="M720">
        <f t="shared" si="142"/>
        <v>0</v>
      </c>
      <c r="N720">
        <f t="shared" si="143"/>
        <v>0</v>
      </c>
    </row>
    <row r="721" spans="1:14" x14ac:dyDescent="0.35">
      <c r="A721" s="17">
        <v>45957</v>
      </c>
      <c r="B721">
        <f>AVERAGE(Tableau2[[#This Row],[AWB]:[IAM]])</f>
        <v>-2.7991870799608815E-3</v>
      </c>
      <c r="C721">
        <f t="shared" si="132"/>
        <v>0</v>
      </c>
      <c r="D721">
        <f t="shared" si="133"/>
        <v>0</v>
      </c>
      <c r="E721">
        <f t="shared" si="134"/>
        <v>0</v>
      </c>
      <c r="F721">
        <f t="shared" si="135"/>
        <v>0</v>
      </c>
      <c r="G721">
        <f t="shared" si="136"/>
        <v>0</v>
      </c>
      <c r="H721">
        <f t="shared" si="137"/>
        <v>0</v>
      </c>
      <c r="I721">
        <f t="shared" si="138"/>
        <v>0</v>
      </c>
      <c r="J721">
        <f t="shared" si="139"/>
        <v>0</v>
      </c>
      <c r="K721">
        <f t="shared" si="140"/>
        <v>0</v>
      </c>
      <c r="L721">
        <f t="shared" si="141"/>
        <v>1</v>
      </c>
      <c r="M721">
        <f t="shared" si="142"/>
        <v>0</v>
      </c>
      <c r="N721">
        <f t="shared" si="143"/>
        <v>0</v>
      </c>
    </row>
    <row r="722" spans="1:14" x14ac:dyDescent="0.35">
      <c r="A722" s="17">
        <v>45958</v>
      </c>
      <c r="B722">
        <f>AVERAGE(Tableau2[[#This Row],[AWB]:[IAM]])</f>
        <v>9.7476350704657697E-3</v>
      </c>
      <c r="C722">
        <f t="shared" si="132"/>
        <v>0</v>
      </c>
      <c r="D722">
        <f t="shared" si="133"/>
        <v>0</v>
      </c>
      <c r="E722">
        <f t="shared" si="134"/>
        <v>0</v>
      </c>
      <c r="F722">
        <f t="shared" si="135"/>
        <v>0</v>
      </c>
      <c r="G722">
        <f t="shared" si="136"/>
        <v>0</v>
      </c>
      <c r="H722">
        <f t="shared" si="137"/>
        <v>0</v>
      </c>
      <c r="I722">
        <f t="shared" si="138"/>
        <v>0</v>
      </c>
      <c r="J722">
        <f t="shared" si="139"/>
        <v>0</v>
      </c>
      <c r="K722">
        <f t="shared" si="140"/>
        <v>0</v>
      </c>
      <c r="L722">
        <f t="shared" si="141"/>
        <v>1</v>
      </c>
      <c r="M722">
        <f t="shared" si="142"/>
        <v>0</v>
      </c>
      <c r="N722">
        <f t="shared" si="143"/>
        <v>0</v>
      </c>
    </row>
    <row r="723" spans="1:14" x14ac:dyDescent="0.35">
      <c r="A723" s="17">
        <v>45959</v>
      </c>
      <c r="B723">
        <f>AVERAGE(Tableau2[[#This Row],[AWB]:[IAM]])</f>
        <v>-6.2382516489562889E-4</v>
      </c>
      <c r="C723">
        <f t="shared" si="132"/>
        <v>0</v>
      </c>
      <c r="D723">
        <f t="shared" si="133"/>
        <v>0</v>
      </c>
      <c r="E723">
        <f t="shared" si="134"/>
        <v>0</v>
      </c>
      <c r="F723">
        <f t="shared" si="135"/>
        <v>0</v>
      </c>
      <c r="G723">
        <f t="shared" si="136"/>
        <v>0</v>
      </c>
      <c r="H723">
        <f t="shared" si="137"/>
        <v>0</v>
      </c>
      <c r="I723">
        <f t="shared" si="138"/>
        <v>0</v>
      </c>
      <c r="J723">
        <f t="shared" si="139"/>
        <v>0</v>
      </c>
      <c r="K723">
        <f t="shared" si="140"/>
        <v>0</v>
      </c>
      <c r="L723">
        <f t="shared" si="141"/>
        <v>1</v>
      </c>
      <c r="M723">
        <f t="shared" si="142"/>
        <v>0</v>
      </c>
      <c r="N723">
        <f t="shared" si="143"/>
        <v>0</v>
      </c>
    </row>
    <row r="724" spans="1:14" x14ac:dyDescent="0.35">
      <c r="A724" s="17">
        <v>45960</v>
      </c>
      <c r="B724">
        <f>AVERAGE(Tableau2[[#This Row],[AWB]:[IAM]])</f>
        <v>1.648007296098112E-4</v>
      </c>
      <c r="C724">
        <f t="shared" si="132"/>
        <v>0</v>
      </c>
      <c r="D724">
        <f t="shared" si="133"/>
        <v>0</v>
      </c>
      <c r="E724">
        <f t="shared" si="134"/>
        <v>0</v>
      </c>
      <c r="F724">
        <f t="shared" si="135"/>
        <v>0</v>
      </c>
      <c r="G724">
        <f t="shared" si="136"/>
        <v>0</v>
      </c>
      <c r="H724">
        <f t="shared" si="137"/>
        <v>0</v>
      </c>
      <c r="I724">
        <f t="shared" si="138"/>
        <v>0</v>
      </c>
      <c r="J724">
        <f t="shared" si="139"/>
        <v>0</v>
      </c>
      <c r="K724">
        <f t="shared" si="140"/>
        <v>0</v>
      </c>
      <c r="L724">
        <f t="shared" si="141"/>
        <v>1</v>
      </c>
      <c r="M724">
        <f t="shared" si="142"/>
        <v>0</v>
      </c>
      <c r="N724">
        <f t="shared" si="143"/>
        <v>0</v>
      </c>
    </row>
    <row r="725" spans="1:14" x14ac:dyDescent="0.35">
      <c r="A725" s="17">
        <v>45961</v>
      </c>
      <c r="B725">
        <f>AVERAGE(Tableau2[[#This Row],[AWB]:[IAM]])</f>
        <v>5.7989280190900837E-3</v>
      </c>
      <c r="C725">
        <f t="shared" si="132"/>
        <v>0</v>
      </c>
      <c r="D725">
        <f t="shared" si="133"/>
        <v>0</v>
      </c>
      <c r="E725">
        <f t="shared" si="134"/>
        <v>0</v>
      </c>
      <c r="F725">
        <f t="shared" si="135"/>
        <v>0</v>
      </c>
      <c r="G725">
        <f t="shared" si="136"/>
        <v>0</v>
      </c>
      <c r="H725">
        <f t="shared" si="137"/>
        <v>0</v>
      </c>
      <c r="I725">
        <f t="shared" si="138"/>
        <v>0</v>
      </c>
      <c r="J725">
        <f t="shared" si="139"/>
        <v>0</v>
      </c>
      <c r="K725">
        <f t="shared" si="140"/>
        <v>0</v>
      </c>
      <c r="L725">
        <f t="shared" si="141"/>
        <v>1</v>
      </c>
      <c r="M725">
        <f t="shared" si="142"/>
        <v>0</v>
      </c>
      <c r="N725">
        <f t="shared" si="143"/>
        <v>0</v>
      </c>
    </row>
    <row r="726" spans="1:14" x14ac:dyDescent="0.35">
      <c r="A726" s="17">
        <v>45964</v>
      </c>
      <c r="B726">
        <f>AVERAGE(Tableau2[[#This Row],[AWB]:[IAM]])</f>
        <v>1.9761971608167801E-4</v>
      </c>
      <c r="C726">
        <f t="shared" si="132"/>
        <v>0</v>
      </c>
      <c r="D726">
        <f t="shared" si="133"/>
        <v>0</v>
      </c>
      <c r="E726">
        <f t="shared" si="134"/>
        <v>0</v>
      </c>
      <c r="F726">
        <f t="shared" si="135"/>
        <v>0</v>
      </c>
      <c r="G726">
        <f t="shared" si="136"/>
        <v>0</v>
      </c>
      <c r="H726">
        <f t="shared" si="137"/>
        <v>0</v>
      </c>
      <c r="I726">
        <f t="shared" si="138"/>
        <v>0</v>
      </c>
      <c r="J726">
        <f t="shared" si="139"/>
        <v>0</v>
      </c>
      <c r="K726">
        <f t="shared" si="140"/>
        <v>0</v>
      </c>
      <c r="L726">
        <f t="shared" si="141"/>
        <v>0</v>
      </c>
      <c r="M726">
        <f t="shared" si="142"/>
        <v>1</v>
      </c>
      <c r="N726">
        <f t="shared" si="143"/>
        <v>0</v>
      </c>
    </row>
    <row r="727" spans="1:14" x14ac:dyDescent="0.35">
      <c r="A727" s="17">
        <v>45965</v>
      </c>
      <c r="B727">
        <f>AVERAGE(Tableau2[[#This Row],[AWB]:[IAM]])</f>
        <v>-1.4634905277048276E-3</v>
      </c>
      <c r="C727">
        <f t="shared" si="132"/>
        <v>0</v>
      </c>
      <c r="D727">
        <f t="shared" si="133"/>
        <v>0</v>
      </c>
      <c r="E727">
        <f t="shared" si="134"/>
        <v>0</v>
      </c>
      <c r="F727">
        <f t="shared" si="135"/>
        <v>0</v>
      </c>
      <c r="G727">
        <f t="shared" si="136"/>
        <v>0</v>
      </c>
      <c r="H727">
        <f t="shared" si="137"/>
        <v>0</v>
      </c>
      <c r="I727">
        <f t="shared" si="138"/>
        <v>0</v>
      </c>
      <c r="J727">
        <f t="shared" si="139"/>
        <v>0</v>
      </c>
      <c r="K727">
        <f t="shared" si="140"/>
        <v>0</v>
      </c>
      <c r="L727">
        <f t="shared" si="141"/>
        <v>0</v>
      </c>
      <c r="M727">
        <f t="shared" si="142"/>
        <v>1</v>
      </c>
      <c r="N727">
        <f t="shared" si="143"/>
        <v>0</v>
      </c>
    </row>
    <row r="728" spans="1:14" x14ac:dyDescent="0.35">
      <c r="A728" s="17">
        <v>45966</v>
      </c>
      <c r="B728">
        <f>AVERAGE(Tableau2[[#This Row],[AWB]:[IAM]])</f>
        <v>-7.6731928043580833E-3</v>
      </c>
      <c r="C728">
        <f t="shared" si="132"/>
        <v>0</v>
      </c>
      <c r="D728">
        <f t="shared" si="133"/>
        <v>0</v>
      </c>
      <c r="E728">
        <f t="shared" si="134"/>
        <v>0</v>
      </c>
      <c r="F728">
        <f t="shared" si="135"/>
        <v>0</v>
      </c>
      <c r="G728">
        <f t="shared" si="136"/>
        <v>0</v>
      </c>
      <c r="H728">
        <f t="shared" si="137"/>
        <v>0</v>
      </c>
      <c r="I728">
        <f t="shared" si="138"/>
        <v>0</v>
      </c>
      <c r="J728">
        <f t="shared" si="139"/>
        <v>0</v>
      </c>
      <c r="K728">
        <f t="shared" si="140"/>
        <v>0</v>
      </c>
      <c r="L728">
        <f t="shared" si="141"/>
        <v>0</v>
      </c>
      <c r="M728">
        <f t="shared" si="142"/>
        <v>1</v>
      </c>
      <c r="N728">
        <f t="shared" si="143"/>
        <v>0</v>
      </c>
    </row>
    <row r="729" spans="1:14" x14ac:dyDescent="0.35">
      <c r="A729" s="17">
        <v>45968</v>
      </c>
      <c r="B729">
        <f>AVERAGE(Tableau2[[#This Row],[AWB]:[IAM]])</f>
        <v>-8.2344131004873332E-3</v>
      </c>
      <c r="C729">
        <f t="shared" si="132"/>
        <v>0</v>
      </c>
      <c r="D729">
        <f t="shared" si="133"/>
        <v>0</v>
      </c>
      <c r="E729">
        <f t="shared" si="134"/>
        <v>0</v>
      </c>
      <c r="F729">
        <f t="shared" si="135"/>
        <v>0</v>
      </c>
      <c r="G729">
        <f t="shared" si="136"/>
        <v>0</v>
      </c>
      <c r="H729">
        <f t="shared" si="137"/>
        <v>0</v>
      </c>
      <c r="I729">
        <f t="shared" si="138"/>
        <v>0</v>
      </c>
      <c r="J729">
        <f t="shared" si="139"/>
        <v>0</v>
      </c>
      <c r="K729">
        <f t="shared" si="140"/>
        <v>0</v>
      </c>
      <c r="L729">
        <f t="shared" si="141"/>
        <v>0</v>
      </c>
      <c r="M729">
        <f t="shared" si="142"/>
        <v>1</v>
      </c>
      <c r="N729">
        <f t="shared" si="143"/>
        <v>0</v>
      </c>
    </row>
    <row r="730" spans="1:14" x14ac:dyDescent="0.35">
      <c r="A730" s="17">
        <v>45971</v>
      </c>
      <c r="B730">
        <f>AVERAGE(Tableau2[[#This Row],[AWB]:[IAM]])</f>
        <v>-4.968786029156254E-3</v>
      </c>
      <c r="C730">
        <f t="shared" si="132"/>
        <v>0</v>
      </c>
      <c r="D730">
        <f t="shared" si="133"/>
        <v>0</v>
      </c>
      <c r="E730">
        <f t="shared" si="134"/>
        <v>0</v>
      </c>
      <c r="F730">
        <f t="shared" si="135"/>
        <v>0</v>
      </c>
      <c r="G730">
        <f t="shared" si="136"/>
        <v>0</v>
      </c>
      <c r="H730">
        <f t="shared" si="137"/>
        <v>0</v>
      </c>
      <c r="I730">
        <f t="shared" si="138"/>
        <v>0</v>
      </c>
      <c r="J730">
        <f t="shared" si="139"/>
        <v>0</v>
      </c>
      <c r="K730">
        <f t="shared" si="140"/>
        <v>0</v>
      </c>
      <c r="L730">
        <f t="shared" si="141"/>
        <v>0</v>
      </c>
      <c r="M730">
        <f t="shared" si="142"/>
        <v>1</v>
      </c>
      <c r="N730">
        <f t="shared" si="143"/>
        <v>0</v>
      </c>
    </row>
    <row r="731" spans="1:14" x14ac:dyDescent="0.35">
      <c r="A731" s="17">
        <v>45972</v>
      </c>
      <c r="B731">
        <f>AVERAGE(Tableau2[[#This Row],[AWB]:[IAM]])</f>
        <v>-2.8779047708420886E-2</v>
      </c>
      <c r="C731">
        <f t="shared" si="132"/>
        <v>0</v>
      </c>
      <c r="D731">
        <f t="shared" si="133"/>
        <v>0</v>
      </c>
      <c r="E731">
        <f t="shared" si="134"/>
        <v>0</v>
      </c>
      <c r="F731">
        <f t="shared" si="135"/>
        <v>0</v>
      </c>
      <c r="G731">
        <f t="shared" si="136"/>
        <v>0</v>
      </c>
      <c r="H731">
        <f t="shared" si="137"/>
        <v>0</v>
      </c>
      <c r="I731">
        <f t="shared" si="138"/>
        <v>0</v>
      </c>
      <c r="J731">
        <f t="shared" si="139"/>
        <v>0</v>
      </c>
      <c r="K731">
        <f t="shared" si="140"/>
        <v>0</v>
      </c>
      <c r="L731">
        <f t="shared" si="141"/>
        <v>0</v>
      </c>
      <c r="M731">
        <f t="shared" si="142"/>
        <v>1</v>
      </c>
      <c r="N731">
        <f t="shared" si="143"/>
        <v>0</v>
      </c>
    </row>
    <row r="732" spans="1:14" x14ac:dyDescent="0.35">
      <c r="A732" s="17">
        <v>45973</v>
      </c>
      <c r="B732">
        <f>AVERAGE(Tableau2[[#This Row],[AWB]:[IAM]])</f>
        <v>5.6576818871912939E-3</v>
      </c>
      <c r="C732">
        <f t="shared" si="132"/>
        <v>0</v>
      </c>
      <c r="D732">
        <f t="shared" si="133"/>
        <v>0</v>
      </c>
      <c r="E732">
        <f t="shared" si="134"/>
        <v>0</v>
      </c>
      <c r="F732">
        <f t="shared" si="135"/>
        <v>0</v>
      </c>
      <c r="G732">
        <f t="shared" si="136"/>
        <v>0</v>
      </c>
      <c r="H732">
        <f t="shared" si="137"/>
        <v>0</v>
      </c>
      <c r="I732">
        <f t="shared" si="138"/>
        <v>0</v>
      </c>
      <c r="J732">
        <f t="shared" si="139"/>
        <v>0</v>
      </c>
      <c r="K732">
        <f t="shared" si="140"/>
        <v>0</v>
      </c>
      <c r="L732">
        <f t="shared" si="141"/>
        <v>0</v>
      </c>
      <c r="M732">
        <f t="shared" si="142"/>
        <v>1</v>
      </c>
      <c r="N732">
        <f t="shared" si="143"/>
        <v>0</v>
      </c>
    </row>
    <row r="733" spans="1:14" x14ac:dyDescent="0.35">
      <c r="A733" s="17">
        <v>45974</v>
      </c>
      <c r="B733">
        <f>AVERAGE(Tableau2[[#This Row],[AWB]:[IAM]])</f>
        <v>5.2305114837737218E-3</v>
      </c>
      <c r="C733">
        <f t="shared" si="132"/>
        <v>0</v>
      </c>
      <c r="D733">
        <f t="shared" si="133"/>
        <v>0</v>
      </c>
      <c r="E733">
        <f t="shared" si="134"/>
        <v>0</v>
      </c>
      <c r="F733">
        <f t="shared" si="135"/>
        <v>0</v>
      </c>
      <c r="G733">
        <f t="shared" si="136"/>
        <v>0</v>
      </c>
      <c r="H733">
        <f t="shared" si="137"/>
        <v>0</v>
      </c>
      <c r="I733">
        <f t="shared" si="138"/>
        <v>0</v>
      </c>
      <c r="J733">
        <f t="shared" si="139"/>
        <v>0</v>
      </c>
      <c r="K733">
        <f t="shared" si="140"/>
        <v>0</v>
      </c>
      <c r="L733">
        <f t="shared" si="141"/>
        <v>0</v>
      </c>
      <c r="M733">
        <f t="shared" si="142"/>
        <v>1</v>
      </c>
      <c r="N733">
        <f t="shared" si="143"/>
        <v>0</v>
      </c>
    </row>
    <row r="734" spans="1:14" x14ac:dyDescent="0.35">
      <c r="A734" s="17">
        <v>45975</v>
      </c>
      <c r="B734">
        <f>AVERAGE(Tableau2[[#This Row],[AWB]:[IAM]])</f>
        <v>-9.3837219001995601E-3</v>
      </c>
      <c r="C734">
        <f t="shared" si="132"/>
        <v>0</v>
      </c>
      <c r="D734">
        <f t="shared" si="133"/>
        <v>0</v>
      </c>
      <c r="E734">
        <f t="shared" si="134"/>
        <v>0</v>
      </c>
      <c r="F734">
        <f t="shared" si="135"/>
        <v>0</v>
      </c>
      <c r="G734">
        <f t="shared" si="136"/>
        <v>0</v>
      </c>
      <c r="H734">
        <f t="shared" si="137"/>
        <v>0</v>
      </c>
      <c r="I734">
        <f t="shared" si="138"/>
        <v>0</v>
      </c>
      <c r="J734">
        <f t="shared" si="139"/>
        <v>0</v>
      </c>
      <c r="K734">
        <f t="shared" si="140"/>
        <v>0</v>
      </c>
      <c r="L734">
        <f t="shared" si="141"/>
        <v>0</v>
      </c>
      <c r="M734">
        <f t="shared" si="142"/>
        <v>1</v>
      </c>
      <c r="N734">
        <f t="shared" si="143"/>
        <v>0</v>
      </c>
    </row>
    <row r="735" spans="1:14" x14ac:dyDescent="0.35">
      <c r="A735" s="17">
        <v>45978</v>
      </c>
      <c r="B735">
        <f>AVERAGE(Tableau2[[#This Row],[AWB]:[IAM]])</f>
        <v>-6.3577220486980245E-3</v>
      </c>
      <c r="C735">
        <f t="shared" si="132"/>
        <v>0</v>
      </c>
      <c r="D735">
        <f t="shared" si="133"/>
        <v>0</v>
      </c>
      <c r="E735">
        <f t="shared" si="134"/>
        <v>0</v>
      </c>
      <c r="F735">
        <f t="shared" si="135"/>
        <v>0</v>
      </c>
      <c r="G735">
        <f t="shared" si="136"/>
        <v>0</v>
      </c>
      <c r="H735">
        <f t="shared" si="137"/>
        <v>0</v>
      </c>
      <c r="I735">
        <f t="shared" si="138"/>
        <v>0</v>
      </c>
      <c r="J735">
        <f t="shared" si="139"/>
        <v>0</v>
      </c>
      <c r="K735">
        <f t="shared" si="140"/>
        <v>0</v>
      </c>
      <c r="L735">
        <f t="shared" si="141"/>
        <v>0</v>
      </c>
      <c r="M735">
        <f t="shared" si="142"/>
        <v>1</v>
      </c>
      <c r="N735">
        <f t="shared" si="143"/>
        <v>0</v>
      </c>
    </row>
    <row r="736" spans="1:14" x14ac:dyDescent="0.35">
      <c r="A736" s="17">
        <v>45980</v>
      </c>
      <c r="B736">
        <f>AVERAGE(Tableau2[[#This Row],[AWB]:[IAM]])</f>
        <v>-1.5951903159636321E-2</v>
      </c>
      <c r="C736">
        <f t="shared" si="132"/>
        <v>0</v>
      </c>
      <c r="D736">
        <f t="shared" si="133"/>
        <v>0</v>
      </c>
      <c r="E736">
        <f t="shared" si="134"/>
        <v>0</v>
      </c>
      <c r="F736">
        <f t="shared" si="135"/>
        <v>0</v>
      </c>
      <c r="G736">
        <f t="shared" si="136"/>
        <v>0</v>
      </c>
      <c r="H736">
        <f t="shared" si="137"/>
        <v>0</v>
      </c>
      <c r="I736">
        <f t="shared" si="138"/>
        <v>0</v>
      </c>
      <c r="J736">
        <f t="shared" si="139"/>
        <v>0</v>
      </c>
      <c r="K736">
        <f t="shared" si="140"/>
        <v>0</v>
      </c>
      <c r="L736">
        <f t="shared" si="141"/>
        <v>0</v>
      </c>
      <c r="M736">
        <f t="shared" si="142"/>
        <v>1</v>
      </c>
      <c r="N736">
        <f t="shared" si="143"/>
        <v>0</v>
      </c>
    </row>
    <row r="737" spans="1:14" x14ac:dyDescent="0.35">
      <c r="A737" s="17">
        <v>45981</v>
      </c>
      <c r="B737">
        <f>AVERAGE(Tableau2[[#This Row],[AWB]:[IAM]])</f>
        <v>-5.8860096730499892E-3</v>
      </c>
      <c r="C737">
        <f t="shared" si="132"/>
        <v>0</v>
      </c>
      <c r="D737">
        <f t="shared" si="133"/>
        <v>0</v>
      </c>
      <c r="E737">
        <f t="shared" si="134"/>
        <v>0</v>
      </c>
      <c r="F737">
        <f t="shared" si="135"/>
        <v>0</v>
      </c>
      <c r="G737">
        <f t="shared" si="136"/>
        <v>0</v>
      </c>
      <c r="H737">
        <f t="shared" si="137"/>
        <v>0</v>
      </c>
      <c r="I737">
        <f t="shared" si="138"/>
        <v>0</v>
      </c>
      <c r="J737">
        <f t="shared" si="139"/>
        <v>0</v>
      </c>
      <c r="K737">
        <f t="shared" si="140"/>
        <v>0</v>
      </c>
      <c r="L737">
        <f t="shared" si="141"/>
        <v>0</v>
      </c>
      <c r="M737">
        <f t="shared" si="142"/>
        <v>1</v>
      </c>
      <c r="N737">
        <f t="shared" si="143"/>
        <v>0</v>
      </c>
    </row>
    <row r="738" spans="1:14" x14ac:dyDescent="0.35">
      <c r="A738" s="17">
        <v>45982</v>
      </c>
      <c r="B738">
        <f>AVERAGE(Tableau2[[#This Row],[AWB]:[IAM]])</f>
        <v>6.0493246593491682E-3</v>
      </c>
      <c r="C738">
        <f t="shared" si="132"/>
        <v>0</v>
      </c>
      <c r="D738">
        <f t="shared" si="133"/>
        <v>0</v>
      </c>
      <c r="E738">
        <f t="shared" si="134"/>
        <v>0</v>
      </c>
      <c r="F738">
        <f t="shared" si="135"/>
        <v>0</v>
      </c>
      <c r="G738">
        <f t="shared" si="136"/>
        <v>0</v>
      </c>
      <c r="H738">
        <f t="shared" si="137"/>
        <v>0</v>
      </c>
      <c r="I738">
        <f t="shared" si="138"/>
        <v>0</v>
      </c>
      <c r="J738">
        <f t="shared" si="139"/>
        <v>0</v>
      </c>
      <c r="K738">
        <f t="shared" si="140"/>
        <v>0</v>
      </c>
      <c r="L738">
        <f t="shared" si="141"/>
        <v>0</v>
      </c>
      <c r="M738">
        <f t="shared" si="142"/>
        <v>1</v>
      </c>
      <c r="N738">
        <f t="shared" si="143"/>
        <v>0</v>
      </c>
    </row>
    <row r="739" spans="1:14" x14ac:dyDescent="0.35">
      <c r="A739" s="17">
        <v>45986</v>
      </c>
      <c r="B739">
        <f>AVERAGE(Tableau2[[#This Row],[AWB]:[IAM]])</f>
        <v>5.8863030848871594E-4</v>
      </c>
      <c r="C739">
        <f t="shared" si="132"/>
        <v>0</v>
      </c>
      <c r="D739">
        <f t="shared" si="133"/>
        <v>0</v>
      </c>
      <c r="E739">
        <f t="shared" si="134"/>
        <v>0</v>
      </c>
      <c r="F739">
        <f t="shared" si="135"/>
        <v>0</v>
      </c>
      <c r="G739">
        <f t="shared" si="136"/>
        <v>0</v>
      </c>
      <c r="H739">
        <f t="shared" si="137"/>
        <v>0</v>
      </c>
      <c r="I739">
        <f t="shared" si="138"/>
        <v>0</v>
      </c>
      <c r="J739">
        <f t="shared" si="139"/>
        <v>0</v>
      </c>
      <c r="K739">
        <f t="shared" si="140"/>
        <v>0</v>
      </c>
      <c r="L739">
        <f t="shared" si="141"/>
        <v>0</v>
      </c>
      <c r="M739">
        <f t="shared" si="142"/>
        <v>1</v>
      </c>
      <c r="N739">
        <f t="shared" si="143"/>
        <v>0</v>
      </c>
    </row>
    <row r="740" spans="1:14" x14ac:dyDescent="0.35">
      <c r="A740" s="17">
        <v>45987</v>
      </c>
      <c r="B740">
        <f>AVERAGE(Tableau2[[#This Row],[AWB]:[IAM]])</f>
        <v>1.6500384859527576E-3</v>
      </c>
      <c r="C740">
        <f t="shared" si="132"/>
        <v>0</v>
      </c>
      <c r="D740">
        <f t="shared" si="133"/>
        <v>0</v>
      </c>
      <c r="E740">
        <f t="shared" si="134"/>
        <v>0</v>
      </c>
      <c r="F740">
        <f t="shared" si="135"/>
        <v>0</v>
      </c>
      <c r="G740">
        <f t="shared" si="136"/>
        <v>0</v>
      </c>
      <c r="H740">
        <f t="shared" si="137"/>
        <v>0</v>
      </c>
      <c r="I740">
        <f t="shared" si="138"/>
        <v>0</v>
      </c>
      <c r="J740">
        <f t="shared" si="139"/>
        <v>0</v>
      </c>
      <c r="K740">
        <f t="shared" si="140"/>
        <v>0</v>
      </c>
      <c r="L740">
        <f t="shared" si="141"/>
        <v>0</v>
      </c>
      <c r="M740">
        <f t="shared" si="142"/>
        <v>1</v>
      </c>
      <c r="N740">
        <f t="shared" si="143"/>
        <v>0</v>
      </c>
    </row>
    <row r="741" spans="1:14" x14ac:dyDescent="0.35">
      <c r="A741" s="17">
        <v>45988</v>
      </c>
      <c r="B741">
        <f>AVERAGE(Tableau2[[#This Row],[AWB]:[IAM]])</f>
        <v>9.3651426582949879E-3</v>
      </c>
      <c r="C741">
        <f t="shared" si="132"/>
        <v>0</v>
      </c>
      <c r="D741">
        <f t="shared" si="133"/>
        <v>0</v>
      </c>
      <c r="E741">
        <f t="shared" si="134"/>
        <v>0</v>
      </c>
      <c r="F741">
        <f t="shared" si="135"/>
        <v>0</v>
      </c>
      <c r="G741">
        <f t="shared" si="136"/>
        <v>0</v>
      </c>
      <c r="H741">
        <f t="shared" si="137"/>
        <v>0</v>
      </c>
      <c r="I741">
        <f t="shared" si="138"/>
        <v>0</v>
      </c>
      <c r="J741">
        <f t="shared" si="139"/>
        <v>0</v>
      </c>
      <c r="K741">
        <f t="shared" si="140"/>
        <v>0</v>
      </c>
      <c r="L741">
        <f t="shared" si="141"/>
        <v>0</v>
      </c>
      <c r="M741">
        <f t="shared" si="142"/>
        <v>1</v>
      </c>
      <c r="N741">
        <f t="shared" si="143"/>
        <v>0</v>
      </c>
    </row>
    <row r="742" spans="1:14" x14ac:dyDescent="0.35">
      <c r="A742" s="17">
        <v>45992</v>
      </c>
      <c r="B742">
        <f>AVERAGE(Tableau2[[#This Row],[AWB]:[IAM]])</f>
        <v>-6.1709581031743751E-3</v>
      </c>
      <c r="C742">
        <f t="shared" si="132"/>
        <v>0</v>
      </c>
      <c r="D742">
        <f t="shared" si="133"/>
        <v>0</v>
      </c>
      <c r="E742">
        <f t="shared" si="134"/>
        <v>0</v>
      </c>
      <c r="F742">
        <f t="shared" si="135"/>
        <v>0</v>
      </c>
      <c r="G742">
        <f t="shared" si="136"/>
        <v>0</v>
      </c>
      <c r="H742">
        <f t="shared" si="137"/>
        <v>0</v>
      </c>
      <c r="I742">
        <f t="shared" si="138"/>
        <v>0</v>
      </c>
      <c r="J742">
        <f t="shared" si="139"/>
        <v>0</v>
      </c>
      <c r="K742">
        <f t="shared" si="140"/>
        <v>0</v>
      </c>
      <c r="L742">
        <f t="shared" si="141"/>
        <v>0</v>
      </c>
      <c r="M742">
        <f t="shared" si="142"/>
        <v>0</v>
      </c>
      <c r="N742">
        <f t="shared" si="143"/>
        <v>1</v>
      </c>
    </row>
    <row r="743" spans="1:14" x14ac:dyDescent="0.35">
      <c r="A743" s="17">
        <v>45993</v>
      </c>
      <c r="B743">
        <f>AVERAGE(Tableau2[[#This Row],[AWB]:[IAM]])</f>
        <v>-5.5365340662967546E-3</v>
      </c>
      <c r="C743">
        <f t="shared" si="132"/>
        <v>0</v>
      </c>
      <c r="D743">
        <f t="shared" si="133"/>
        <v>0</v>
      </c>
      <c r="E743">
        <f t="shared" si="134"/>
        <v>0</v>
      </c>
      <c r="F743">
        <f t="shared" si="135"/>
        <v>0</v>
      </c>
      <c r="G743">
        <f t="shared" si="136"/>
        <v>0</v>
      </c>
      <c r="H743">
        <f t="shared" si="137"/>
        <v>0</v>
      </c>
      <c r="I743">
        <f t="shared" si="138"/>
        <v>0</v>
      </c>
      <c r="J743">
        <f t="shared" si="139"/>
        <v>0</v>
      </c>
      <c r="K743">
        <f t="shared" si="140"/>
        <v>0</v>
      </c>
      <c r="L743">
        <f t="shared" si="141"/>
        <v>0</v>
      </c>
      <c r="M743">
        <f t="shared" si="142"/>
        <v>0</v>
      </c>
      <c r="N743">
        <f t="shared" si="143"/>
        <v>1</v>
      </c>
    </row>
    <row r="744" spans="1:14" x14ac:dyDescent="0.35">
      <c r="A744" s="17">
        <v>45994</v>
      </c>
      <c r="B744">
        <f>AVERAGE(Tableau2[[#This Row],[AWB]:[IAM]])</f>
        <v>2.3345533480408636E-3</v>
      </c>
      <c r="C744">
        <f t="shared" si="132"/>
        <v>0</v>
      </c>
      <c r="D744">
        <f t="shared" si="133"/>
        <v>0</v>
      </c>
      <c r="E744">
        <f t="shared" si="134"/>
        <v>0</v>
      </c>
      <c r="F744">
        <f t="shared" si="135"/>
        <v>0</v>
      </c>
      <c r="G744">
        <f t="shared" si="136"/>
        <v>0</v>
      </c>
      <c r="H744">
        <f t="shared" si="137"/>
        <v>0</v>
      </c>
      <c r="I744">
        <f t="shared" si="138"/>
        <v>0</v>
      </c>
      <c r="J744">
        <f t="shared" si="139"/>
        <v>0</v>
      </c>
      <c r="K744">
        <f t="shared" si="140"/>
        <v>0</v>
      </c>
      <c r="L744">
        <f t="shared" si="141"/>
        <v>0</v>
      </c>
      <c r="M744">
        <f t="shared" si="142"/>
        <v>0</v>
      </c>
      <c r="N744">
        <f t="shared" si="143"/>
        <v>1</v>
      </c>
    </row>
    <row r="745" spans="1:14" x14ac:dyDescent="0.35">
      <c r="A745" s="17">
        <v>45995</v>
      </c>
      <c r="B745">
        <f>AVERAGE(Tableau2[[#This Row],[AWB]:[IAM]])</f>
        <v>-1.5748586506112979E-3</v>
      </c>
      <c r="C745">
        <f t="shared" si="132"/>
        <v>0</v>
      </c>
      <c r="D745">
        <f t="shared" si="133"/>
        <v>0</v>
      </c>
      <c r="E745">
        <f t="shared" si="134"/>
        <v>0</v>
      </c>
      <c r="F745">
        <f t="shared" si="135"/>
        <v>0</v>
      </c>
      <c r="G745">
        <f t="shared" si="136"/>
        <v>0</v>
      </c>
      <c r="H745">
        <f t="shared" si="137"/>
        <v>0</v>
      </c>
      <c r="I745">
        <f t="shared" si="138"/>
        <v>0</v>
      </c>
      <c r="J745">
        <f t="shared" si="139"/>
        <v>0</v>
      </c>
      <c r="K745">
        <f t="shared" si="140"/>
        <v>0</v>
      </c>
      <c r="L745">
        <f t="shared" si="141"/>
        <v>0</v>
      </c>
      <c r="M745">
        <f t="shared" si="142"/>
        <v>0</v>
      </c>
      <c r="N745">
        <f t="shared" si="143"/>
        <v>1</v>
      </c>
    </row>
    <row r="746" spans="1:14" x14ac:dyDescent="0.35">
      <c r="A746" s="17">
        <v>45996</v>
      </c>
      <c r="B746">
        <f>AVERAGE(Tableau2[[#This Row],[AWB]:[IAM]])</f>
        <v>7.2984819785114879E-3</v>
      </c>
      <c r="C746">
        <f t="shared" si="132"/>
        <v>0</v>
      </c>
      <c r="D746">
        <f t="shared" si="133"/>
        <v>0</v>
      </c>
      <c r="E746">
        <f t="shared" si="134"/>
        <v>0</v>
      </c>
      <c r="F746">
        <f t="shared" si="135"/>
        <v>0</v>
      </c>
      <c r="G746">
        <f t="shared" si="136"/>
        <v>0</v>
      </c>
      <c r="H746">
        <f t="shared" si="137"/>
        <v>0</v>
      </c>
      <c r="I746">
        <f t="shared" si="138"/>
        <v>0</v>
      </c>
      <c r="J746">
        <f t="shared" si="139"/>
        <v>0</v>
      </c>
      <c r="K746">
        <f t="shared" si="140"/>
        <v>0</v>
      </c>
      <c r="L746">
        <f t="shared" si="141"/>
        <v>0</v>
      </c>
      <c r="M746">
        <f t="shared" si="142"/>
        <v>0</v>
      </c>
      <c r="N746">
        <f t="shared" si="143"/>
        <v>1</v>
      </c>
    </row>
    <row r="747" spans="1:14" x14ac:dyDescent="0.35">
      <c r="A747" s="17">
        <v>45999</v>
      </c>
      <c r="B747">
        <f>AVERAGE(Tableau2[[#This Row],[AWB]:[IAM]])</f>
        <v>2.3876948070527672E-3</v>
      </c>
      <c r="C747">
        <f t="shared" si="132"/>
        <v>0</v>
      </c>
      <c r="D747">
        <f t="shared" si="133"/>
        <v>0</v>
      </c>
      <c r="E747">
        <f t="shared" si="134"/>
        <v>0</v>
      </c>
      <c r="F747">
        <f t="shared" si="135"/>
        <v>0</v>
      </c>
      <c r="G747">
        <f t="shared" si="136"/>
        <v>0</v>
      </c>
      <c r="H747">
        <f t="shared" si="137"/>
        <v>0</v>
      </c>
      <c r="I747">
        <f t="shared" si="138"/>
        <v>0</v>
      </c>
      <c r="J747">
        <f t="shared" si="139"/>
        <v>0</v>
      </c>
      <c r="K747">
        <f t="shared" si="140"/>
        <v>0</v>
      </c>
      <c r="L747">
        <f t="shared" si="141"/>
        <v>0</v>
      </c>
      <c r="M747">
        <f t="shared" si="142"/>
        <v>0</v>
      </c>
      <c r="N747">
        <f t="shared" si="143"/>
        <v>1</v>
      </c>
    </row>
    <row r="748" spans="1:14" x14ac:dyDescent="0.35">
      <c r="A748" s="17">
        <v>46002</v>
      </c>
      <c r="B748">
        <f>AVERAGE(Tableau2[[#This Row],[AWB]:[IAM]])</f>
        <v>-6.9611247802094465E-3</v>
      </c>
      <c r="C748">
        <f t="shared" si="132"/>
        <v>0</v>
      </c>
      <c r="D748">
        <f t="shared" si="133"/>
        <v>0</v>
      </c>
      <c r="E748">
        <f t="shared" si="134"/>
        <v>0</v>
      </c>
      <c r="F748">
        <f t="shared" si="135"/>
        <v>0</v>
      </c>
      <c r="G748">
        <f t="shared" si="136"/>
        <v>0</v>
      </c>
      <c r="H748">
        <f t="shared" si="137"/>
        <v>0</v>
      </c>
      <c r="I748">
        <f t="shared" si="138"/>
        <v>0</v>
      </c>
      <c r="J748">
        <f t="shared" si="139"/>
        <v>0</v>
      </c>
      <c r="K748">
        <f t="shared" si="140"/>
        <v>0</v>
      </c>
      <c r="L748">
        <f t="shared" si="141"/>
        <v>0</v>
      </c>
      <c r="M748">
        <f t="shared" si="142"/>
        <v>0</v>
      </c>
      <c r="N748">
        <f t="shared" si="143"/>
        <v>1</v>
      </c>
    </row>
    <row r="749" spans="1:14" x14ac:dyDescent="0.35">
      <c r="A749" s="17">
        <v>46003</v>
      </c>
      <c r="B749">
        <f>AVERAGE(Tableau2[[#This Row],[AWB]:[IAM]])</f>
        <v>3.8171131978510875E-3</v>
      </c>
      <c r="C749">
        <f t="shared" si="132"/>
        <v>0</v>
      </c>
      <c r="D749">
        <f t="shared" si="133"/>
        <v>0</v>
      </c>
      <c r="E749">
        <f t="shared" si="134"/>
        <v>0</v>
      </c>
      <c r="F749">
        <f t="shared" si="135"/>
        <v>0</v>
      </c>
      <c r="G749">
        <f t="shared" si="136"/>
        <v>0</v>
      </c>
      <c r="H749">
        <f t="shared" si="137"/>
        <v>0</v>
      </c>
      <c r="I749">
        <f t="shared" si="138"/>
        <v>0</v>
      </c>
      <c r="J749">
        <f t="shared" si="139"/>
        <v>0</v>
      </c>
      <c r="K749">
        <f t="shared" si="140"/>
        <v>0</v>
      </c>
      <c r="L749">
        <f t="shared" si="141"/>
        <v>0</v>
      </c>
      <c r="M749">
        <f t="shared" si="142"/>
        <v>0</v>
      </c>
      <c r="N749">
        <f t="shared" si="143"/>
        <v>1</v>
      </c>
    </row>
    <row r="750" spans="1:14" x14ac:dyDescent="0.35">
      <c r="A750" s="17">
        <v>46006</v>
      </c>
      <c r="B750">
        <f>AVERAGE(Tableau2[[#This Row],[AWB]:[IAM]])</f>
        <v>-5.1176652559300874E-3</v>
      </c>
      <c r="C750">
        <f t="shared" si="132"/>
        <v>0</v>
      </c>
      <c r="D750">
        <f t="shared" si="133"/>
        <v>0</v>
      </c>
      <c r="E750">
        <f t="shared" si="134"/>
        <v>0</v>
      </c>
      <c r="F750">
        <f t="shared" si="135"/>
        <v>0</v>
      </c>
      <c r="G750">
        <f t="shared" si="136"/>
        <v>0</v>
      </c>
      <c r="H750">
        <f t="shared" si="137"/>
        <v>0</v>
      </c>
      <c r="I750">
        <f t="shared" si="138"/>
        <v>0</v>
      </c>
      <c r="J750">
        <f t="shared" si="139"/>
        <v>0</v>
      </c>
      <c r="K750">
        <f t="shared" si="140"/>
        <v>0</v>
      </c>
      <c r="L750">
        <f t="shared" si="141"/>
        <v>0</v>
      </c>
      <c r="M750">
        <f t="shared" si="142"/>
        <v>0</v>
      </c>
      <c r="N750">
        <f t="shared" si="143"/>
        <v>1</v>
      </c>
    </row>
    <row r="751" spans="1:14" x14ac:dyDescent="0.35">
      <c r="A751" s="17">
        <v>46008</v>
      </c>
      <c r="B751">
        <f>AVERAGE(Tableau2[[#This Row],[AWB]:[IAM]])</f>
        <v>3.4773876000215131E-3</v>
      </c>
      <c r="C751">
        <f t="shared" si="132"/>
        <v>0</v>
      </c>
      <c r="D751">
        <f t="shared" si="133"/>
        <v>0</v>
      </c>
      <c r="E751">
        <f t="shared" si="134"/>
        <v>0</v>
      </c>
      <c r="F751">
        <f t="shared" si="135"/>
        <v>0</v>
      </c>
      <c r="G751">
        <f t="shared" si="136"/>
        <v>0</v>
      </c>
      <c r="H751">
        <f t="shared" si="137"/>
        <v>0</v>
      </c>
      <c r="I751">
        <f t="shared" si="138"/>
        <v>0</v>
      </c>
      <c r="J751">
        <f t="shared" si="139"/>
        <v>0</v>
      </c>
      <c r="K751">
        <f t="shared" si="140"/>
        <v>0</v>
      </c>
      <c r="L751">
        <f t="shared" si="141"/>
        <v>0</v>
      </c>
      <c r="M751">
        <f t="shared" si="142"/>
        <v>0</v>
      </c>
      <c r="N751">
        <f t="shared" si="143"/>
        <v>1</v>
      </c>
    </row>
    <row r="752" spans="1:14" x14ac:dyDescent="0.35">
      <c r="A752" s="17">
        <v>46009</v>
      </c>
      <c r="B752">
        <f>AVERAGE(Tableau2[[#This Row],[AWB]:[IAM]])</f>
        <v>2.7348403821138376E-3</v>
      </c>
      <c r="C752">
        <f t="shared" si="132"/>
        <v>0</v>
      </c>
      <c r="D752">
        <f t="shared" si="133"/>
        <v>0</v>
      </c>
      <c r="E752">
        <f t="shared" si="134"/>
        <v>0</v>
      </c>
      <c r="F752">
        <f t="shared" si="135"/>
        <v>0</v>
      </c>
      <c r="G752">
        <f t="shared" si="136"/>
        <v>0</v>
      </c>
      <c r="H752">
        <f t="shared" si="137"/>
        <v>0</v>
      </c>
      <c r="I752">
        <f t="shared" si="138"/>
        <v>0</v>
      </c>
      <c r="J752">
        <f t="shared" si="139"/>
        <v>0</v>
      </c>
      <c r="K752">
        <f t="shared" si="140"/>
        <v>0</v>
      </c>
      <c r="L752">
        <f t="shared" si="141"/>
        <v>0</v>
      </c>
      <c r="M752">
        <f t="shared" si="142"/>
        <v>0</v>
      </c>
      <c r="N752">
        <f t="shared" si="143"/>
        <v>1</v>
      </c>
    </row>
    <row r="753" spans="1:14" x14ac:dyDescent="0.35">
      <c r="A753" s="17">
        <v>46010</v>
      </c>
      <c r="B753">
        <f>AVERAGE(Tableau2[[#This Row],[AWB]:[IAM]])</f>
        <v>-2.2262496453509012E-3</v>
      </c>
      <c r="C753">
        <f t="shared" si="132"/>
        <v>0</v>
      </c>
      <c r="D753">
        <f t="shared" si="133"/>
        <v>0</v>
      </c>
      <c r="E753">
        <f t="shared" si="134"/>
        <v>0</v>
      </c>
      <c r="F753">
        <f t="shared" si="135"/>
        <v>0</v>
      </c>
      <c r="G753">
        <f t="shared" si="136"/>
        <v>0</v>
      </c>
      <c r="H753">
        <f t="shared" si="137"/>
        <v>0</v>
      </c>
      <c r="I753">
        <f t="shared" si="138"/>
        <v>0</v>
      </c>
      <c r="J753">
        <f t="shared" si="139"/>
        <v>0</v>
      </c>
      <c r="K753">
        <f t="shared" si="140"/>
        <v>0</v>
      </c>
      <c r="L753">
        <f t="shared" si="141"/>
        <v>0</v>
      </c>
      <c r="M753">
        <f t="shared" si="142"/>
        <v>0</v>
      </c>
      <c r="N753">
        <f t="shared" si="143"/>
        <v>1</v>
      </c>
    </row>
    <row r="754" spans="1:14" x14ac:dyDescent="0.35">
      <c r="A754" s="17">
        <v>46013</v>
      </c>
      <c r="B754">
        <f>AVERAGE(Tableau2[[#This Row],[AWB]:[IAM]])</f>
        <v>-3.504419278308214E-5</v>
      </c>
      <c r="C754">
        <f t="shared" si="132"/>
        <v>0</v>
      </c>
      <c r="D754">
        <f t="shared" si="133"/>
        <v>0</v>
      </c>
      <c r="E754">
        <f t="shared" si="134"/>
        <v>0</v>
      </c>
      <c r="F754">
        <f t="shared" si="135"/>
        <v>0</v>
      </c>
      <c r="G754">
        <f t="shared" si="136"/>
        <v>0</v>
      </c>
      <c r="H754">
        <f t="shared" si="137"/>
        <v>0</v>
      </c>
      <c r="I754">
        <f t="shared" si="138"/>
        <v>0</v>
      </c>
      <c r="J754">
        <f t="shared" si="139"/>
        <v>0</v>
      </c>
      <c r="K754">
        <f t="shared" si="140"/>
        <v>0</v>
      </c>
      <c r="L754">
        <f t="shared" si="141"/>
        <v>0</v>
      </c>
      <c r="M754">
        <f t="shared" si="142"/>
        <v>0</v>
      </c>
      <c r="N754">
        <f t="shared" si="143"/>
        <v>1</v>
      </c>
    </row>
    <row r="755" spans="1:14" x14ac:dyDescent="0.35">
      <c r="A755" s="17">
        <v>46014</v>
      </c>
      <c r="B755">
        <f>AVERAGE(Tableau2[[#This Row],[AWB]:[IAM]])</f>
        <v>-4.547991820707387E-3</v>
      </c>
      <c r="C755">
        <f t="shared" si="132"/>
        <v>0</v>
      </c>
      <c r="D755">
        <f t="shared" si="133"/>
        <v>0</v>
      </c>
      <c r="E755">
        <f t="shared" si="134"/>
        <v>0</v>
      </c>
      <c r="F755">
        <f t="shared" si="135"/>
        <v>0</v>
      </c>
      <c r="G755">
        <f t="shared" si="136"/>
        <v>0</v>
      </c>
      <c r="H755">
        <f t="shared" si="137"/>
        <v>0</v>
      </c>
      <c r="I755">
        <f t="shared" si="138"/>
        <v>0</v>
      </c>
      <c r="J755">
        <f t="shared" si="139"/>
        <v>0</v>
      </c>
      <c r="K755">
        <f t="shared" si="140"/>
        <v>0</v>
      </c>
      <c r="L755">
        <f t="shared" si="141"/>
        <v>0</v>
      </c>
      <c r="M755">
        <f t="shared" si="142"/>
        <v>0</v>
      </c>
      <c r="N755">
        <f t="shared" si="143"/>
        <v>1</v>
      </c>
    </row>
    <row r="756" spans="1:14" x14ac:dyDescent="0.35">
      <c r="A756" s="17">
        <v>46015</v>
      </c>
      <c r="B756">
        <f>AVERAGE(Tableau2[[#This Row],[AWB]:[IAM]])</f>
        <v>-3.3066896573674838E-4</v>
      </c>
      <c r="C756">
        <f t="shared" si="132"/>
        <v>0</v>
      </c>
      <c r="D756">
        <f t="shared" si="133"/>
        <v>0</v>
      </c>
      <c r="E756">
        <f t="shared" si="134"/>
        <v>0</v>
      </c>
      <c r="F756">
        <f t="shared" si="135"/>
        <v>0</v>
      </c>
      <c r="G756">
        <f t="shared" si="136"/>
        <v>0</v>
      </c>
      <c r="H756">
        <f t="shared" si="137"/>
        <v>0</v>
      </c>
      <c r="I756">
        <f t="shared" si="138"/>
        <v>0</v>
      </c>
      <c r="J756">
        <f t="shared" si="139"/>
        <v>0</v>
      </c>
      <c r="K756">
        <f t="shared" si="140"/>
        <v>0</v>
      </c>
      <c r="L756">
        <f t="shared" si="141"/>
        <v>0</v>
      </c>
      <c r="M756">
        <f t="shared" si="142"/>
        <v>0</v>
      </c>
      <c r="N756">
        <f t="shared" si="143"/>
        <v>1</v>
      </c>
    </row>
    <row r="757" spans="1:14" x14ac:dyDescent="0.35">
      <c r="A757" s="17">
        <v>46020</v>
      </c>
      <c r="B757">
        <f>AVERAGE(Tableau2[[#This Row],[AWB]:[IAM]])</f>
        <v>-2.1713842632634942E-2</v>
      </c>
      <c r="C757">
        <f t="shared" si="132"/>
        <v>0</v>
      </c>
      <c r="D757">
        <f t="shared" si="133"/>
        <v>0</v>
      </c>
      <c r="E757">
        <f t="shared" si="134"/>
        <v>0</v>
      </c>
      <c r="F757">
        <f t="shared" si="135"/>
        <v>0</v>
      </c>
      <c r="G757">
        <f t="shared" si="136"/>
        <v>0</v>
      </c>
      <c r="H757">
        <f t="shared" si="137"/>
        <v>0</v>
      </c>
      <c r="I757">
        <f t="shared" si="138"/>
        <v>0</v>
      </c>
      <c r="J757">
        <f t="shared" si="139"/>
        <v>0</v>
      </c>
      <c r="K757">
        <f t="shared" si="140"/>
        <v>0</v>
      </c>
      <c r="L757">
        <f t="shared" si="141"/>
        <v>0</v>
      </c>
      <c r="M757">
        <f t="shared" si="142"/>
        <v>0</v>
      </c>
      <c r="N757">
        <f t="shared" si="143"/>
        <v>1</v>
      </c>
    </row>
    <row r="758" spans="1:14" x14ac:dyDescent="0.35">
      <c r="A758" s="17">
        <v>46021</v>
      </c>
      <c r="B758">
        <f>AVERAGE(Tableau2[[#This Row],[AWB]:[IAM]])</f>
        <v>2.0485620370015575E-3</v>
      </c>
      <c r="C758">
        <f t="shared" si="132"/>
        <v>0</v>
      </c>
      <c r="D758">
        <f t="shared" si="133"/>
        <v>0</v>
      </c>
      <c r="E758">
        <f t="shared" si="134"/>
        <v>0</v>
      </c>
      <c r="F758">
        <f t="shared" si="135"/>
        <v>0</v>
      </c>
      <c r="G758">
        <f t="shared" si="136"/>
        <v>0</v>
      </c>
      <c r="H758">
        <f t="shared" si="137"/>
        <v>0</v>
      </c>
      <c r="I758">
        <f t="shared" si="138"/>
        <v>0</v>
      </c>
      <c r="J758">
        <f t="shared" si="139"/>
        <v>0</v>
      </c>
      <c r="K758">
        <f t="shared" si="140"/>
        <v>0</v>
      </c>
      <c r="L758">
        <f t="shared" si="141"/>
        <v>0</v>
      </c>
      <c r="M758">
        <f t="shared" si="142"/>
        <v>0</v>
      </c>
      <c r="N758">
        <f t="shared" si="143"/>
        <v>1</v>
      </c>
    </row>
    <row r="759" spans="1:14" x14ac:dyDescent="0.35">
      <c r="A759" s="17">
        <v>46022</v>
      </c>
      <c r="B759">
        <f>AVERAGE(Tableau2[[#This Row],[AWB]:[IAM]])</f>
        <v>1.2265146513803928E-2</v>
      </c>
      <c r="C759">
        <f t="shared" si="132"/>
        <v>0</v>
      </c>
      <c r="D759">
        <f t="shared" si="133"/>
        <v>0</v>
      </c>
      <c r="E759">
        <f t="shared" si="134"/>
        <v>0</v>
      </c>
      <c r="F759">
        <f t="shared" si="135"/>
        <v>0</v>
      </c>
      <c r="G759">
        <f t="shared" si="136"/>
        <v>0</v>
      </c>
      <c r="H759">
        <f t="shared" si="137"/>
        <v>0</v>
      </c>
      <c r="I759">
        <f t="shared" si="138"/>
        <v>0</v>
      </c>
      <c r="J759">
        <f t="shared" si="139"/>
        <v>0</v>
      </c>
      <c r="K759">
        <f t="shared" si="140"/>
        <v>0</v>
      </c>
      <c r="L759">
        <f t="shared" si="141"/>
        <v>0</v>
      </c>
      <c r="M759">
        <f t="shared" si="142"/>
        <v>0</v>
      </c>
      <c r="N759">
        <f t="shared" si="143"/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328A-35D3-43FB-B44C-7D0D19982825}">
  <sheetPr>
    <tabColor theme="6" tint="0.39997558519241921"/>
  </sheetPr>
  <dimension ref="A1:E5"/>
  <sheetViews>
    <sheetView tabSelected="1" zoomScale="92" workbookViewId="0">
      <selection activeCell="F7" sqref="F7"/>
    </sheetView>
  </sheetViews>
  <sheetFormatPr baseColWidth="10" defaultRowHeight="14.5" x14ac:dyDescent="0.35"/>
  <cols>
    <col min="1" max="1" width="14.08984375" customWidth="1"/>
    <col min="2" max="2" width="15.90625" customWidth="1"/>
    <col min="3" max="3" width="16.54296875" customWidth="1"/>
    <col min="4" max="4" width="17.7265625" customWidth="1"/>
    <col min="5" max="5" width="16.1796875" customWidth="1"/>
  </cols>
  <sheetData>
    <row r="1" spans="1:5" s="28" customFormat="1" ht="15" thickBot="1" x14ac:dyDescent="0.4">
      <c r="A1" s="26" t="s">
        <v>40</v>
      </c>
      <c r="B1" s="26" t="s">
        <v>41</v>
      </c>
      <c r="C1" s="26" t="s">
        <v>42</v>
      </c>
      <c r="D1" s="26" t="s">
        <v>51</v>
      </c>
      <c r="E1" s="27" t="s">
        <v>52</v>
      </c>
    </row>
    <row r="2" spans="1:5" ht="15.5" thickTop="1" thickBot="1" x14ac:dyDescent="0.4">
      <c r="A2" s="21" t="s">
        <v>43</v>
      </c>
      <c r="B2" s="20" t="s">
        <v>47</v>
      </c>
      <c r="C2" s="24">
        <v>2.1000000000000001E-2</v>
      </c>
      <c r="D2" s="24">
        <v>3.7999999999999999E-2</v>
      </c>
      <c r="E2" s="29">
        <f>(D2-C2)/C2</f>
        <v>0.80952380952380931</v>
      </c>
    </row>
    <row r="3" spans="1:5" ht="15" thickBot="1" x14ac:dyDescent="0.4">
      <c r="A3" s="21" t="s">
        <v>44</v>
      </c>
      <c r="B3" s="20" t="s">
        <v>48</v>
      </c>
      <c r="C3" s="24">
        <v>2.8000000000000001E-2</v>
      </c>
      <c r="D3" s="24">
        <v>3.7999999999999999E-2</v>
      </c>
      <c r="E3" s="29">
        <f t="shared" ref="E3:E5" si="0">(D3-C3)/C3</f>
        <v>0.3571428571428571</v>
      </c>
    </row>
    <row r="4" spans="1:5" ht="15" thickBot="1" x14ac:dyDescent="0.4">
      <c r="A4" s="21" t="s">
        <v>45</v>
      </c>
      <c r="B4" s="20" t="s">
        <v>49</v>
      </c>
      <c r="C4" s="24">
        <v>2.8000000000000001E-2</v>
      </c>
      <c r="D4" s="24">
        <v>3.7999999999999999E-2</v>
      </c>
      <c r="E4" s="29">
        <f t="shared" si="0"/>
        <v>0.3571428571428571</v>
      </c>
    </row>
    <row r="5" spans="1:5" ht="15" thickBot="1" x14ac:dyDescent="0.4">
      <c r="A5" s="22" t="s">
        <v>46</v>
      </c>
      <c r="B5" s="23" t="s">
        <v>50</v>
      </c>
      <c r="C5" s="25">
        <v>2.5999999999999999E-2</v>
      </c>
      <c r="D5" s="24">
        <v>3.7999999999999999E-2</v>
      </c>
      <c r="E5" s="30">
        <f t="shared" si="0"/>
        <v>0.46153846153846156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Prix des actifs</vt:lpstr>
      <vt:lpstr>Rendements et Calculs</vt:lpstr>
      <vt:lpstr>Day Of the Week</vt:lpstr>
      <vt:lpstr>Month Of the Year</vt:lpstr>
      <vt:lpstr>Planing Fallacy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Btissam Bouhou</cp:lastModifiedBy>
  <dcterms:created xsi:type="dcterms:W3CDTF">2026-06-12T08:47:25Z</dcterms:created>
  <dcterms:modified xsi:type="dcterms:W3CDTF">2026-07-03T15:32:29Z</dcterms:modified>
</cp:coreProperties>
</file>